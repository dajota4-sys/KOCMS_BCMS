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온톨로지맵" sheetId="2" state="visible" r:id="rId4"/>
    <sheet name="객체" sheetId="3" state="visible" r:id="rId5"/>
    <sheet name="연결" sheetId="4" state="visible" r:id="rId6"/>
    <sheet name="트리플" sheetId="5" state="visible" r:id="rId7"/>
    <sheet name="관계매트릭스" sheetId="6" state="visible" r:id="rId8"/>
    <sheet name="문항" sheetId="7" state="visible" r:id="rId9"/>
    <sheet name="보유·응답자정보" sheetId="8" state="visible" r:id="rId10"/>
    <sheet name="응답입력" sheetId="9" state="visible" r:id="rId11"/>
    <sheet name="연결점수" sheetId="10" state="visible" r:id="rId12"/>
    <sheet name="점수요약" sheetId="11" state="visible" r:id="rId13"/>
    <sheet name="검증" sheetId="12" state="visible" r:id="rId14"/>
  </sheets>
  <definedNames>
    <definedName function="false" hidden="true" localSheetId="6" name="_xlnm._FilterDatabase" vbProcedure="false">문항!$A$4:$S$94</definedName>
    <definedName function="false" hidden="true" localSheetId="4" name="_xlnm._FilterDatabase" vbProcedure="false">트리플!$A$4:$F$187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<sst xmlns="http://schemas.openxmlformats.org/spreadsheetml/2006/main" count="2779" uniqueCount="792">
  <si>
    <r>
      <rPr>
        <b val="true"/>
        <sz val="14"/>
        <color rgb="FF101828"/>
        <rFont val="맑은 고딕"/>
        <family val="0"/>
        <charset val="1"/>
      </rPr>
      <t xml:space="preserve">BCMS </t>
    </r>
    <r>
      <rPr>
        <b val="true"/>
        <sz val="14"/>
        <color rgb="FF101828"/>
        <rFont val="WenQuanYi Zen Hei"/>
        <family val="2"/>
      </rPr>
      <t xml:space="preserve">프로세스 간 연계성 측정 — 문항은행 </t>
    </r>
    <r>
      <rPr>
        <b val="true"/>
        <sz val="14"/>
        <color rgb="FF101828"/>
        <rFont val="맑은 고딕"/>
        <family val="0"/>
        <charset val="1"/>
      </rPr>
      <t xml:space="preserve">+ </t>
    </r>
    <r>
      <rPr>
        <b val="true"/>
        <sz val="14"/>
        <color rgb="FF101828"/>
        <rFont val="WenQuanYi Zen Hei"/>
        <family val="2"/>
      </rPr>
      <t xml:space="preserve">온톨로지 맵</t>
    </r>
  </si>
  <si>
    <r>
      <rPr>
        <i val="true"/>
        <sz val="10"/>
        <color rgb="FF475467"/>
        <rFont val="WenQuanYi Zen Hei"/>
        <family val="2"/>
      </rPr>
      <t xml:space="preserve">근거</t>
    </r>
    <r>
      <rPr>
        <i val="true"/>
        <sz val="10"/>
        <color rgb="FF475467"/>
        <rFont val="맑은 고딕"/>
        <family val="0"/>
        <charset val="1"/>
      </rPr>
      <t xml:space="preserve">: Arias-Aranda et al.(2026) Appl. Sci. 16, 3219 · Białas(2010) BCMO · </t>
    </r>
    <r>
      <rPr>
        <i val="true"/>
        <sz val="10"/>
        <color rgb="FF475467"/>
        <rFont val="WenQuanYi Zen Hei"/>
        <family val="2"/>
      </rPr>
      <t xml:space="preserve">상세 설명은 </t>
    </r>
    <r>
      <rPr>
        <i val="true"/>
        <sz val="10"/>
        <color rgb="FF475467"/>
        <rFont val="맑은 고딕"/>
        <family val="0"/>
        <charset val="1"/>
      </rPr>
      <t xml:space="preserve">docs/BCMS_</t>
    </r>
    <r>
      <rPr>
        <i val="true"/>
        <sz val="10"/>
        <color rgb="FF475467"/>
        <rFont val="WenQuanYi Zen Hei"/>
        <family val="2"/>
      </rPr>
      <t xml:space="preserve">연계성</t>
    </r>
    <r>
      <rPr>
        <i val="true"/>
        <sz val="10"/>
        <color rgb="FF475467"/>
        <rFont val="맑은 고딕"/>
        <family val="0"/>
        <charset val="1"/>
      </rPr>
      <t xml:space="preserve">_</t>
    </r>
    <r>
      <rPr>
        <i val="true"/>
        <sz val="10"/>
        <color rgb="FF475467"/>
        <rFont val="WenQuanYi Zen Hei"/>
        <family val="2"/>
      </rPr>
      <t xml:space="preserve">예비문항</t>
    </r>
    <r>
      <rPr>
        <i val="true"/>
        <sz val="10"/>
        <color rgb="FF475467"/>
        <rFont val="맑은 고딕"/>
        <family val="0"/>
        <charset val="1"/>
      </rPr>
      <t xml:space="preserve">.md</t>
    </r>
  </si>
  <si>
    <t xml:space="preserve">목적</t>
  </si>
  <si>
    <r>
      <rPr>
        <sz val="10"/>
        <color rgb="FF000000"/>
        <rFont val="WenQuanYi Zen Hei"/>
        <family val="2"/>
      </rPr>
      <t xml:space="preserve">온톨로지는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무엇과 무엇의 연결을 측정하는가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를 정하고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설문은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그 연결이 조직에서 어느 정도 유지되는가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를 측정한다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</si>
  <si>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단계</t>
    </r>
  </si>
  <si>
    <r>
      <rPr>
        <sz val="10"/>
        <color rgb="FF000000"/>
        <rFont val="맑은 고딕"/>
        <family val="0"/>
        <charset val="1"/>
      </rPr>
      <t xml:space="preserve">① Arias </t>
    </r>
    <r>
      <rPr>
        <sz val="10"/>
        <color rgb="FF000000"/>
        <rFont val="WenQuanYi Zen Hei"/>
        <family val="2"/>
      </rPr>
      <t xml:space="preserve">프로세스 설명에서 연결 근거 찾기 → ② </t>
    </r>
    <r>
      <rPr>
        <sz val="10"/>
        <color rgb="FF000000"/>
        <rFont val="맑은 고딕"/>
        <family val="0"/>
        <charset val="1"/>
      </rPr>
      <t xml:space="preserve">Białas </t>
    </r>
    <r>
      <rPr>
        <sz val="10"/>
        <color rgb="FF000000"/>
        <rFont val="WenQuanYi Zen Hei"/>
        <family val="2"/>
      </rPr>
      <t xml:space="preserve">방식으로 객체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관계 정의 → ③ 연결의 반영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갱신 상태를 문항으로 표현 → ④ 문항이 연계성을 재는지 검증</t>
    </r>
  </si>
  <si>
    <t xml:space="preserve">시트 구성</t>
  </si>
  <si>
    <r>
      <rPr>
        <sz val="10"/>
        <color rgb="FF000000"/>
        <rFont val="WenQuanYi Zen Hei"/>
        <family val="2"/>
      </rPr>
      <t xml:space="preserve">온톨로지맵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그림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객체</t>
    </r>
    <r>
      <rPr>
        <sz val="10"/>
        <color rgb="FF000000"/>
        <rFont val="맑은 고딕"/>
        <family val="0"/>
        <charset val="1"/>
      </rPr>
      <t xml:space="preserve">(22) · </t>
    </r>
    <r>
      <rPr>
        <sz val="10"/>
        <color rgb="FF000000"/>
        <rFont val="WenQuanYi Zen Hei"/>
        <family val="2"/>
      </rPr>
      <t xml:space="preserve">연결</t>
    </r>
    <r>
      <rPr>
        <sz val="10"/>
        <color rgb="FF000000"/>
        <rFont val="맑은 고딕"/>
        <family val="0"/>
        <charset val="1"/>
      </rPr>
      <t xml:space="preserve">(25) · </t>
    </r>
    <r>
      <rPr>
        <sz val="10"/>
        <color rgb="FF000000"/>
        <rFont val="WenQuanYi Zen Hei"/>
        <family val="2"/>
      </rPr>
      <t xml:space="preserve">트리플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주어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관계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목적어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관계매트릭스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문항</t>
    </r>
    <r>
      <rPr>
        <sz val="10"/>
        <color rgb="FF000000"/>
        <rFont val="맑은 고딕"/>
        <family val="0"/>
        <charset val="1"/>
      </rPr>
      <t xml:space="preserve">(90) · </t>
    </r>
    <r>
      <rPr>
        <sz val="10"/>
        <color rgb="FF000000"/>
        <rFont val="WenQuanYi Zen Hei"/>
        <family val="2"/>
      </rPr>
      <t xml:space="preserve">보유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응답자정보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응답입력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연결점수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점수요약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검증</t>
    </r>
  </si>
  <si>
    <t xml:space="preserve">사용 순서</t>
  </si>
  <si>
    <r>
      <rPr>
        <sz val="10"/>
        <color rgb="FF000000"/>
        <rFont val="WenQuanYi Zen Hei"/>
        <family val="2"/>
      </rPr>
      <t xml:space="preserve">① 문항 시트에서 문항 확인 → ② 전문가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인이 문항 시트 </t>
    </r>
    <r>
      <rPr>
        <sz val="10"/>
        <color rgb="FF000000"/>
        <rFont val="맑은 고딕"/>
        <family val="0"/>
        <charset val="1"/>
      </rPr>
      <t xml:space="preserve">L~Q</t>
    </r>
    <r>
      <rPr>
        <sz val="10"/>
        <color rgb="FF000000"/>
        <rFont val="WenQuanYi Zen Hei"/>
        <family val="2"/>
      </rPr>
      <t xml:space="preserve">열에 적합도</t>
    </r>
    <r>
      <rPr>
        <sz val="10"/>
        <color rgb="FF000000"/>
        <rFont val="맑은 고딕"/>
        <family val="0"/>
        <charset val="1"/>
      </rPr>
      <t xml:space="preserve">(1~4) </t>
    </r>
    <r>
      <rPr>
        <sz val="10"/>
        <color rgb="FF000000"/>
        <rFont val="WenQuanYi Zen Hei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, I-CVI·</t>
    </r>
    <r>
      <rPr>
        <sz val="10"/>
        <color rgb="FF000000"/>
        <rFont val="WenQuanYi Zen Hei"/>
        <family val="2"/>
      </rPr>
      <t xml:space="preserve">판정 자동 계산 → ③ 설문 응답을 응답입력 시트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행부터 입력 → ④ 연결점수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점수요약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검증 시트에서 결과 확인</t>
    </r>
  </si>
  <si>
    <t xml:space="preserve">입력 칸 표시</t>
  </si>
  <si>
    <r>
      <rPr>
        <sz val="10"/>
        <color rgb="FF000000"/>
        <rFont val="WenQuanYi Zen Hei"/>
        <family val="2"/>
      </rPr>
      <t xml:space="preserve">노란 바탕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파란 글씨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직접 입력하는 칸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검은 글씨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수식 또는 고정 내용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수정 불필요</t>
    </r>
    <r>
      <rPr>
        <sz val="10"/>
        <color rgb="FF000000"/>
        <rFont val="맑은 고딕"/>
        <family val="0"/>
        <charset val="1"/>
      </rPr>
      <t xml:space="preserve">).</t>
    </r>
  </si>
  <si>
    <t xml:space="preserve">예시 행</t>
  </si>
  <si>
    <r>
      <rPr>
        <sz val="10"/>
        <color rgb="FF000000"/>
        <rFont val="WenQuanYi Zen Hei"/>
        <family val="2"/>
      </rPr>
      <t xml:space="preserve">응답입력 시트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행은 형식을 보여 주는 예시이며 모든 집계에서 제외됩니다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집계는 </t>
    </r>
    <r>
      <rPr>
        <sz val="10"/>
        <color rgb="FF000000"/>
        <rFont val="맑은 고딕"/>
        <family val="0"/>
        <charset val="1"/>
      </rPr>
      <t xml:space="preserve">7~56</t>
    </r>
    <r>
      <rPr>
        <sz val="10"/>
        <color rgb="FF000000"/>
        <rFont val="WenQuanYi Zen Hei"/>
        <family val="2"/>
      </rPr>
      <t xml:space="preserve">행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지우지 않아도 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</si>
  <si>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응답 척도</t>
  </si>
  <si>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전혀 그렇지 않다 </t>
    </r>
    <r>
      <rPr>
        <sz val="10"/>
        <color rgb="FF000000"/>
        <rFont val="맑은 고딕"/>
        <family val="0"/>
        <charset val="1"/>
      </rPr>
      <t xml:space="preserve">· 2 </t>
    </r>
    <r>
      <rPr>
        <sz val="10"/>
        <color rgb="FF000000"/>
        <rFont val="WenQuanYi Zen Hei"/>
        <family val="2"/>
      </rPr>
      <t xml:space="preserve">그렇지 않다 </t>
    </r>
    <r>
      <rPr>
        <sz val="10"/>
        <color rgb="FF000000"/>
        <rFont val="맑은 고딕"/>
        <family val="0"/>
        <charset val="1"/>
      </rPr>
      <t xml:space="preserve">· 3 </t>
    </r>
    <r>
      <rPr>
        <sz val="10"/>
        <color rgb="FF000000"/>
        <rFont val="WenQuanYi Zen Hei"/>
        <family val="2"/>
      </rPr>
      <t xml:space="preserve">보통이다 </t>
    </r>
    <r>
      <rPr>
        <sz val="10"/>
        <color rgb="FF000000"/>
        <rFont val="맑은 고딕"/>
        <family val="0"/>
        <charset val="1"/>
      </rPr>
      <t xml:space="preserve">· 4 </t>
    </r>
    <r>
      <rPr>
        <sz val="10"/>
        <color rgb="FF000000"/>
        <rFont val="WenQuanYi Zen Hei"/>
        <family val="2"/>
      </rPr>
      <t xml:space="preserve">그렇다 </t>
    </r>
    <r>
      <rPr>
        <sz val="10"/>
        <color rgb="FF000000"/>
        <rFont val="맑은 고딕"/>
        <family val="0"/>
        <charset val="1"/>
      </rPr>
      <t xml:space="preserve">· 5 </t>
    </r>
    <r>
      <rPr>
        <sz val="10"/>
        <color rgb="FF000000"/>
        <rFont val="WenQuanYi Zen Hei"/>
        <family val="2"/>
      </rPr>
      <t xml:space="preserve">매우 그렇다 </t>
    </r>
    <r>
      <rPr>
        <sz val="10"/>
        <color rgb="FF000000"/>
        <rFont val="맑은 고딕"/>
        <family val="0"/>
        <charset val="1"/>
      </rPr>
      <t xml:space="preserve">· 9 </t>
    </r>
    <r>
      <rPr>
        <sz val="10"/>
        <color rgb="FF000000"/>
        <rFont val="WenQuanYi Zen Hei"/>
        <family val="2"/>
      </rPr>
      <t xml:space="preserve">해당 없음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모르겠음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점수에서 제외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</si>
  <si>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상태 정의</t>
  </si>
  <si>
    <r>
      <rPr>
        <sz val="10"/>
        <color rgb="FF000000"/>
        <rFont val="WenQuanYi Zen Hei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(R)=A</t>
    </r>
    <r>
      <rPr>
        <sz val="10"/>
        <color rgb="FF000000"/>
        <rFont val="WenQuanYi Zen Hei"/>
        <family val="2"/>
      </rPr>
      <t xml:space="preserve">의 산출물이 </t>
    </r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의 활동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결정에 실제로 들어감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0"/>
        <charset val="1"/>
      </rPr>
      <t xml:space="preserve">(V)=</t>
    </r>
    <r>
      <rPr>
        <sz val="10"/>
        <color rgb="FF000000"/>
        <rFont val="WenQuanYi Zen Hei"/>
        <family val="2"/>
      </rPr>
      <t xml:space="preserve">그 반영이 맞는지 점검함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갱신</t>
    </r>
    <r>
      <rPr>
        <sz val="10"/>
        <color rgb="FF000000"/>
        <rFont val="맑은 고딕"/>
        <family val="0"/>
        <charset val="1"/>
      </rPr>
      <t xml:space="preserve">(U)=A </t>
    </r>
    <r>
      <rPr>
        <sz val="10"/>
        <color rgb="FF000000"/>
        <rFont val="WenQuanYi Zen Hei"/>
        <family val="2"/>
      </rPr>
      <t xml:space="preserve">또는 </t>
    </r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가 바뀌면 연결을 함께 고침</t>
    </r>
  </si>
  <si>
    <t xml:space="preserve">중요한 한계</t>
  </si>
  <si>
    <r>
      <rPr>
        <sz val="10"/>
        <color rgb="FF000000"/>
        <rFont val="맑은 고딕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개 연결은 </t>
    </r>
    <r>
      <rPr>
        <sz val="10"/>
        <color rgb="FF000000"/>
        <rFont val="맑은 고딕"/>
        <family val="0"/>
        <charset val="1"/>
      </rPr>
      <t xml:space="preserve">Arias</t>
    </r>
    <r>
      <rPr>
        <sz val="10"/>
        <color rgb="FF000000"/>
        <rFont val="WenQuanYi Zen Hei"/>
        <family val="2"/>
      </rPr>
      <t xml:space="preserve">의 서술에서 추출한 가설이며</t>
    </r>
    <r>
      <rPr>
        <sz val="10"/>
        <color rgb="FF000000"/>
        <rFont val="맑은 고딕"/>
        <family val="0"/>
        <charset val="1"/>
      </rPr>
      <t xml:space="preserve">(Arias</t>
    </r>
    <r>
      <rPr>
        <sz val="10"/>
        <color rgb="FF000000"/>
        <rFont val="WenQuanYi Zen Hei"/>
        <family val="2"/>
      </rPr>
      <t xml:space="preserve">는 연결 자체를 검증하지 않음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전문가 검증 전 단계입니다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관계 이름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갱신 구분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단계 가설은 두 논문에 없는 본 연구 설계입니다</t>
    </r>
    <r>
      <rPr>
        <sz val="10"/>
        <color rgb="FF000000"/>
        <rFont val="맑은 고딕"/>
        <family val="0"/>
        <charset val="1"/>
      </rPr>
      <t xml:space="preserve">. Białas(2010)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BS 25999 </t>
    </r>
    <r>
      <rPr>
        <sz val="10"/>
        <color rgb="FF000000"/>
        <rFont val="WenQuanYi Zen Hei"/>
        <family val="2"/>
      </rPr>
      <t xml:space="preserve">기반 프로토타입이며 방법만 차용했습니다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</si>
  <si>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통계 한계</t>
  </si>
  <si>
    <r>
      <rPr>
        <sz val="10"/>
        <color rgb="FF000000"/>
        <rFont val="맑은 고딕"/>
        <family val="0"/>
        <charset val="1"/>
      </rPr>
      <t xml:space="preserve">Cronbach α·</t>
    </r>
    <r>
      <rPr>
        <sz val="10"/>
        <color rgb="FF000000"/>
        <rFont val="WenQuanYi Zen Hei"/>
        <family val="2"/>
      </rPr>
      <t xml:space="preserve">요인분석은 엑셀 수식으로 제공하지 않습니다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통계 프로그램 사용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이 파일은 연결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상태 평균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역문항 일관성 상관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단계 가설 확인까지 제공합니다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</si>
  <si>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4"/>
        <color rgb="FF101828"/>
        <rFont val="WenQuanYi Zen Hei"/>
        <family val="2"/>
      </rPr>
      <t xml:space="preserve">온톨로지 맵 — </t>
    </r>
    <r>
      <rPr>
        <b val="true"/>
        <sz val="14"/>
        <color rgb="FF101828"/>
        <rFont val="맑은 고딕"/>
        <family val="0"/>
        <charset val="1"/>
      </rPr>
      <t xml:space="preserve">22</t>
    </r>
    <r>
      <rPr>
        <b val="true"/>
        <sz val="14"/>
        <color rgb="FF101828"/>
        <rFont val="WenQuanYi Zen Hei"/>
        <family val="2"/>
      </rPr>
      <t xml:space="preserve">개 프로세스와 </t>
    </r>
    <r>
      <rPr>
        <b val="true"/>
        <sz val="14"/>
        <color rgb="FF101828"/>
        <rFont val="맑은 고딕"/>
        <family val="0"/>
        <charset val="1"/>
      </rPr>
      <t xml:space="preserve">25</t>
    </r>
    <r>
      <rPr>
        <b val="true"/>
        <sz val="14"/>
        <color rgb="FF101828"/>
        <rFont val="WenQuanYi Zen Hei"/>
        <family val="2"/>
      </rPr>
      <t xml:space="preserve">개 연결</t>
    </r>
  </si>
  <si>
    <r>
      <rPr>
        <i val="true"/>
        <sz val="10"/>
        <color rgb="FF475467"/>
        <rFont val="WenQuanYi Zen Hei"/>
        <family val="2"/>
      </rPr>
      <t xml:space="preserve">그림 파일</t>
    </r>
    <r>
      <rPr>
        <i val="true"/>
        <sz val="10"/>
        <color rgb="FF475467"/>
        <rFont val="맑은 고딕"/>
        <family val="0"/>
        <charset val="1"/>
      </rPr>
      <t xml:space="preserve">: docs/BCMS_</t>
    </r>
    <r>
      <rPr>
        <i val="true"/>
        <sz val="10"/>
        <color rgb="FF475467"/>
        <rFont val="WenQuanYi Zen Hei"/>
        <family val="2"/>
      </rPr>
      <t xml:space="preserve">온톨로지맵</t>
    </r>
    <r>
      <rPr>
        <i val="true"/>
        <sz val="10"/>
        <color rgb="FF475467"/>
        <rFont val="맑은 고딕"/>
        <family val="0"/>
        <charset val="1"/>
      </rPr>
      <t xml:space="preserve">.png · </t>
    </r>
    <r>
      <rPr>
        <i val="true"/>
        <sz val="10"/>
        <color rgb="FF475467"/>
        <rFont val="WenQuanYi Zen Hei"/>
        <family val="2"/>
      </rPr>
      <t xml:space="preserve">연결 </t>
    </r>
    <r>
      <rPr>
        <i val="true"/>
        <sz val="10"/>
        <color rgb="FF475467"/>
        <rFont val="맑은 고딕"/>
        <family val="0"/>
        <charset val="1"/>
      </rPr>
      <t xml:space="preserve">ID</t>
    </r>
    <r>
      <rPr>
        <i val="true"/>
        <sz val="10"/>
        <color rgb="FF475467"/>
        <rFont val="WenQuanYi Zen Hei"/>
        <family val="2"/>
      </rPr>
      <t xml:space="preserve">는 연결 시트</t>
    </r>
    <r>
      <rPr>
        <i val="true"/>
        <sz val="10"/>
        <color rgb="FF475467"/>
        <rFont val="맑은 고딕"/>
        <family val="0"/>
        <charset val="1"/>
      </rPr>
      <t xml:space="preserve">, </t>
    </r>
    <r>
      <rPr>
        <i val="true"/>
        <sz val="10"/>
        <color rgb="FF475467"/>
        <rFont val="WenQuanYi Zen Hei"/>
        <family val="2"/>
      </rPr>
      <t xml:space="preserve">관계 목록은 트리플</t>
    </r>
    <r>
      <rPr>
        <i val="true"/>
        <sz val="10"/>
        <color rgb="FF475467"/>
        <rFont val="맑은 고딕"/>
        <family val="0"/>
        <charset val="1"/>
      </rPr>
      <t xml:space="preserve">·</t>
    </r>
    <r>
      <rPr>
        <i val="true"/>
        <sz val="10"/>
        <color rgb="FF475467"/>
        <rFont val="WenQuanYi Zen Hei"/>
        <family val="2"/>
      </rPr>
      <t xml:space="preserve">관계매트릭스 시트 참조</t>
    </r>
  </si>
  <si>
    <r>
      <rPr>
        <b val="true"/>
        <sz val="14"/>
        <color rgb="FF101828"/>
        <rFont val="WenQuanYi Zen Hei"/>
        <family val="2"/>
      </rPr>
      <t xml:space="preserve">객체</t>
    </r>
    <r>
      <rPr>
        <b val="true"/>
        <sz val="14"/>
        <color rgb="FF101828"/>
        <rFont val="맑은 고딕"/>
        <family val="0"/>
        <charset val="1"/>
      </rPr>
      <t xml:space="preserve">(</t>
    </r>
    <r>
      <rPr>
        <b val="true"/>
        <sz val="14"/>
        <color rgb="FF101828"/>
        <rFont val="WenQuanYi Zen Hei"/>
        <family val="2"/>
      </rPr>
      <t xml:space="preserve">클래스</t>
    </r>
    <r>
      <rPr>
        <b val="true"/>
        <sz val="14"/>
        <color rgb="FF101828"/>
        <rFont val="맑은 고딕"/>
        <family val="0"/>
        <charset val="1"/>
      </rPr>
      <t xml:space="preserve">) — Arias Table 5</t>
    </r>
    <r>
      <rPr>
        <b val="true"/>
        <sz val="14"/>
        <color rgb="FF101828"/>
        <rFont val="WenQuanYi Zen Hei"/>
        <family val="2"/>
      </rPr>
      <t xml:space="preserve">의 </t>
    </r>
    <r>
      <rPr>
        <b val="true"/>
        <sz val="14"/>
        <color rgb="FF101828"/>
        <rFont val="맑은 고딕"/>
        <family val="0"/>
        <charset val="1"/>
      </rPr>
      <t xml:space="preserve">22</t>
    </r>
    <r>
      <rPr>
        <b val="true"/>
        <sz val="14"/>
        <color rgb="FF101828"/>
        <rFont val="WenQuanYi Zen Hei"/>
        <family val="2"/>
      </rPr>
      <t xml:space="preserve">개 </t>
    </r>
    <r>
      <rPr>
        <b val="true"/>
        <sz val="14"/>
        <color rgb="FF101828"/>
        <rFont val="맑은 고딕"/>
        <family val="0"/>
        <charset val="1"/>
      </rPr>
      <t xml:space="preserve">BCMS </t>
    </r>
    <r>
      <rPr>
        <b val="true"/>
        <sz val="14"/>
        <color rgb="FF101828"/>
        <rFont val="WenQuanYi Zen Hei"/>
        <family val="2"/>
      </rPr>
      <t xml:space="preserve">프로세스</t>
    </r>
  </si>
  <si>
    <r>
      <rPr>
        <i val="true"/>
        <sz val="10"/>
        <color rgb="FF475467"/>
        <rFont val="WenQuanYi Zen Hei"/>
        <family val="2"/>
      </rPr>
      <t xml:space="preserve">범주</t>
    </r>
    <r>
      <rPr>
        <i val="true"/>
        <sz val="10"/>
        <color rgb="FF475467"/>
        <rFont val="맑은 고딕"/>
        <family val="0"/>
        <charset val="1"/>
      </rPr>
      <t xml:space="preserve">·PDCA·</t>
    </r>
    <r>
      <rPr>
        <i val="true"/>
        <sz val="10"/>
        <color rgb="FF475467"/>
        <rFont val="WenQuanYi Zen Hei"/>
        <family val="2"/>
      </rPr>
      <t xml:space="preserve">재난관리주기</t>
    </r>
    <r>
      <rPr>
        <i val="true"/>
        <sz val="10"/>
        <color rgb="FF475467"/>
        <rFont val="맑은 고딕"/>
        <family val="0"/>
        <charset val="1"/>
      </rPr>
      <t xml:space="preserve">: Arias Table 5 / </t>
    </r>
    <r>
      <rPr>
        <i val="true"/>
        <sz val="10"/>
        <color rgb="FF475467"/>
        <rFont val="WenQuanYi Zen Hei"/>
        <family val="2"/>
      </rPr>
      <t xml:space="preserve">지명률</t>
    </r>
    <r>
      <rPr>
        <i val="true"/>
        <sz val="10"/>
        <color rgb="FF475467"/>
        <rFont val="맑은 고딕"/>
        <family val="0"/>
        <charset val="1"/>
      </rPr>
      <t xml:space="preserve">: Arias Table 2–4(</t>
    </r>
    <r>
      <rPr>
        <i val="true"/>
        <sz val="10"/>
        <color rgb="FF475467"/>
        <rFont val="WenQuanYi Zen Hei"/>
        <family val="2"/>
      </rPr>
      <t xml:space="preserve">전문가 </t>
    </r>
    <r>
      <rPr>
        <i val="true"/>
        <sz val="10"/>
        <color rgb="FF475467"/>
        <rFont val="맑은 고딕"/>
        <family val="0"/>
        <charset val="1"/>
      </rPr>
      <t xml:space="preserve">39</t>
    </r>
    <r>
      <rPr>
        <i val="true"/>
        <sz val="10"/>
        <color rgb="FF475467"/>
        <rFont val="WenQuanYi Zen Hei"/>
        <family val="2"/>
      </rPr>
      <t xml:space="preserve">명</t>
    </r>
    <r>
      <rPr>
        <i val="true"/>
        <sz val="10"/>
        <color rgb="FF475467"/>
        <rFont val="맑은 고딕"/>
        <family val="0"/>
        <charset val="1"/>
      </rPr>
      <t xml:space="preserve">) / </t>
    </r>
    <r>
      <rPr>
        <i val="true"/>
        <sz val="10"/>
        <color rgb="FF475467"/>
        <rFont val="WenQuanYi Zen Hei"/>
        <family val="2"/>
      </rPr>
      <t xml:space="preserve">대표 산출물</t>
    </r>
    <r>
      <rPr>
        <i val="true"/>
        <sz val="10"/>
        <color rgb="FF475467"/>
        <rFont val="맑은 고딕"/>
        <family val="0"/>
        <charset val="1"/>
      </rPr>
      <t xml:space="preserve">: Białas</t>
    </r>
    <r>
      <rPr>
        <i val="true"/>
        <sz val="10"/>
        <color rgb="FF475467"/>
        <rFont val="WenQuanYi Zen Hei"/>
        <family val="2"/>
      </rPr>
      <t xml:space="preserve">의 </t>
    </r>
    <r>
      <rPr>
        <i val="true"/>
        <sz val="10"/>
        <color rgb="FF475467"/>
        <rFont val="맑은 고딕"/>
        <family val="0"/>
        <charset val="1"/>
      </rPr>
      <t xml:space="preserve">artefact </t>
    </r>
    <r>
      <rPr>
        <i val="true"/>
        <sz val="10"/>
        <color rgb="FF475467"/>
        <rFont val="WenQuanYi Zen Hei"/>
        <family val="2"/>
      </rPr>
      <t xml:space="preserve">개념을 적용한 제안</t>
    </r>
  </si>
  <si>
    <t xml:space="preserve">ID</t>
  </si>
  <si>
    <t xml:space="preserve">프로세스</t>
  </si>
  <si>
    <t xml:space="preserve">범주</t>
  </si>
  <si>
    <t xml:space="preserve">PDCA</t>
  </si>
  <si>
    <t xml:space="preserve">재난관리주기</t>
  </si>
  <si>
    <r>
      <rPr>
        <b val="true"/>
        <sz val="10"/>
        <color rgb="FFFFFFFF"/>
        <rFont val="WenQuanYi Zen Hei"/>
        <family val="2"/>
      </rPr>
      <t xml:space="preserve">전문가 지명률</t>
    </r>
    <r>
      <rPr>
        <b val="true"/>
        <sz val="10"/>
        <color rgb="FFFFFFFF"/>
        <rFont val="맑은 고딕"/>
        <family val="0"/>
        <charset val="1"/>
      </rPr>
      <t xml:space="preserve">(%)</t>
    </r>
  </si>
  <si>
    <r>
      <rPr>
        <b val="true"/>
        <sz val="10"/>
        <color rgb="FFFFFFFF"/>
        <rFont val="맑은 고딕"/>
        <family val="0"/>
        <charset val="1"/>
      </rPr>
      <t xml:space="preserve">Arias </t>
    </r>
    <r>
      <rPr>
        <b val="true"/>
        <sz val="10"/>
        <color rgb="FFFFFFFF"/>
        <rFont val="WenQuanYi Zen Hei"/>
        <family val="2"/>
      </rPr>
      <t xml:space="preserve">합의 구분</t>
    </r>
    <r>
      <rPr>
        <b val="true"/>
        <sz val="10"/>
        <color rgb="FFFFFFFF"/>
        <rFont val="맑은 고딕"/>
        <family val="0"/>
        <charset val="1"/>
      </rPr>
      <t xml:space="preserve">(80%/20%)</t>
    </r>
  </si>
  <si>
    <r>
      <rPr>
        <b val="true"/>
        <sz val="10"/>
        <color rgb="FFFFFFFF"/>
        <rFont val="WenQuanYi Zen Hei"/>
        <family val="2"/>
      </rPr>
      <t xml:space="preserve">대표 산출물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제안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</si>
  <si>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관련 연결 수</t>
  </si>
  <si>
    <t xml:space="preserve">GOV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</si>
  <si>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거버넌스</t>
    </r>
  </si>
  <si>
    <t xml:space="preserve">관리</t>
  </si>
  <si>
    <t xml:space="preserve">-</t>
  </si>
  <si>
    <r>
      <rPr>
        <sz val="10"/>
        <color rgb="FF000000"/>
        <rFont val="WenQuanYi Zen Hei"/>
        <family val="2"/>
      </rPr>
      <t xml:space="preserve">경영진 검토 결과</t>
    </r>
    <r>
      <rPr>
        <sz val="10"/>
        <color rgb="FF000000"/>
        <rFont val="맑은 고딕"/>
        <family val="0"/>
        <charset val="1"/>
      </rPr>
      <t xml:space="preserve">·BCMS </t>
    </r>
    <r>
      <rPr>
        <sz val="10"/>
        <color rgb="FF000000"/>
        <rFont val="WenQuanYi Zen Hei"/>
        <family val="2"/>
      </rPr>
      <t xml:space="preserve">목표</t>
    </r>
    <r>
      <rPr>
        <sz val="10"/>
        <color rgb="FF000000"/>
        <rFont val="맑은 고딕"/>
        <family val="0"/>
        <charset val="1"/>
      </rPr>
      <t xml:space="preserve">(Arias p.14,16)</t>
    </r>
  </si>
  <si>
    <t xml:space="preserve">POL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</si>
  <si>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정책관리</t>
    </r>
  </si>
  <si>
    <t xml:space="preserve">핵심</t>
  </si>
  <si>
    <t xml:space="preserve">Plan</t>
  </si>
  <si>
    <t xml:space="preserve">Mitigation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</si>
  <si>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정책</t>
    </r>
    <r>
      <rPr>
        <sz val="10"/>
        <color rgb="FF000000"/>
        <rFont val="맑은 고딕"/>
        <family val="0"/>
        <charset val="1"/>
      </rPr>
      <t xml:space="preserve">(Białas hasBCpolicy)</t>
    </r>
  </si>
  <si>
    <t xml:space="preserve">REQ</t>
  </si>
  <si>
    <t xml:space="preserve">요구사항관리</t>
  </si>
  <si>
    <r>
      <rPr>
        <sz val="10"/>
        <color rgb="FF000000"/>
        <rFont val="WenQuanYi Zen Hei"/>
        <family val="2"/>
      </rPr>
      <t xml:space="preserve">법규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계약 요구사항 목록</t>
    </r>
  </si>
  <si>
    <t xml:space="preserve">BIA</t>
  </si>
  <si>
    <r>
      <rPr>
        <sz val="10"/>
        <color rgb="FF000000"/>
        <rFont val="맑은 고딕"/>
        <family val="0"/>
        <charset val="1"/>
      </rPr>
      <t xml:space="preserve">BIA·</t>
    </r>
    <r>
      <rPr>
        <sz val="10"/>
        <color rgb="FF000000"/>
        <rFont val="WenQuanYi Zen Hei"/>
        <family val="2"/>
      </rPr>
      <t xml:space="preserve">중요도 분석</t>
    </r>
  </si>
  <si>
    <r>
      <rPr>
        <sz val="10"/>
        <color rgb="FF000000"/>
        <rFont val="맑은 고딕"/>
        <family val="0"/>
        <charset val="1"/>
      </rPr>
      <t xml:space="preserve">BIA </t>
    </r>
    <r>
      <rPr>
        <sz val="10"/>
        <color rgb="FF000000"/>
        <rFont val="WenQuanYi Zen Hei"/>
        <family val="2"/>
      </rPr>
      <t xml:space="preserve">보고서</t>
    </r>
    <r>
      <rPr>
        <sz val="10"/>
        <color rgb="FF000000"/>
        <rFont val="맑은 고딕"/>
        <family val="0"/>
        <charset val="1"/>
      </rPr>
      <t xml:space="preserve">(RTO </t>
    </r>
    <r>
      <rPr>
        <sz val="10"/>
        <color rgb="FF000000"/>
        <rFont val="WenQuanYi Zen Hei"/>
        <family val="2"/>
      </rPr>
      <t xml:space="preserve">등</t>
    </r>
    <r>
      <rPr>
        <sz val="10"/>
        <color rgb="FF000000"/>
        <rFont val="맑은 고딕"/>
        <family val="0"/>
        <charset val="1"/>
      </rPr>
      <t xml:space="preserve">, Białas BIAreport)</t>
    </r>
  </si>
  <si>
    <t xml:space="preserve">RA</t>
  </si>
  <si>
    <t xml:space="preserve">리스크평가</t>
  </si>
  <si>
    <t xml:space="preserve">리스크 카탈로그</t>
  </si>
  <si>
    <t xml:space="preserve">STR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</si>
  <si>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 결정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선정</t>
    </r>
  </si>
  <si>
    <r>
      <rPr>
        <sz val="10"/>
        <color rgb="FF000000"/>
        <rFont val="WenQuanYi Zen Hei"/>
        <family val="2"/>
      </rPr>
      <t xml:space="preserve">선정된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</t>
    </r>
  </si>
  <si>
    <t xml:space="preserve">PLAN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</si>
  <si>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 개발</t>
    </r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</si>
  <si>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</t>
    </r>
    <r>
      <rPr>
        <sz val="10"/>
        <color rgb="FF000000"/>
        <rFont val="맑은 고딕"/>
        <family val="0"/>
        <charset val="1"/>
      </rPr>
      <t xml:space="preserve">(Białas hasBCplan)</t>
    </r>
  </si>
  <si>
    <t xml:space="preserve">IMP</t>
  </si>
  <si>
    <t xml:space="preserve">솔루션 이행관리</t>
  </si>
  <si>
    <t xml:space="preserve">Do</t>
  </si>
  <si>
    <t xml:space="preserve">Preparedness</t>
  </si>
  <si>
    <r>
      <rPr>
        <sz val="10"/>
        <color rgb="FF000000"/>
        <rFont val="WenQuanYi Zen Hei"/>
        <family val="2"/>
      </rPr>
      <t xml:space="preserve">구현된 솔루션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이행 기록</t>
    </r>
  </si>
  <si>
    <t xml:space="preserve">INC</t>
  </si>
  <si>
    <r>
      <rPr>
        <sz val="10"/>
        <color rgb="FF000000"/>
        <rFont val="WenQuanYi Zen Hei"/>
        <family val="2"/>
      </rPr>
      <t xml:space="preserve">사고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비상 대응</t>
    </r>
  </si>
  <si>
    <t xml:space="preserve">Response</t>
  </si>
  <si>
    <t xml:space="preserve">사고 대응 기록</t>
  </si>
  <si>
    <t xml:space="preserve">EXE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</si>
  <si>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 훈련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연습</t>
    </r>
  </si>
  <si>
    <r>
      <rPr>
        <sz val="10"/>
        <color rgb="FF000000"/>
        <rFont val="WenQuanYi Zen Hei"/>
        <family val="2"/>
      </rPr>
      <t xml:space="preserve">연습 시나리오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결과</t>
    </r>
  </si>
  <si>
    <t xml:space="preserve">AWR</t>
  </si>
  <si>
    <r>
      <rPr>
        <sz val="10"/>
        <color rgb="FF000000"/>
        <rFont val="WenQuanYi Zen Hei"/>
        <family val="2"/>
      </rPr>
      <t xml:space="preserve">인식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역량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교육</t>
    </r>
  </si>
  <si>
    <r>
      <rPr>
        <sz val="10"/>
        <color rgb="FF000000"/>
        <rFont val="WenQuanYi Zen Hei"/>
        <family val="2"/>
      </rPr>
      <t xml:space="preserve">교육 프로그램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기록</t>
    </r>
    <r>
      <rPr>
        <sz val="10"/>
        <color rgb="FF000000"/>
        <rFont val="맑은 고딕"/>
        <family val="0"/>
        <charset val="1"/>
      </rPr>
      <t xml:space="preserve">(Białas trainingProgs, trainingTrail)</t>
    </r>
  </si>
  <si>
    <t xml:space="preserve">SUP</t>
  </si>
  <si>
    <t xml:space="preserve">공급망관리</t>
  </si>
  <si>
    <r>
      <rPr>
        <sz val="10"/>
        <color rgb="FF000000"/>
        <rFont val="WenQuanYi Zen Hei"/>
        <family val="2"/>
      </rPr>
      <t xml:space="preserve">공급업체 평가 결과</t>
    </r>
    <r>
      <rPr>
        <sz val="10"/>
        <color rgb="FF000000"/>
        <rFont val="맑은 고딕"/>
        <family val="0"/>
        <charset val="1"/>
      </rPr>
      <t xml:space="preserve">(Białas hasSuppOutsource)</t>
    </r>
  </si>
  <si>
    <t xml:space="preserve">AUD</t>
  </si>
  <si>
    <t xml:space="preserve">내부감사</t>
  </si>
  <si>
    <t xml:space="preserve">Check</t>
  </si>
  <si>
    <t xml:space="preserve">감사 보고서</t>
  </si>
  <si>
    <t xml:space="preserve">PERF</t>
  </si>
  <si>
    <t xml:space="preserve">성과평가</t>
  </si>
  <si>
    <t xml:space="preserve">성과평가 보고서</t>
  </si>
  <si>
    <t xml:space="preserve">CI</t>
  </si>
  <si>
    <t xml:space="preserve">지속적 개선</t>
  </si>
  <si>
    <t xml:space="preserve">Act</t>
  </si>
  <si>
    <r>
      <rPr>
        <sz val="10"/>
        <color rgb="FF000000"/>
        <rFont val="WenQuanYi Zen Hei"/>
        <family val="2"/>
      </rPr>
      <t xml:space="preserve">개선 과제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조치 계획</t>
    </r>
  </si>
  <si>
    <t xml:space="preserve">CHG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</si>
  <si>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변경관리</t>
    </r>
  </si>
  <si>
    <r>
      <rPr>
        <sz val="10"/>
        <color rgb="FF000000"/>
        <rFont val="WenQuanYi Zen Hei"/>
        <family val="2"/>
      </rPr>
      <t xml:space="preserve">변경 요청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변경 결과</t>
    </r>
  </si>
  <si>
    <t xml:space="preserve">WARN</t>
  </si>
  <si>
    <r>
      <rPr>
        <sz val="10"/>
        <color rgb="FF000000"/>
        <rFont val="WenQuanYi Zen Hei"/>
        <family val="2"/>
      </rPr>
      <t xml:space="preserve">경보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커뮤니케이션</t>
    </r>
  </si>
  <si>
    <r>
      <rPr>
        <sz val="10"/>
        <color rgb="FF000000"/>
        <rFont val="WenQuanYi Zen Hei"/>
        <family val="2"/>
      </rPr>
      <t xml:space="preserve">경보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전파 기록</t>
    </r>
  </si>
  <si>
    <t xml:space="preserve">REC</t>
  </si>
  <si>
    <t xml:space="preserve">복구</t>
  </si>
  <si>
    <t xml:space="preserve">Recovery</t>
  </si>
  <si>
    <t xml:space="preserve">복구 결과</t>
  </si>
  <si>
    <t xml:space="preserve">DOC</t>
  </si>
  <si>
    <t xml:space="preserve">문서화된 정보 통제</t>
  </si>
  <si>
    <t xml:space="preserve">지원</t>
  </si>
  <si>
    <r>
      <rPr>
        <sz val="10"/>
        <color rgb="FF000000"/>
        <rFont val="WenQuanYi Zen Hei"/>
        <family val="2"/>
      </rPr>
      <t xml:space="preserve">문서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버전 이력</t>
    </r>
    <r>
      <rPr>
        <sz val="10"/>
        <color rgb="FF000000"/>
        <rFont val="맑은 고딕"/>
        <family val="0"/>
        <charset val="1"/>
      </rPr>
      <t xml:space="preserve">(Białas hasBCdocs, hasBCrecords)</t>
    </r>
  </si>
  <si>
    <t xml:space="preserve">RES</t>
  </si>
  <si>
    <t xml:space="preserve">자원관리</t>
  </si>
  <si>
    <r>
      <rPr>
        <sz val="10"/>
        <color rgb="FF000000"/>
        <rFont val="WenQuanYi Zen Hei"/>
        <family val="2"/>
      </rPr>
      <t xml:space="preserve">자원 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자원 사용 보고</t>
    </r>
    <r>
      <rPr>
        <sz val="10"/>
        <color rgb="FF000000"/>
        <rFont val="맑은 고딕"/>
        <family val="0"/>
        <charset val="1"/>
      </rPr>
      <t xml:space="preserve">(Białas providedResour)</t>
    </r>
  </si>
  <si>
    <t xml:space="preserve">COM</t>
  </si>
  <si>
    <r>
      <rPr>
        <sz val="10"/>
        <color rgb="FF000000"/>
        <rFont val="WenQuanYi Zen Hei"/>
        <family val="2"/>
      </rPr>
      <t xml:space="preserve">협의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커뮤니케이션</t>
    </r>
  </si>
  <si>
    <r>
      <rPr>
        <sz val="10"/>
        <color rgb="FF000000"/>
        <rFont val="WenQuanYi Zen Hei"/>
        <family val="2"/>
      </rPr>
      <t xml:space="preserve">이해관계자 보고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요구</t>
    </r>
  </si>
  <si>
    <t xml:space="preserve">CRM</t>
  </si>
  <si>
    <t xml:space="preserve">고객관계관리</t>
  </si>
  <si>
    <r>
      <rPr>
        <sz val="10"/>
        <color rgb="FF000000"/>
        <rFont val="WenQuanYi Zen Hei"/>
        <family val="2"/>
      </rPr>
      <t xml:space="preserve">고객 만족</t>
    </r>
    <r>
      <rPr>
        <sz val="10"/>
        <color rgb="FF000000"/>
        <rFont val="맑은 고딕"/>
        <family val="0"/>
        <charset val="1"/>
      </rPr>
      <t xml:space="preserve">·BC </t>
    </r>
    <r>
      <rPr>
        <sz val="10"/>
        <color rgb="FF000000"/>
        <rFont val="WenQuanYi Zen Hei"/>
        <family val="2"/>
      </rPr>
      <t xml:space="preserve">투자 가치 보고</t>
    </r>
  </si>
  <si>
    <r>
      <rPr>
        <i val="true"/>
        <sz val="10"/>
        <color rgb="FF475467"/>
        <rFont val="WenQuanYi Zen Hei"/>
        <family val="2"/>
      </rPr>
      <t xml:space="preserve">주</t>
    </r>
    <r>
      <rPr>
        <i val="true"/>
        <sz val="10"/>
        <color rgb="FF475467"/>
        <rFont val="맑은 고딕"/>
        <family val="0"/>
        <charset val="1"/>
      </rPr>
      <t xml:space="preserve">: </t>
    </r>
    <r>
      <rPr>
        <i val="true"/>
        <sz val="10"/>
        <color rgb="FF475467"/>
        <rFont val="WenQuanYi Zen Hei"/>
        <family val="2"/>
      </rPr>
      <t xml:space="preserve">지명률은 논문 표의 값을 옮긴 것이며 </t>
    </r>
    <r>
      <rPr>
        <i val="true"/>
        <sz val="10"/>
        <color rgb="FF475467"/>
        <rFont val="맑은 고딕"/>
        <family val="0"/>
        <charset val="1"/>
      </rPr>
      <t xml:space="preserve">Arias</t>
    </r>
    <r>
      <rPr>
        <i val="true"/>
        <sz val="10"/>
        <color rgb="FF475467"/>
        <rFont val="WenQuanYi Zen Hei"/>
        <family val="2"/>
      </rPr>
      <t xml:space="preserve">는 </t>
    </r>
    <r>
      <rPr>
        <i val="true"/>
        <sz val="10"/>
        <color rgb="FF475467"/>
        <rFont val="맑은 고딕"/>
        <family val="0"/>
        <charset val="1"/>
      </rPr>
      <t xml:space="preserve">CRM(3%)</t>
    </r>
    <r>
      <rPr>
        <i val="true"/>
        <sz val="10"/>
        <color rgb="FF475467"/>
        <rFont val="WenQuanYi Zen Hei"/>
        <family val="2"/>
      </rPr>
      <t xml:space="preserve">도 참조모델에 포함하도록 판단했고</t>
    </r>
    <r>
      <rPr>
        <i val="true"/>
        <sz val="10"/>
        <color rgb="FF475467"/>
        <rFont val="맑은 고딕"/>
        <family val="0"/>
        <charset val="1"/>
      </rPr>
      <t xml:space="preserve">, </t>
    </r>
    <r>
      <rPr>
        <i val="true"/>
        <sz val="10"/>
        <color rgb="FF475467"/>
        <rFont val="WenQuanYi Zen Hei"/>
        <family val="2"/>
      </rPr>
      <t xml:space="preserve">요구사항</t>
    </r>
    <r>
      <rPr>
        <i val="true"/>
        <sz val="10"/>
        <color rgb="FF475467"/>
        <rFont val="맑은 고딕"/>
        <family val="0"/>
        <charset val="1"/>
      </rPr>
      <t xml:space="preserve">·</t>
    </r>
    <r>
      <rPr>
        <i val="true"/>
        <sz val="10"/>
        <color rgb="FF475467"/>
        <rFont val="WenQuanYi Zen Hei"/>
        <family val="2"/>
      </rPr>
      <t xml:space="preserve">전략</t>
    </r>
    <r>
      <rPr>
        <i val="true"/>
        <sz val="10"/>
        <color rgb="FF475467"/>
        <rFont val="맑은 고딕"/>
        <family val="0"/>
        <charset val="1"/>
      </rPr>
      <t xml:space="preserve">·</t>
    </r>
    <r>
      <rPr>
        <i val="true"/>
        <sz val="10"/>
        <color rgb="FF475467"/>
        <rFont val="WenQuanYi Zen Hei"/>
        <family val="2"/>
      </rPr>
      <t xml:space="preserve">이행</t>
    </r>
    <r>
      <rPr>
        <i val="true"/>
        <sz val="10"/>
        <color rgb="FF475467"/>
        <rFont val="맑은 고딕"/>
        <family val="0"/>
        <charset val="1"/>
      </rPr>
      <t xml:space="preserve">·</t>
    </r>
    <r>
      <rPr>
        <i val="true"/>
        <sz val="10"/>
        <color rgb="FF475467"/>
        <rFont val="WenQuanYi Zen Hei"/>
        <family val="2"/>
      </rPr>
      <t xml:space="preserve">계획</t>
    </r>
    <r>
      <rPr>
        <i val="true"/>
        <sz val="10"/>
        <color rgb="FF475467"/>
        <rFont val="맑은 고딕"/>
        <family val="0"/>
        <charset val="1"/>
      </rPr>
      <t xml:space="preserve">·</t>
    </r>
    <r>
      <rPr>
        <i val="true"/>
        <sz val="10"/>
        <color rgb="FF475467"/>
        <rFont val="WenQuanYi Zen Hei"/>
        <family val="2"/>
      </rPr>
      <t xml:space="preserve">협의</t>
    </r>
    <r>
      <rPr>
        <i val="true"/>
        <sz val="10"/>
        <color rgb="FF475467"/>
        <rFont val="맑은 고딕"/>
        <family val="0"/>
        <charset val="1"/>
      </rPr>
      <t xml:space="preserve">(69~74%)</t>
    </r>
    <r>
      <rPr>
        <i val="true"/>
        <sz val="10"/>
        <color rgb="FF475467"/>
        <rFont val="WenQuanYi Zen Hei"/>
        <family val="2"/>
      </rPr>
      <t xml:space="preserve">도 </t>
    </r>
    <r>
      <rPr>
        <i val="true"/>
        <sz val="10"/>
        <color rgb="FF475467"/>
        <rFont val="맑은 고딕"/>
        <family val="0"/>
        <charset val="1"/>
      </rPr>
      <t xml:space="preserve">ISO 22301 </t>
    </r>
    <r>
      <rPr>
        <i val="true"/>
        <sz val="10"/>
        <color rgb="FF475467"/>
        <rFont val="WenQuanYi Zen Hei"/>
        <family val="2"/>
      </rPr>
      <t xml:space="preserve">요건으로 핵심 프로세스로 유지했다</t>
    </r>
    <r>
      <rPr>
        <i val="true"/>
        <sz val="10"/>
        <color rgb="FF475467"/>
        <rFont val="맑은 고딕"/>
        <family val="0"/>
        <charset val="1"/>
      </rPr>
      <t xml:space="preserve">(Arias pp.12–13). </t>
    </r>
    <r>
      <rPr>
        <i val="true"/>
        <sz val="10"/>
        <color rgb="FF475467"/>
        <rFont val="WenQuanYi Zen Hei"/>
        <family val="2"/>
      </rPr>
      <t xml:space="preserve">따라서 </t>
    </r>
    <r>
      <rPr>
        <i val="true"/>
        <sz val="10"/>
        <color rgb="FF475467"/>
        <rFont val="맑은 고딕"/>
        <family val="0"/>
        <charset val="1"/>
      </rPr>
      <t xml:space="preserve">"</t>
    </r>
    <r>
      <rPr>
        <i val="true"/>
        <sz val="10"/>
        <color rgb="FF475467"/>
        <rFont val="WenQuanYi Zen Hei"/>
        <family val="2"/>
      </rPr>
      <t xml:space="preserve">합의 구분</t>
    </r>
    <r>
      <rPr>
        <i val="true"/>
        <sz val="10"/>
        <color rgb="FF475467"/>
        <rFont val="맑은 고딕"/>
        <family val="0"/>
        <charset val="1"/>
      </rPr>
      <t xml:space="preserve">"</t>
    </r>
    <r>
      <rPr>
        <i val="true"/>
        <sz val="10"/>
        <color rgb="FF475467"/>
        <rFont val="WenQuanYi Zen Hei"/>
        <family val="2"/>
      </rPr>
      <t xml:space="preserve">은 참고 정보이며 포함 여부를 결정하지 않는다</t>
    </r>
    <r>
      <rPr>
        <i val="true"/>
        <sz val="10"/>
        <color rgb="FF475467"/>
        <rFont val="맑은 고딕"/>
        <family val="0"/>
        <charset val="1"/>
      </rPr>
      <t xml:space="preserve">.</t>
    </r>
  </si>
  <si>
    <r>
      <rPr>
        <b val="true"/>
        <sz val="14"/>
        <color rgb="FF101828"/>
        <rFont val="WenQuanYi Zen Hei"/>
        <family val="2"/>
      </rPr>
      <t xml:space="preserve">연결</t>
    </r>
    <r>
      <rPr>
        <b val="true"/>
        <sz val="14"/>
        <color rgb="FF101828"/>
        <rFont val="맑은 고딕"/>
        <family val="0"/>
        <charset val="1"/>
      </rPr>
      <t xml:space="preserve">(</t>
    </r>
    <r>
      <rPr>
        <b val="true"/>
        <sz val="14"/>
        <color rgb="FF101828"/>
        <rFont val="WenQuanYi Zen Hei"/>
        <family val="2"/>
      </rPr>
      <t xml:space="preserve">관계</t>
    </r>
    <r>
      <rPr>
        <b val="true"/>
        <sz val="14"/>
        <color rgb="FF101828"/>
        <rFont val="맑은 고딕"/>
        <family val="0"/>
        <charset val="1"/>
      </rPr>
      <t xml:space="preserve">) 25</t>
    </r>
    <r>
      <rPr>
        <b val="true"/>
        <sz val="14"/>
        <color rgb="FF101828"/>
        <rFont val="WenQuanYi Zen Hei"/>
        <family val="2"/>
      </rPr>
      <t xml:space="preserve">개 — 근거</t>
    </r>
    <r>
      <rPr>
        <b val="true"/>
        <sz val="14"/>
        <color rgb="FF101828"/>
        <rFont val="맑은 고딕"/>
        <family val="0"/>
        <charset val="1"/>
      </rPr>
      <t xml:space="preserve">·</t>
    </r>
    <r>
      <rPr>
        <b val="true"/>
        <sz val="14"/>
        <color rgb="FF101828"/>
        <rFont val="WenQuanYi Zen Hei"/>
        <family val="2"/>
      </rPr>
      <t xml:space="preserve">등급</t>
    </r>
    <r>
      <rPr>
        <b val="true"/>
        <sz val="14"/>
        <color rgb="FF101828"/>
        <rFont val="맑은 고딕"/>
        <family val="0"/>
        <charset val="1"/>
      </rPr>
      <t xml:space="preserve">·competency question</t>
    </r>
  </si>
  <si>
    <r>
      <rPr>
        <i val="true"/>
        <sz val="10"/>
        <color rgb="FF475467"/>
        <rFont val="WenQuanYi Zen Hei"/>
        <family val="2"/>
      </rPr>
      <t xml:space="preserve">등급 </t>
    </r>
    <r>
      <rPr>
        <i val="true"/>
        <sz val="10"/>
        <color rgb="FF475467"/>
        <rFont val="맑은 고딕"/>
        <family val="0"/>
        <charset val="1"/>
      </rPr>
      <t xml:space="preserve">A=Arias</t>
    </r>
    <r>
      <rPr>
        <i val="true"/>
        <sz val="10"/>
        <color rgb="FF475467"/>
        <rFont val="WenQuanYi Zen Hei"/>
        <family val="2"/>
      </rPr>
      <t xml:space="preserve">가 입력</t>
    </r>
    <r>
      <rPr>
        <i val="true"/>
        <sz val="10"/>
        <color rgb="FF475467"/>
        <rFont val="맑은 고딕"/>
        <family val="0"/>
        <charset val="1"/>
      </rPr>
      <t xml:space="preserve">·</t>
    </r>
    <r>
      <rPr>
        <i val="true"/>
        <sz val="10"/>
        <color rgb="FF475467"/>
        <rFont val="WenQuanYi Zen Hei"/>
        <family val="2"/>
      </rPr>
      <t xml:space="preserve">산출 관계를 직접 서술</t>
    </r>
    <r>
      <rPr>
        <i val="true"/>
        <sz val="10"/>
        <color rgb="FF475467"/>
        <rFont val="맑은 고딕"/>
        <family val="0"/>
        <charset val="1"/>
      </rPr>
      <t xml:space="preserve">, B=</t>
    </r>
    <r>
      <rPr>
        <i val="true"/>
        <sz val="10"/>
        <color rgb="FF475467"/>
        <rFont val="WenQuanYi Zen Hei"/>
        <family val="2"/>
      </rPr>
      <t xml:space="preserve">간접 추론</t>
    </r>
    <r>
      <rPr>
        <i val="true"/>
        <sz val="10"/>
        <color rgb="FF475467"/>
        <rFont val="맑은 고딕"/>
        <family val="0"/>
        <charset val="1"/>
      </rPr>
      <t xml:space="preserve">(</t>
    </r>
    <r>
      <rPr>
        <i val="true"/>
        <sz val="10"/>
        <color rgb="FF475467"/>
        <rFont val="WenQuanYi Zen Hei"/>
        <family val="2"/>
      </rPr>
      <t xml:space="preserve">검증 우선</t>
    </r>
    <r>
      <rPr>
        <i val="true"/>
        <sz val="10"/>
        <color rgb="FF475467"/>
        <rFont val="맑은 고딕"/>
        <family val="0"/>
        <charset val="1"/>
      </rPr>
      <t xml:space="preserve">). </t>
    </r>
    <r>
      <rPr>
        <i val="true"/>
        <sz val="10"/>
        <color rgb="FF475467"/>
        <rFont val="WenQuanYi Zen Hei"/>
        <family val="2"/>
      </rPr>
      <t xml:space="preserve">쪽수는 </t>
    </r>
    <r>
      <rPr>
        <i val="true"/>
        <sz val="10"/>
        <color rgb="FF475467"/>
        <rFont val="맑은 고딕"/>
        <family val="0"/>
        <charset val="1"/>
      </rPr>
      <t xml:space="preserve">Arias </t>
    </r>
    <r>
      <rPr>
        <i val="true"/>
        <sz val="10"/>
        <color rgb="FF475467"/>
        <rFont val="WenQuanYi Zen Hei"/>
        <family val="2"/>
      </rPr>
      <t xml:space="preserve">저널 쪽수</t>
    </r>
    <r>
      <rPr>
        <i val="true"/>
        <sz val="10"/>
        <color rgb="FF475467"/>
        <rFont val="맑은 고딕"/>
        <family val="0"/>
        <charset val="1"/>
      </rPr>
      <t xml:space="preserve">.</t>
    </r>
  </si>
  <si>
    <t xml:space="preserve">영역</t>
  </si>
  <si>
    <r>
      <rPr>
        <b val="true"/>
        <sz val="10"/>
        <color rgb="FFFFFFFF"/>
        <rFont val="WenQuanYi Zen Hei"/>
        <family val="2"/>
      </rPr>
      <t xml:space="preserve">연결 </t>
    </r>
    <r>
      <rPr>
        <b val="true"/>
        <sz val="10"/>
        <color rgb="FFFFFFFF"/>
        <rFont val="맑은 고딕"/>
        <family val="0"/>
        <charset val="1"/>
      </rPr>
      <t xml:space="preserve">(A→B)</t>
    </r>
  </si>
  <si>
    <r>
      <rPr>
        <b val="true"/>
        <sz val="10"/>
        <color rgb="FFFFFFFF"/>
        <rFont val="WenQuanYi Zen Hei"/>
        <family val="2"/>
      </rPr>
      <t xml:space="preserve">관계</t>
    </r>
    <r>
      <rPr>
        <b val="true"/>
        <sz val="10"/>
        <color rgb="FFFFFFFF"/>
        <rFont val="맑은 고딕"/>
        <family val="0"/>
        <charset val="1"/>
      </rPr>
      <t xml:space="preserve">(object slot)</t>
    </r>
  </si>
  <si>
    <r>
      <rPr>
        <b val="true"/>
        <sz val="10"/>
        <color rgb="FFFFFFFF"/>
        <rFont val="WenQuanYi Zen Hei"/>
        <family val="2"/>
      </rPr>
      <t xml:space="preserve">근거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논문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</si>
  <si>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등급</t>
  </si>
  <si>
    <t xml:space="preserve">Competency question</t>
  </si>
  <si>
    <t xml:space="preserve">문항 수</t>
  </si>
  <si>
    <t xml:space="preserve">점검</t>
  </si>
  <si>
    <t xml:space="preserve">L01</t>
  </si>
  <si>
    <r>
      <rPr>
        <sz val="10"/>
        <color rgb="FF000000"/>
        <rFont val="WenQuanYi Zen Hei"/>
        <family val="2"/>
      </rPr>
      <t xml:space="preserve">① 요구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분석</t>
    </r>
  </si>
  <si>
    <t xml:space="preserve">REQ → BIA</t>
  </si>
  <si>
    <t xml:space="preserve">informs</t>
  </si>
  <si>
    <t xml:space="preserve">"These requirements inform processes such as BIA…" (Arias p.15)</t>
  </si>
  <si>
    <t xml:space="preserve">A</t>
  </si>
  <si>
    <r>
      <rPr>
        <sz val="10"/>
        <color rgb="FF000000"/>
        <rFont val="맑은 고딕"/>
        <family val="0"/>
        <charset val="1"/>
      </rPr>
      <t xml:space="preserve">BIA</t>
    </r>
    <r>
      <rPr>
        <sz val="10"/>
        <color rgb="FF000000"/>
        <rFont val="WenQuanYi Zen Hei"/>
        <family val="2"/>
      </rPr>
      <t xml:space="preserve">에 반영된 법규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계약 요구사항은 무엇인가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</si>
  <si>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L02</t>
  </si>
  <si>
    <t xml:space="preserve">REQ → RA</t>
  </si>
  <si>
    <r>
      <rPr>
        <sz val="10"/>
        <color rgb="FF000000"/>
        <rFont val="WenQuanYi Zen Hei"/>
        <family val="2"/>
      </rPr>
      <t xml:space="preserve">같은 문장 </t>
    </r>
    <r>
      <rPr>
        <sz val="10"/>
        <color rgb="FF000000"/>
        <rFont val="맑은 고딕"/>
        <family val="0"/>
        <charset val="1"/>
      </rPr>
      <t xml:space="preserve">(p.15)</t>
    </r>
  </si>
  <si>
    <r>
      <rPr>
        <sz val="10"/>
        <color rgb="FF000000"/>
        <rFont val="WenQuanYi Zen Hei"/>
        <family val="2"/>
      </rPr>
      <t xml:space="preserve">리스크평가가 고려한 요구사항은 무엇인가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</si>
  <si>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L03</t>
  </si>
  <si>
    <t xml:space="preserve">BIA → RA</t>
  </si>
  <si>
    <t xml:space="preserve">"risk assessment… relies on the outcomes of the BIA as its foundation" (p.15)</t>
  </si>
  <si>
    <r>
      <rPr>
        <sz val="10"/>
        <color rgb="FF000000"/>
        <rFont val="WenQuanYi Zen Hei"/>
        <family val="2"/>
      </rPr>
      <t xml:space="preserve">리스크평가 대상 중 </t>
    </r>
    <r>
      <rPr>
        <sz val="10"/>
        <color rgb="FF000000"/>
        <rFont val="맑은 고딕"/>
        <family val="0"/>
        <charset val="1"/>
      </rPr>
      <t xml:space="preserve">BIA</t>
    </r>
    <r>
      <rPr>
        <sz val="10"/>
        <color rgb="FF000000"/>
        <rFont val="WenQuanYi Zen Hei"/>
        <family val="2"/>
      </rPr>
      <t xml:space="preserve">에서 온 것은 무엇인가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</si>
  <si>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L04</t>
  </si>
  <si>
    <t xml:space="preserve">REQ → AUD</t>
  </si>
  <si>
    <r>
      <rPr>
        <sz val="10"/>
        <color rgb="FF000000"/>
        <rFont val="WenQuanYi Zen Hei"/>
        <family val="2"/>
      </rPr>
      <t xml:space="preserve">같은 문장</t>
    </r>
    <r>
      <rPr>
        <sz val="10"/>
        <color rgb="FF000000"/>
        <rFont val="맑은 고딕"/>
        <family val="0"/>
        <charset val="1"/>
      </rPr>
      <t xml:space="preserve">: "internal audits" (p.15)</t>
    </r>
  </si>
  <si>
    <r>
      <rPr>
        <sz val="10"/>
        <color rgb="FF000000"/>
        <rFont val="WenQuanYi Zen Hei"/>
        <family val="2"/>
      </rPr>
      <t xml:space="preserve">감사 점검항목 중 요구사항에서 온 것은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</si>
  <si>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L05</t>
  </si>
  <si>
    <t xml:space="preserve">REQ → SUP</t>
  </si>
  <si>
    <r>
      <rPr>
        <sz val="10"/>
        <color rgb="FF000000"/>
        <rFont val="WenQuanYi Zen Hei"/>
        <family val="2"/>
      </rPr>
      <t xml:space="preserve">같은 문장</t>
    </r>
    <r>
      <rPr>
        <sz val="10"/>
        <color rgb="FF000000"/>
        <rFont val="맑은 고딕"/>
        <family val="0"/>
        <charset val="1"/>
      </rPr>
      <t xml:space="preserve">: "supply chain management" (p.15)</t>
    </r>
  </si>
  <si>
    <r>
      <rPr>
        <sz val="10"/>
        <color rgb="FF000000"/>
        <rFont val="WenQuanYi Zen Hei"/>
        <family val="2"/>
      </rPr>
      <t xml:space="preserve">공급업체 계약에 반영된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요구사항은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</si>
  <si>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L06</t>
  </si>
  <si>
    <r>
      <rPr>
        <sz val="10"/>
        <color rgb="FF000000"/>
        <rFont val="WenQuanYi Zen Hei"/>
        <family val="2"/>
      </rPr>
      <t xml:space="preserve">②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이행</t>
    </r>
  </si>
  <si>
    <t xml:space="preserve">BIA → STR</t>
  </si>
  <si>
    <t xml:space="preserve">"approved BC requirements guide the determination and selection of… strategies" (p.15)</t>
  </si>
  <si>
    <r>
      <rPr>
        <sz val="10"/>
        <color rgb="FF000000"/>
        <rFont val="WenQuanYi Zen Hei"/>
        <family val="2"/>
      </rPr>
      <t xml:space="preserve">이 전략은 어떤 </t>
    </r>
    <r>
      <rPr>
        <sz val="10"/>
        <color rgb="FF000000"/>
        <rFont val="맑은 고딕"/>
        <family val="0"/>
        <charset val="1"/>
      </rPr>
      <t xml:space="preserve">BIA </t>
    </r>
    <r>
      <rPr>
        <sz val="10"/>
        <color rgb="FF000000"/>
        <rFont val="WenQuanYi Zen Hei"/>
        <family val="2"/>
      </rPr>
      <t xml:space="preserve">결과에 근거하는가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</si>
  <si>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L07</t>
  </si>
  <si>
    <t xml:space="preserve">STR → IMP</t>
  </si>
  <si>
    <t xml:space="preserve">derivesFrom</t>
  </si>
  <si>
    <r>
      <rPr>
        <sz val="10"/>
        <color rgb="FF000000"/>
        <rFont val="맑은 고딕"/>
        <family val="0"/>
        <charset val="1"/>
      </rPr>
      <t xml:space="preserve">IMP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"strategies, solutions… are executed as planned" (p.15)</t>
    </r>
  </si>
  <si>
    <r>
      <rPr>
        <sz val="10"/>
        <color rgb="FF000000"/>
        <rFont val="WenQuanYi Zen Hei"/>
        <family val="2"/>
      </rPr>
      <t xml:space="preserve">선정된 솔루션 중 아직 이행되지 않은 것은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</si>
  <si>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L08</t>
  </si>
  <si>
    <t xml:space="preserve">STR → PLAN</t>
  </si>
  <si>
    <t xml:space="preserve">"plans and procedures, derived from the identified BC strategies and solutions" (p.15)</t>
  </si>
  <si>
    <r>
      <rPr>
        <sz val="10"/>
        <color rgb="FF000000"/>
        <rFont val="WenQuanYi Zen Hei"/>
        <family val="2"/>
      </rPr>
      <t xml:space="preserve">이 계획은 어느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솔루션을 활성화하는가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</si>
  <si>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L09</t>
  </si>
  <si>
    <t xml:space="preserve">RA → PLAN</t>
  </si>
  <si>
    <r>
      <rPr>
        <sz val="10"/>
        <color rgb="FF000000"/>
        <rFont val="WenQuanYi Zen Hei"/>
        <family val="2"/>
      </rPr>
      <t xml:space="preserve">리스크 카탈로그가 </t>
    </r>
    <r>
      <rPr>
        <sz val="10"/>
        <color rgb="FF000000"/>
        <rFont val="맑은 고딕"/>
        <family val="0"/>
        <charset val="1"/>
      </rPr>
      <t xml:space="preserve">"input for… development of BC plans and procedures" (p.15)</t>
    </r>
  </si>
  <si>
    <r>
      <rPr>
        <sz val="10"/>
        <color rgb="FF000000"/>
        <rFont val="WenQuanYi Zen Hei"/>
        <family val="2"/>
      </rPr>
      <t xml:space="preserve">계획이 다루는 리스크 시나리오는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</si>
  <si>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L10</t>
  </si>
  <si>
    <t xml:space="preserve">BIA → RES</t>
  </si>
  <si>
    <r>
      <rPr>
        <sz val="10"/>
        <color rgb="FF000000"/>
        <rFont val="맑은 고딕"/>
        <family val="0"/>
        <charset val="1"/>
      </rPr>
      <t xml:space="preserve">Białas: `BIAreport.resour4Resumption`(</t>
    </r>
    <r>
      <rPr>
        <sz val="10"/>
        <color rgb="FF000000"/>
        <rFont val="WenQuanYi Zen Hei"/>
        <family val="2"/>
      </rPr>
      <t xml:space="preserve">복구 필요 자원</t>
    </r>
    <r>
      <rPr>
        <sz val="10"/>
        <color rgb="FF000000"/>
        <rFont val="맑은 고딕"/>
        <family val="0"/>
        <charset val="1"/>
      </rPr>
      <t xml:space="preserve">) + Arias: RES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"resources necessary for executing strategies" </t>
    </r>
    <r>
      <rPr>
        <sz val="10"/>
        <color rgb="FF000000"/>
        <rFont val="WenQuanYi Zen Hei"/>
        <family val="2"/>
      </rPr>
      <t xml:space="preserve">제공 </t>
    </r>
    <r>
      <rPr>
        <sz val="10"/>
        <color rgb="FF000000"/>
        <rFont val="맑은 고딕"/>
        <family val="0"/>
        <charset val="1"/>
      </rPr>
      <t xml:space="preserve">(p.16)</t>
    </r>
  </si>
  <si>
    <t xml:space="preserve">B</t>
  </si>
  <si>
    <r>
      <rPr>
        <sz val="10"/>
        <color rgb="FF000000"/>
        <rFont val="WenQuanYi Zen Hei"/>
        <family val="2"/>
      </rPr>
      <t xml:space="preserve">서비스 복구에 필요한 자원은 무엇이며 확보되었는가</t>
    </r>
    <r>
      <rPr>
        <sz val="10"/>
        <color rgb="FF000000"/>
        <rFont val="맑은 고딕"/>
        <family val="0"/>
        <charset val="1"/>
      </rPr>
      <t xml:space="preserve">? (Białas Fig.4</t>
    </r>
    <r>
      <rPr>
        <sz val="10"/>
        <color rgb="FF000000"/>
        <rFont val="WenQuanYi Zen Hei"/>
        <family val="2"/>
      </rPr>
      <t xml:space="preserve">와 동일 유형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</si>
  <si>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L11</t>
  </si>
  <si>
    <r>
      <rPr>
        <sz val="10"/>
        <color rgb="FF000000"/>
        <rFont val="WenQuanYi Zen Hei"/>
        <family val="2"/>
      </rPr>
      <t xml:space="preserve">③ 대응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훈련</t>
    </r>
  </si>
  <si>
    <t xml:space="preserve">PLAN ↔ INC</t>
  </si>
  <si>
    <t xml:space="preserve">derivesFrom / feedsBack</t>
  </si>
  <si>
    <r>
      <rPr>
        <sz val="10"/>
        <color rgb="FF000000"/>
        <rFont val="WenQuanYi Zen Hei"/>
        <family val="2"/>
      </rPr>
      <t xml:space="preserve">솔루션 활성화는 </t>
    </r>
    <r>
      <rPr>
        <sz val="10"/>
        <color rgb="FF000000"/>
        <rFont val="맑은 고딕"/>
        <family val="0"/>
        <charset val="1"/>
      </rPr>
      <t xml:space="preserve">"execution of BC plans and procedures"</t>
    </r>
    <r>
      <rPr>
        <sz val="10"/>
        <color rgb="FF000000"/>
        <rFont val="WenQuanYi Zen Hei"/>
        <family val="2"/>
      </rPr>
      <t xml:space="preserve">로 촉발 </t>
    </r>
    <r>
      <rPr>
        <sz val="10"/>
        <color rgb="FF000000"/>
        <rFont val="맑은 고딕"/>
        <family val="0"/>
        <charset val="1"/>
      </rPr>
      <t xml:space="preserve">(p.15), </t>
    </r>
    <r>
      <rPr>
        <sz val="10"/>
        <color rgb="FF000000"/>
        <rFont val="WenQuanYi Zen Hei"/>
        <family val="2"/>
      </rPr>
      <t xml:space="preserve">사고대응 개선은 </t>
    </r>
    <r>
      <rPr>
        <sz val="10"/>
        <color rgb="FF000000"/>
        <rFont val="맑은 고딕"/>
        <family val="0"/>
        <charset val="1"/>
      </rPr>
      <t xml:space="preserve">CHG </t>
    </r>
    <r>
      <rPr>
        <sz val="10"/>
        <color rgb="FF000000"/>
        <rFont val="WenQuanYi Zen Hei"/>
        <family val="2"/>
      </rPr>
      <t xml:space="preserve">경로로 환류 </t>
    </r>
    <r>
      <rPr>
        <sz val="10"/>
        <color rgb="FF000000"/>
        <rFont val="맑은 고딕"/>
        <family val="0"/>
        <charset val="1"/>
      </rPr>
      <t xml:space="preserve">(p.16)</t>
    </r>
  </si>
  <si>
    <r>
      <rPr>
        <sz val="10"/>
        <color rgb="FF000000"/>
        <rFont val="WenQuanYi Zen Hei"/>
        <family val="2"/>
      </rPr>
      <t xml:space="preserve">지난 사고에서 어느 계획을 썼고 무엇이 개정되었나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</si>
  <si>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L12</t>
  </si>
  <si>
    <t xml:space="preserve">INC → WARN</t>
  </si>
  <si>
    <r>
      <rPr>
        <sz val="10"/>
        <color rgb="FF000000"/>
        <rFont val="맑은 고딕"/>
        <family val="0"/>
        <charset val="1"/>
      </rPr>
      <t xml:space="preserve">INC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"two primary subprocesses: warning and communication… and recovery" (p.15)</t>
    </r>
  </si>
  <si>
    <r>
      <rPr>
        <sz val="10"/>
        <color rgb="FF000000"/>
        <rFont val="WenQuanYi Zen Hei"/>
        <family val="2"/>
      </rPr>
      <t xml:space="preserve">사고 시 누구에게 경보가 갔는가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</si>
  <si>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L13</t>
  </si>
  <si>
    <t xml:space="preserve">INC → REC</t>
  </si>
  <si>
    <r>
      <rPr>
        <sz val="10"/>
        <color rgb="FF000000"/>
        <rFont val="WenQuanYi Zen Hei"/>
        <family val="2"/>
      </rPr>
      <t xml:space="preserve">위와 동일 </t>
    </r>
    <r>
      <rPr>
        <sz val="10"/>
        <color rgb="FF000000"/>
        <rFont val="맑은 고딕"/>
        <family val="0"/>
        <charset val="1"/>
      </rPr>
      <t xml:space="preserve">(p.15)</t>
    </r>
  </si>
  <si>
    <r>
      <rPr>
        <sz val="10"/>
        <color rgb="FF000000"/>
        <rFont val="WenQuanYi Zen Hei"/>
        <family val="2"/>
      </rPr>
      <t xml:space="preserve">복구는 어떤 대응 결과를 이어받았는가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</si>
  <si>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L14</t>
  </si>
  <si>
    <t xml:space="preserve">PLAN ↔ EXE</t>
  </si>
  <si>
    <t xml:space="preserve">feedsBack</t>
  </si>
  <si>
    <r>
      <rPr>
        <sz val="10"/>
        <color rgb="FF000000"/>
        <rFont val="WenQuanYi Zen Hei"/>
        <family val="2"/>
      </rPr>
      <t xml:space="preserve">연습은 계획을 </t>
    </r>
    <r>
      <rPr>
        <sz val="10"/>
        <color rgb="FF000000"/>
        <rFont val="맑은 고딕"/>
        <family val="0"/>
        <charset val="1"/>
      </rPr>
      <t xml:space="preserve">"tested regularly… prompt any necessary adjustments" (p.15)</t>
    </r>
  </si>
  <si>
    <r>
      <rPr>
        <sz val="10"/>
        <color rgb="FF000000"/>
        <rFont val="WenQuanYi Zen Hei"/>
        <family val="2"/>
      </rPr>
      <t xml:space="preserve">연습으로 개정된 계획은 무엇인가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</si>
  <si>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L15</t>
  </si>
  <si>
    <t xml:space="preserve">PLAN/EXE → AWR</t>
  </si>
  <si>
    <r>
      <rPr>
        <sz val="10"/>
        <color rgb="FF000000"/>
        <rFont val="맑은 고딕"/>
        <family val="0"/>
        <charset val="1"/>
      </rPr>
      <t xml:space="preserve">AWR </t>
    </r>
    <r>
      <rPr>
        <sz val="10"/>
        <color rgb="FF000000"/>
        <rFont val="WenQuanYi Zen Hei"/>
        <family val="2"/>
      </rPr>
      <t xml:space="preserve">프로그램이 </t>
    </r>
    <r>
      <rPr>
        <sz val="10"/>
        <color rgb="FF000000"/>
        <rFont val="맑은 고딕"/>
        <family val="0"/>
        <charset val="1"/>
      </rPr>
      <t xml:space="preserve">"personnel" </t>
    </r>
    <r>
      <rPr>
        <sz val="10"/>
        <color rgb="FF000000"/>
        <rFont val="WenQuanYi Zen Hei"/>
        <family val="2"/>
      </rPr>
      <t xml:space="preserve">역량을 키운다는 서술</t>
    </r>
    <r>
      <rPr>
        <sz val="10"/>
        <color rgb="FF000000"/>
        <rFont val="맑은 고딕"/>
        <family val="0"/>
        <charset val="1"/>
      </rPr>
      <t xml:space="preserve">(p.15) + Białas `Plan.trainingActiv/awarenessActiv`, `Training.trainingNeeds`</t>
    </r>
  </si>
  <si>
    <r>
      <rPr>
        <sz val="10"/>
        <color rgb="FF000000"/>
        <rFont val="WenQuanYi Zen Hei"/>
        <family val="2"/>
      </rPr>
      <t xml:space="preserve">교육 내용에 반영된 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역할은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</si>
  <si>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L16</t>
  </si>
  <si>
    <r>
      <rPr>
        <sz val="10"/>
        <color rgb="FF000000"/>
        <rFont val="WenQuanYi Zen Hei"/>
        <family val="2"/>
      </rPr>
      <t xml:space="preserve">④ 평가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개선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변경</t>
    </r>
  </si>
  <si>
    <t xml:space="preserve">PERF → CI</t>
  </si>
  <si>
    <t xml:space="preserve">"Results from the performance evaluation process, the internal audit process, and the supply chain management process are used to improve…" (p.16)</t>
  </si>
  <si>
    <r>
      <rPr>
        <sz val="10"/>
        <color rgb="FF000000"/>
        <rFont val="WenQuanYi Zen Hei"/>
        <family val="2"/>
      </rPr>
      <t xml:space="preserve">성과평가에서 나온 개선과제는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</si>
  <si>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L17</t>
  </si>
  <si>
    <t xml:space="preserve">AUD → CI</t>
  </si>
  <si>
    <r>
      <rPr>
        <sz val="10"/>
        <color rgb="FF000000"/>
        <rFont val="WenQuanYi Zen Hei"/>
        <family val="2"/>
      </rPr>
      <t xml:space="preserve">같은 문장 </t>
    </r>
    <r>
      <rPr>
        <sz val="10"/>
        <color rgb="FF000000"/>
        <rFont val="맑은 고딕"/>
        <family val="0"/>
        <charset val="1"/>
      </rPr>
      <t xml:space="preserve">(p.16)</t>
    </r>
  </si>
  <si>
    <r>
      <rPr>
        <sz val="10"/>
        <color rgb="FF000000"/>
        <rFont val="WenQuanYi Zen Hei"/>
        <family val="2"/>
      </rPr>
      <t xml:space="preserve">감사 지적사항 중 개선 조치된 것은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</si>
  <si>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L18</t>
  </si>
  <si>
    <t xml:space="preserve">SUP → CI</t>
  </si>
  <si>
    <r>
      <rPr>
        <sz val="10"/>
        <color rgb="FF000000"/>
        <rFont val="WenQuanYi Zen Hei"/>
        <family val="2"/>
      </rPr>
      <t xml:space="preserve">공급업체 평가에서 나온 개선과제는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</si>
  <si>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L19</t>
  </si>
  <si>
    <t xml:space="preserve">CHG ↔ RA</t>
  </si>
  <si>
    <t xml:space="preserve">triggers / informs</t>
  </si>
  <si>
    <r>
      <rPr>
        <sz val="10"/>
        <color rgb="FF000000"/>
        <rFont val="맑은 고딕"/>
        <family val="0"/>
        <charset val="1"/>
      </rPr>
      <t xml:space="preserve">CHG </t>
    </r>
    <r>
      <rPr>
        <sz val="10"/>
        <color rgb="FF000000"/>
        <rFont val="WenQuanYi Zen Hei"/>
        <family val="2"/>
      </rPr>
      <t xml:space="preserve">산출물</t>
    </r>
    <r>
      <rPr>
        <sz val="10"/>
        <color rgb="FF000000"/>
        <rFont val="맑은 고딕"/>
        <family val="0"/>
        <charset val="1"/>
      </rPr>
      <t xml:space="preserve">: "proposed and necessary changes… (for and from the risk assessment process)", "initiation of risk assessment in response to significant… changes" (p.16)</t>
    </r>
  </si>
  <si>
    <r>
      <rPr>
        <sz val="10"/>
        <color rgb="FF000000"/>
        <rFont val="WenQuanYi Zen Hei"/>
        <family val="2"/>
      </rPr>
      <t xml:space="preserve">이 변경은 어떤 리스크평가를 거쳤는가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</si>
  <si>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L20</t>
  </si>
  <si>
    <t xml:space="preserve">CHG → DOC</t>
  </si>
  <si>
    <t xml:space="preserve">"Necessary changes (for the process of controlling documented information)" (p.16)</t>
  </si>
  <si>
    <r>
      <rPr>
        <sz val="10"/>
        <color rgb="FF000000"/>
        <rFont val="WenQuanYi Zen Hei"/>
        <family val="2"/>
      </rPr>
      <t xml:space="preserve">이 변경으로 개정된 문서는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</si>
  <si>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L21</t>
  </si>
  <si>
    <t xml:space="preserve">INC/EXE ↔ CHG</t>
  </si>
  <si>
    <t xml:space="preserve">triggers / feedsBack</t>
  </si>
  <si>
    <t xml:space="preserve">"results of changes to the incident… handling process or… exercising" (p.16)</t>
  </si>
  <si>
    <r>
      <rPr>
        <sz val="10"/>
        <color rgb="FF000000"/>
        <rFont val="WenQuanYi Zen Hei"/>
        <family val="2"/>
      </rPr>
      <t xml:space="preserve">사고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연습에서 접수된 변경 요청과 처리 결과는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</si>
  <si>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L22</t>
  </si>
  <si>
    <r>
      <rPr>
        <sz val="10"/>
        <color rgb="FF000000"/>
        <rFont val="WenQuanYi Zen Hei"/>
        <family val="2"/>
      </rPr>
      <t xml:space="preserve">⑤ 거버넌스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이해관계자</t>
    </r>
  </si>
  <si>
    <r>
      <rPr>
        <sz val="10"/>
        <color rgb="FF000000"/>
        <rFont val="WenQuanYi Zen Hei"/>
        <family val="2"/>
      </rPr>
      <t xml:space="preserve">핵심 프로세스 → </t>
    </r>
    <r>
      <rPr>
        <sz val="10"/>
        <color rgb="FF000000"/>
        <rFont val="맑은 고딕"/>
        <family val="0"/>
        <charset val="1"/>
      </rPr>
      <t xml:space="preserve">COM</t>
    </r>
  </si>
  <si>
    <t xml:space="preserve">"outcomes of nearly all BCMS processes are communicated… to stakeholders… as part of the consultation and communication process" (p.16)</t>
  </si>
  <si>
    <r>
      <rPr>
        <sz val="10"/>
        <color rgb="FF000000"/>
        <rFont val="WenQuanYi Zen Hei"/>
        <family val="2"/>
      </rPr>
      <t xml:space="preserve">이해관계자에게 전달된 </t>
    </r>
    <r>
      <rPr>
        <sz val="10"/>
        <color rgb="FF000000"/>
        <rFont val="맑은 고딕"/>
        <family val="0"/>
        <charset val="1"/>
      </rPr>
      <t xml:space="preserve">BCMS </t>
    </r>
    <r>
      <rPr>
        <sz val="10"/>
        <color rgb="FF000000"/>
        <rFont val="WenQuanYi Zen Hei"/>
        <family val="2"/>
      </rPr>
      <t xml:space="preserve">결과는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</si>
  <si>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L23</t>
  </si>
  <si>
    <t xml:space="preserve">COM → GOV</t>
  </si>
  <si>
    <t xml:space="preserve">"These reports and identified requirements serve as inputs for the BC governance process" (p.16)</t>
  </si>
  <si>
    <r>
      <rPr>
        <sz val="10"/>
        <color rgb="FF000000"/>
        <rFont val="WenQuanYi Zen Hei"/>
        <family val="2"/>
      </rPr>
      <t xml:space="preserve">경영진 검토에 입력된 보고는 무엇인가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</si>
  <si>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L24</t>
  </si>
  <si>
    <t xml:space="preserve">GOV → POL</t>
  </si>
  <si>
    <r>
      <rPr>
        <sz val="10"/>
        <color rgb="FF000000"/>
        <rFont val="맑은 고딕"/>
        <family val="0"/>
        <charset val="1"/>
      </rPr>
      <t xml:space="preserve">GOV</t>
    </r>
    <r>
      <rPr>
        <sz val="10"/>
        <color rgb="FF000000"/>
        <rFont val="WenQuanYi Zen Hei"/>
        <family val="2"/>
      </rPr>
      <t xml:space="preserve">는 목표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요구 일치 보장 </t>
    </r>
    <r>
      <rPr>
        <sz val="10"/>
        <color rgb="FF000000"/>
        <rFont val="맑은 고딕"/>
        <family val="0"/>
        <charset val="1"/>
      </rPr>
      <t xml:space="preserve">(p.14), POL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"development, maintenance… of BC policies" (pp.14–15), Białas `hasBCpolicy`, `hasBCobjectives`</t>
    </r>
  </si>
  <si>
    <r>
      <rPr>
        <sz val="10"/>
        <color rgb="FF000000"/>
        <rFont val="WenQuanYi Zen Hei"/>
        <family val="2"/>
      </rPr>
      <t xml:space="preserve">정책이 반영한 경영진 목표는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</si>
  <si>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L25</t>
  </si>
  <si>
    <r>
      <rPr>
        <sz val="10"/>
        <color rgb="FF000000"/>
        <rFont val="맑은 고딕"/>
        <family val="0"/>
        <charset val="1"/>
      </rPr>
      <t xml:space="preserve">RES → </t>
    </r>
    <r>
      <rPr>
        <sz val="10"/>
        <color rgb="FF000000"/>
        <rFont val="WenQuanYi Zen Hei"/>
        <family val="2"/>
      </rPr>
      <t xml:space="preserve">핵심 프로세스</t>
    </r>
    <r>
      <rPr>
        <sz val="10"/>
        <color rgb="FF000000"/>
        <rFont val="맑은 고딕"/>
        <family val="0"/>
        <charset val="1"/>
      </rPr>
      <t xml:space="preserve">/CRM</t>
    </r>
  </si>
  <si>
    <r>
      <rPr>
        <sz val="10"/>
        <color rgb="FF000000"/>
        <rFont val="맑은 고딕"/>
        <family val="0"/>
        <charset val="1"/>
      </rPr>
      <t xml:space="preserve">RES </t>
    </r>
    <r>
      <rPr>
        <sz val="10"/>
        <color rgb="FF000000"/>
        <rFont val="WenQuanYi Zen Hei"/>
        <family val="2"/>
      </rPr>
      <t xml:space="preserve">산출물</t>
    </r>
    <r>
      <rPr>
        <sz val="10"/>
        <color rgb="FF000000"/>
        <rFont val="맑은 고딕"/>
        <family val="0"/>
        <charset val="1"/>
      </rPr>
      <t xml:space="preserve">: "reports on resource utilization for core BCMS processes and the customer relationship management process" (p.16)</t>
    </r>
  </si>
  <si>
    <r>
      <rPr>
        <sz val="10"/>
        <color rgb="FF000000"/>
        <rFont val="WenQuanYi Zen Hei"/>
        <family val="2"/>
      </rPr>
      <t xml:space="preserve">자원 사용 보고를 받아 쓰는 프로세스는</t>
    </r>
    <r>
      <rPr>
        <sz val="10"/>
        <color rgb="FF000000"/>
        <rFont val="맑은 고딕"/>
        <family val="0"/>
        <charset val="1"/>
      </rPr>
      <t xml:space="preserve">?</t>
    </r>
  </si>
  <si>
    <r>
      <rPr>
        <b val="true"/>
        <sz val="14"/>
        <color rgb="FF101828"/>
        <rFont val="WenQuanYi Zen Hei"/>
        <family val="2"/>
      </rPr>
      <t xml:space="preserve">온톨로지 트리플</t>
    </r>
    <r>
      <rPr>
        <b val="true"/>
        <sz val="14"/>
        <color rgb="FF101828"/>
        <rFont val="맑은 고딕"/>
        <family val="0"/>
        <charset val="1"/>
      </rPr>
      <t xml:space="preserve">(</t>
    </r>
    <r>
      <rPr>
        <b val="true"/>
        <sz val="14"/>
        <color rgb="FF101828"/>
        <rFont val="WenQuanYi Zen Hei"/>
        <family val="2"/>
      </rPr>
      <t xml:space="preserve">주어–관계–목적어</t>
    </r>
    <r>
      <rPr>
        <b val="true"/>
        <sz val="14"/>
        <color rgb="FF101828"/>
        <rFont val="맑은 고딕"/>
        <family val="0"/>
        <charset val="1"/>
      </rPr>
      <t xml:space="preserve">)</t>
    </r>
  </si>
  <si>
    <r>
      <rPr>
        <i val="true"/>
        <sz val="10"/>
        <color rgb="FF475467"/>
        <rFont val="WenQuanYi Zen Hei"/>
        <family val="2"/>
      </rPr>
      <t xml:space="preserve">연결 관계 트리플 </t>
    </r>
    <r>
      <rPr>
        <i val="true"/>
        <sz val="10"/>
        <color rgb="FF475467"/>
        <rFont val="맑은 고딕"/>
        <family val="0"/>
        <charset val="1"/>
      </rPr>
      <t xml:space="preserve">+ ProcessLink </t>
    </r>
    <r>
      <rPr>
        <i val="true"/>
        <sz val="10"/>
        <color rgb="FF475467"/>
        <rFont val="WenQuanYi Zen Hei"/>
        <family val="2"/>
      </rPr>
      <t xml:space="preserve">객체 트리플</t>
    </r>
    <r>
      <rPr>
        <i val="true"/>
        <sz val="10"/>
        <color rgb="FF475467"/>
        <rFont val="맑은 고딕"/>
        <family val="0"/>
        <charset val="1"/>
      </rPr>
      <t xml:space="preserve">. derivesFrom</t>
    </r>
    <r>
      <rPr>
        <i val="true"/>
        <sz val="10"/>
        <color rgb="FF475467"/>
        <rFont val="WenQuanYi Zen Hei"/>
        <family val="2"/>
      </rPr>
      <t xml:space="preserve">은 </t>
    </r>
    <r>
      <rPr>
        <i val="true"/>
        <sz val="10"/>
        <color rgb="FF475467"/>
        <rFont val="맑은 고딕"/>
        <family val="0"/>
        <charset val="1"/>
      </rPr>
      <t xml:space="preserve">"</t>
    </r>
    <r>
      <rPr>
        <i val="true"/>
        <sz val="10"/>
        <color rgb="FF475467"/>
        <rFont val="WenQuanYi Zen Hei"/>
        <family val="2"/>
      </rPr>
      <t xml:space="preserve">나중 것이 앞 것에서 도출</t>
    </r>
    <r>
      <rPr>
        <i val="true"/>
        <sz val="10"/>
        <color rgb="FF475467"/>
        <rFont val="맑은 고딕"/>
        <family val="0"/>
        <charset val="1"/>
      </rPr>
      <t xml:space="preserve">" </t>
    </r>
    <r>
      <rPr>
        <i val="true"/>
        <sz val="10"/>
        <color rgb="FF475467"/>
        <rFont val="WenQuanYi Zen Hei"/>
        <family val="2"/>
      </rPr>
      <t xml:space="preserve">방향으로 기록</t>
    </r>
    <r>
      <rPr>
        <i val="true"/>
        <sz val="10"/>
        <color rgb="FF475467"/>
        <rFont val="맑은 고딕"/>
        <family val="0"/>
        <charset val="1"/>
      </rPr>
      <t xml:space="preserve">.</t>
    </r>
  </si>
  <si>
    <t xml:space="preserve">주어</t>
  </si>
  <si>
    <t xml:space="preserve">관계</t>
  </si>
  <si>
    <t xml:space="preserve">목적어</t>
  </si>
  <si>
    <r>
      <rPr>
        <b val="true"/>
        <sz val="10"/>
        <color rgb="FFFFFFFF"/>
        <rFont val="WenQuanYi Zen Hei"/>
        <family val="2"/>
      </rPr>
      <t xml:space="preserve">연결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</si>
  <si>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구분</t>
  </si>
  <si>
    <t xml:space="preserve">프로세스 관계</t>
  </si>
  <si>
    <t xml:space="preserve">triggers</t>
  </si>
  <si>
    <t xml:space="preserve">CORE</t>
  </si>
  <si>
    <t xml:space="preserve">Link_L01</t>
  </si>
  <si>
    <t xml:space="preserve">rdf:type</t>
  </si>
  <si>
    <t xml:space="preserve">ProcessLink</t>
  </si>
  <si>
    <r>
      <rPr>
        <sz val="10"/>
        <color rgb="FF000000"/>
        <rFont val="맑은 고딕"/>
        <family val="0"/>
        <charset val="1"/>
      </rPr>
      <t xml:space="preserve">ProcessLink </t>
    </r>
    <r>
      <rPr>
        <sz val="10"/>
        <color rgb="FF000000"/>
        <rFont val="WenQuanYi Zen Hei"/>
        <family val="2"/>
      </rPr>
      <t xml:space="preserve">객체</t>
    </r>
  </si>
  <si>
    <t xml:space="preserve">hasSource</t>
  </si>
  <si>
    <t xml:space="preserve">hasTarget</t>
  </si>
  <si>
    <t xml:space="preserve">reflected</t>
  </si>
  <si>
    <t xml:space="preserve">L01-R</t>
  </si>
  <si>
    <t xml:space="preserve">verified</t>
  </si>
  <si>
    <t xml:space="preserve">L01-V</t>
  </si>
  <si>
    <t xml:space="preserve">updated</t>
  </si>
  <si>
    <t xml:space="preserve">L01-U</t>
  </si>
  <si>
    <t xml:space="preserve">Link_L02</t>
  </si>
  <si>
    <t xml:space="preserve">L02-R</t>
  </si>
  <si>
    <t xml:space="preserve">L02-V</t>
  </si>
  <si>
    <t xml:space="preserve">L02-U</t>
  </si>
  <si>
    <t xml:space="preserve">Link_L03</t>
  </si>
  <si>
    <t xml:space="preserve">L03-R</t>
  </si>
  <si>
    <t xml:space="preserve">L03-V</t>
  </si>
  <si>
    <t xml:space="preserve">L03-U</t>
  </si>
  <si>
    <t xml:space="preserve">Link_L04</t>
  </si>
  <si>
    <t xml:space="preserve">L04-R</t>
  </si>
  <si>
    <t xml:space="preserve">L04-V</t>
  </si>
  <si>
    <t xml:space="preserve">L04-U</t>
  </si>
  <si>
    <t xml:space="preserve">Link_L05</t>
  </si>
  <si>
    <t xml:space="preserve">L05-R</t>
  </si>
  <si>
    <t xml:space="preserve">L05-V</t>
  </si>
  <si>
    <t xml:space="preserve">L05-U</t>
  </si>
  <si>
    <t xml:space="preserve">Link_L06</t>
  </si>
  <si>
    <t xml:space="preserve">L06-R</t>
  </si>
  <si>
    <t xml:space="preserve">L06-V</t>
  </si>
  <si>
    <t xml:space="preserve">L06-U</t>
  </si>
  <si>
    <t xml:space="preserve">Link_L07</t>
  </si>
  <si>
    <t xml:space="preserve">L07-R</t>
  </si>
  <si>
    <t xml:space="preserve">L07-V</t>
  </si>
  <si>
    <t xml:space="preserve">L07-U</t>
  </si>
  <si>
    <t xml:space="preserve">Link_L08</t>
  </si>
  <si>
    <t xml:space="preserve">L08-R</t>
  </si>
  <si>
    <t xml:space="preserve">L08-V</t>
  </si>
  <si>
    <t xml:space="preserve">L08-U</t>
  </si>
  <si>
    <t xml:space="preserve">Link_L09</t>
  </si>
  <si>
    <t xml:space="preserve">L09-R</t>
  </si>
  <si>
    <t xml:space="preserve">L09-V</t>
  </si>
  <si>
    <t xml:space="preserve">L09-U</t>
  </si>
  <si>
    <t xml:space="preserve">Link_L10</t>
  </si>
  <si>
    <t xml:space="preserve">L10-R</t>
  </si>
  <si>
    <t xml:space="preserve">L10-V</t>
  </si>
  <si>
    <t xml:space="preserve">L10-U</t>
  </si>
  <si>
    <t xml:space="preserve">Link_L11</t>
  </si>
  <si>
    <t xml:space="preserve">PLAN/INC</t>
  </si>
  <si>
    <t xml:space="preserve">INC/PLAN</t>
  </si>
  <si>
    <t xml:space="preserve">L11-R</t>
  </si>
  <si>
    <t xml:space="preserve">L11-V</t>
  </si>
  <si>
    <t xml:space="preserve">L11-U</t>
  </si>
  <si>
    <t xml:space="preserve">Link_L12</t>
  </si>
  <si>
    <t xml:space="preserve">L12-R</t>
  </si>
  <si>
    <t xml:space="preserve">L12-V</t>
  </si>
  <si>
    <t xml:space="preserve">L12-U</t>
  </si>
  <si>
    <t xml:space="preserve">Link_L13</t>
  </si>
  <si>
    <t xml:space="preserve">L13-R</t>
  </si>
  <si>
    <t xml:space="preserve">L13-V</t>
  </si>
  <si>
    <t xml:space="preserve">L13-U</t>
  </si>
  <si>
    <t xml:space="preserve">Link_L14</t>
  </si>
  <si>
    <t xml:space="preserve">PLAN/EXE</t>
  </si>
  <si>
    <t xml:space="preserve">EXE/PLAN</t>
  </si>
  <si>
    <t xml:space="preserve">L14-R</t>
  </si>
  <si>
    <t xml:space="preserve">L14-V</t>
  </si>
  <si>
    <t xml:space="preserve">L14-U</t>
  </si>
  <si>
    <t xml:space="preserve">Link_L15</t>
  </si>
  <si>
    <t xml:space="preserve">L15-R</t>
  </si>
  <si>
    <t xml:space="preserve">L15-V</t>
  </si>
  <si>
    <t xml:space="preserve">L15-U</t>
  </si>
  <si>
    <t xml:space="preserve">Link_L16</t>
  </si>
  <si>
    <t xml:space="preserve">L16-R</t>
  </si>
  <si>
    <t xml:space="preserve">L16-V</t>
  </si>
  <si>
    <t xml:space="preserve">L16-U</t>
  </si>
  <si>
    <t xml:space="preserve">Link_L17</t>
  </si>
  <si>
    <t xml:space="preserve">L17-R</t>
  </si>
  <si>
    <t xml:space="preserve">L17-V</t>
  </si>
  <si>
    <t xml:space="preserve">L17-U</t>
  </si>
  <si>
    <t xml:space="preserve">Link_L18</t>
  </si>
  <si>
    <t xml:space="preserve">L18-R</t>
  </si>
  <si>
    <t xml:space="preserve">L18-V</t>
  </si>
  <si>
    <t xml:space="preserve">L18-U</t>
  </si>
  <si>
    <t xml:space="preserve">Link_L19</t>
  </si>
  <si>
    <t xml:space="preserve">CHG/RA</t>
  </si>
  <si>
    <t xml:space="preserve">RA/CHG</t>
  </si>
  <si>
    <t xml:space="preserve">L19-R</t>
  </si>
  <si>
    <t xml:space="preserve">L19-V</t>
  </si>
  <si>
    <t xml:space="preserve">L19-U</t>
  </si>
  <si>
    <t xml:space="preserve">Link_L20</t>
  </si>
  <si>
    <t xml:space="preserve">L20-R</t>
  </si>
  <si>
    <t xml:space="preserve">L20-V</t>
  </si>
  <si>
    <t xml:space="preserve">L20-U</t>
  </si>
  <si>
    <t xml:space="preserve">Link_L21</t>
  </si>
  <si>
    <t xml:space="preserve">INC/EXE/CHG</t>
  </si>
  <si>
    <t xml:space="preserve">CHG/INC/EXE</t>
  </si>
  <si>
    <t xml:space="preserve">L21-R</t>
  </si>
  <si>
    <t xml:space="preserve">L21-V</t>
  </si>
  <si>
    <t xml:space="preserve">L21-U</t>
  </si>
  <si>
    <t xml:space="preserve">Link_L22</t>
  </si>
  <si>
    <t xml:space="preserve">L22-R</t>
  </si>
  <si>
    <t xml:space="preserve">L22-V</t>
  </si>
  <si>
    <t xml:space="preserve">L22-U</t>
  </si>
  <si>
    <t xml:space="preserve">Link_L23</t>
  </si>
  <si>
    <t xml:space="preserve">L23-R</t>
  </si>
  <si>
    <t xml:space="preserve">L23-V</t>
  </si>
  <si>
    <t xml:space="preserve">L23-U</t>
  </si>
  <si>
    <t xml:space="preserve">Link_L24</t>
  </si>
  <si>
    <t xml:space="preserve">L24-R</t>
  </si>
  <si>
    <t xml:space="preserve">L24-V</t>
  </si>
  <si>
    <t xml:space="preserve">L24-U</t>
  </si>
  <si>
    <t xml:space="preserve">Link_L25</t>
  </si>
  <si>
    <t xml:space="preserve">CORE/CRM</t>
  </si>
  <si>
    <t xml:space="preserve">L25-R</t>
  </si>
  <si>
    <t xml:space="preserve">L25-V</t>
  </si>
  <si>
    <t xml:space="preserve">L25-U</t>
  </si>
  <si>
    <r>
      <rPr>
        <b val="true"/>
        <sz val="14"/>
        <color rgb="FF101828"/>
        <rFont val="WenQuanYi Zen Hei"/>
        <family val="2"/>
      </rPr>
      <t xml:space="preserve">관계 매트릭스 — 행</t>
    </r>
    <r>
      <rPr>
        <b val="true"/>
        <sz val="14"/>
        <color rgb="FF101828"/>
        <rFont val="맑은 고딕"/>
        <family val="0"/>
        <charset val="1"/>
      </rPr>
      <t xml:space="preserve">(</t>
    </r>
    <r>
      <rPr>
        <b val="true"/>
        <sz val="14"/>
        <color rgb="FF101828"/>
        <rFont val="WenQuanYi Zen Hei"/>
        <family val="2"/>
      </rPr>
      <t xml:space="preserve">정보 제공</t>
    </r>
    <r>
      <rPr>
        <b val="true"/>
        <sz val="14"/>
        <color rgb="FF101828"/>
        <rFont val="맑은 고딕"/>
        <family val="0"/>
        <charset val="1"/>
      </rPr>
      <t xml:space="preserve">) → </t>
    </r>
    <r>
      <rPr>
        <b val="true"/>
        <sz val="14"/>
        <color rgb="FF101828"/>
        <rFont val="WenQuanYi Zen Hei"/>
        <family val="2"/>
      </rPr>
      <t xml:space="preserve">열</t>
    </r>
    <r>
      <rPr>
        <b val="true"/>
        <sz val="14"/>
        <color rgb="FF101828"/>
        <rFont val="맑은 고딕"/>
        <family val="0"/>
        <charset val="1"/>
      </rPr>
      <t xml:space="preserve">(</t>
    </r>
    <r>
      <rPr>
        <b val="true"/>
        <sz val="14"/>
        <color rgb="FF101828"/>
        <rFont val="WenQuanYi Zen Hei"/>
        <family val="2"/>
      </rPr>
      <t xml:space="preserve">정보 사용</t>
    </r>
    <r>
      <rPr>
        <b val="true"/>
        <sz val="14"/>
        <color rgb="FF101828"/>
        <rFont val="맑은 고딕"/>
        <family val="0"/>
        <charset val="1"/>
      </rPr>
      <t xml:space="preserve">)</t>
    </r>
  </si>
  <si>
    <r>
      <rPr>
        <i val="true"/>
        <sz val="10"/>
        <color rgb="FF475467"/>
        <rFont val="WenQuanYi Zen Hei"/>
        <family val="2"/>
      </rPr>
      <t xml:space="preserve">셀 값 </t>
    </r>
    <r>
      <rPr>
        <i val="true"/>
        <sz val="10"/>
        <color rgb="FF475467"/>
        <rFont val="맑은 고딕"/>
        <family val="0"/>
        <charset val="1"/>
      </rPr>
      <t xml:space="preserve">= </t>
    </r>
    <r>
      <rPr>
        <i val="true"/>
        <sz val="10"/>
        <color rgb="FF475467"/>
        <rFont val="WenQuanYi Zen Hei"/>
        <family val="2"/>
      </rPr>
      <t xml:space="preserve">연결 </t>
    </r>
    <r>
      <rPr>
        <i val="true"/>
        <sz val="10"/>
        <color rgb="FF475467"/>
        <rFont val="맑은 고딕"/>
        <family val="0"/>
        <charset val="1"/>
      </rPr>
      <t xml:space="preserve">ID. </t>
    </r>
    <r>
      <rPr>
        <i val="true"/>
        <sz val="10"/>
        <color rgb="FF475467"/>
        <rFont val="WenQuanYi Zen Hei"/>
        <family val="2"/>
      </rPr>
      <t xml:space="preserve">트리플 시트의 프로세스 관계에서 파생</t>
    </r>
    <r>
      <rPr>
        <i val="true"/>
        <sz val="10"/>
        <color rgb="FF475467"/>
        <rFont val="맑은 고딕"/>
        <family val="0"/>
        <charset val="1"/>
      </rPr>
      <t xml:space="preserve">(</t>
    </r>
    <r>
      <rPr>
        <i val="true"/>
        <sz val="10"/>
        <color rgb="FF475467"/>
        <rFont val="WenQuanYi Zen Hei"/>
        <family val="2"/>
      </rPr>
      <t xml:space="preserve">정적 값</t>
    </r>
    <r>
      <rPr>
        <i val="true"/>
        <sz val="10"/>
        <color rgb="FF475467"/>
        <rFont val="맑은 고딕"/>
        <family val="0"/>
        <charset val="1"/>
      </rPr>
      <t xml:space="preserve">). CORE=</t>
    </r>
    <r>
      <rPr>
        <i val="true"/>
        <sz val="10"/>
        <color rgb="FF475467"/>
        <rFont val="WenQuanYi Zen Hei"/>
        <family val="2"/>
      </rPr>
      <t xml:space="preserve">핵심 </t>
    </r>
    <r>
      <rPr>
        <i val="true"/>
        <sz val="10"/>
        <color rgb="FF475467"/>
        <rFont val="맑은 고딕"/>
        <family val="0"/>
        <charset val="1"/>
      </rPr>
      <t xml:space="preserve">BCMS </t>
    </r>
    <r>
      <rPr>
        <i val="true"/>
        <sz val="10"/>
        <color rgb="FF475467"/>
        <rFont val="WenQuanYi Zen Hei"/>
        <family val="2"/>
      </rPr>
      <t xml:space="preserve">프로세스 전반</t>
    </r>
  </si>
  <si>
    <r>
      <rPr>
        <b val="true"/>
        <sz val="14"/>
        <color rgb="FF101828"/>
        <rFont val="WenQuanYi Zen Hei"/>
        <family val="2"/>
      </rPr>
      <t xml:space="preserve">문항은행 </t>
    </r>
    <r>
      <rPr>
        <b val="true"/>
        <sz val="14"/>
        <color rgb="FF101828"/>
        <rFont val="맑은 고딕"/>
        <family val="0"/>
        <charset val="1"/>
      </rPr>
      <t xml:space="preserve">90</t>
    </r>
    <r>
      <rPr>
        <b val="true"/>
        <sz val="14"/>
        <color rgb="FF101828"/>
        <rFont val="WenQuanYi Zen Hei"/>
        <family val="2"/>
      </rPr>
      <t xml:space="preserve">문항 </t>
    </r>
    <r>
      <rPr>
        <b val="true"/>
        <sz val="14"/>
        <color rgb="FF101828"/>
        <rFont val="맑은 고딕"/>
        <family val="0"/>
        <charset val="1"/>
      </rPr>
      <t xml:space="preserve">(</t>
    </r>
    <r>
      <rPr>
        <b val="true"/>
        <sz val="14"/>
        <color rgb="FF101828"/>
        <rFont val="WenQuanYi Zen Hei"/>
        <family val="2"/>
      </rPr>
      <t xml:space="preserve">연결 </t>
    </r>
    <r>
      <rPr>
        <b val="true"/>
        <sz val="14"/>
        <color rgb="FF101828"/>
        <rFont val="맑은 고딕"/>
        <family val="0"/>
        <charset val="1"/>
      </rPr>
      <t xml:space="preserve">75 + </t>
    </r>
    <r>
      <rPr>
        <b val="true"/>
        <sz val="14"/>
        <color rgb="FF101828"/>
        <rFont val="WenQuanYi Zen Hei"/>
        <family val="2"/>
      </rPr>
      <t xml:space="preserve">종합 </t>
    </r>
    <r>
      <rPr>
        <b val="true"/>
        <sz val="14"/>
        <color rgb="FF101828"/>
        <rFont val="맑은 고딕"/>
        <family val="0"/>
        <charset val="1"/>
      </rPr>
      <t xml:space="preserve">6 + </t>
    </r>
    <r>
      <rPr>
        <b val="true"/>
        <sz val="14"/>
        <color rgb="FF101828"/>
        <rFont val="WenQuanYi Zen Hei"/>
        <family val="2"/>
      </rPr>
      <t xml:space="preserve">검증 </t>
    </r>
    <r>
      <rPr>
        <b val="true"/>
        <sz val="14"/>
        <color rgb="FF101828"/>
        <rFont val="맑은 고딕"/>
        <family val="0"/>
        <charset val="1"/>
      </rPr>
      <t xml:space="preserve">9)</t>
    </r>
  </si>
  <si>
    <r>
      <rPr>
        <i val="true"/>
        <sz val="10"/>
        <color rgb="FF475467"/>
        <rFont val="WenQuanYi Zen Hei"/>
        <family val="2"/>
      </rPr>
      <t xml:space="preserve">전문가 패널 </t>
    </r>
    <r>
      <rPr>
        <i val="true"/>
        <sz val="10"/>
        <color rgb="FF475467"/>
        <rFont val="맑은 고딕"/>
        <family val="0"/>
        <charset val="1"/>
      </rPr>
      <t xml:space="preserve">6</t>
    </r>
    <r>
      <rPr>
        <i val="true"/>
        <sz val="10"/>
        <color rgb="FF475467"/>
        <rFont val="WenQuanYi Zen Hei"/>
        <family val="2"/>
      </rPr>
      <t xml:space="preserve">인의 적합도</t>
    </r>
    <r>
      <rPr>
        <i val="true"/>
        <sz val="10"/>
        <color rgb="FF475467"/>
        <rFont val="맑은 고딕"/>
        <family val="0"/>
        <charset val="1"/>
      </rPr>
      <t xml:space="preserve">(1 </t>
    </r>
    <r>
      <rPr>
        <i val="true"/>
        <sz val="10"/>
        <color rgb="FF475467"/>
        <rFont val="WenQuanYi Zen Hei"/>
        <family val="2"/>
      </rPr>
      <t xml:space="preserve">전혀 아님</t>
    </r>
    <r>
      <rPr>
        <i val="true"/>
        <sz val="10"/>
        <color rgb="FF475467"/>
        <rFont val="맑은 고딕"/>
        <family val="0"/>
        <charset val="1"/>
      </rPr>
      <t xml:space="preserve">~4 </t>
    </r>
    <r>
      <rPr>
        <i val="true"/>
        <sz val="10"/>
        <color rgb="FF475467"/>
        <rFont val="WenQuanYi Zen Hei"/>
        <family val="2"/>
      </rPr>
      <t xml:space="preserve">매우 적합</t>
    </r>
    <r>
      <rPr>
        <i val="true"/>
        <sz val="10"/>
        <color rgb="FF475467"/>
        <rFont val="맑은 고딕"/>
        <family val="0"/>
        <charset val="1"/>
      </rPr>
      <t xml:space="preserve">)</t>
    </r>
    <r>
      <rPr>
        <i val="true"/>
        <sz val="10"/>
        <color rgb="FF475467"/>
        <rFont val="WenQuanYi Zen Hei"/>
        <family val="2"/>
      </rPr>
      <t xml:space="preserve">를 </t>
    </r>
    <r>
      <rPr>
        <i val="true"/>
        <sz val="10"/>
        <color rgb="FF475467"/>
        <rFont val="맑은 고딕"/>
        <family val="0"/>
        <charset val="1"/>
      </rPr>
      <t xml:space="preserve">L~Q</t>
    </r>
    <r>
      <rPr>
        <i val="true"/>
        <sz val="10"/>
        <color rgb="FF475467"/>
        <rFont val="WenQuanYi Zen Hei"/>
        <family val="2"/>
      </rPr>
      <t xml:space="preserve">열에 입력하면 </t>
    </r>
    <r>
      <rPr>
        <i val="true"/>
        <sz val="10"/>
        <color rgb="FF475467"/>
        <rFont val="맑은 고딕"/>
        <family val="0"/>
        <charset val="1"/>
      </rPr>
      <t xml:space="preserve">I-CVI</t>
    </r>
    <r>
      <rPr>
        <i val="true"/>
        <sz val="10"/>
        <color rgb="FF475467"/>
        <rFont val="WenQuanYi Zen Hei"/>
        <family val="2"/>
      </rPr>
      <t xml:space="preserve">와 판정이 계산됩니다</t>
    </r>
    <r>
      <rPr>
        <i val="true"/>
        <sz val="10"/>
        <color rgb="FF475467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</si>
  <si>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문항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</si>
  <si>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파트</t>
  </si>
  <si>
    <t xml:space="preserve">상태</t>
  </si>
  <si>
    <t xml:space="preserve">문항</t>
  </si>
  <si>
    <t xml:space="preserve">근거 등급</t>
  </si>
  <si>
    <t xml:space="preserve">척도</t>
  </si>
  <si>
    <t xml:space="preserve">응답입력 열</t>
  </si>
  <si>
    <t xml:space="preserve">추적성 점검</t>
  </si>
  <si>
    <r>
      <rPr>
        <b val="true"/>
        <sz val="10"/>
        <color rgb="FFFFFFFF"/>
        <rFont val="WenQuanYi Zen Hei"/>
        <family val="2"/>
      </rPr>
      <t xml:space="preserve">전문가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</si>
  <si>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전문가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</si>
  <si>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전문가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</si>
  <si>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r>
      <rPr>
        <b val="true"/>
        <sz val="10"/>
        <color rgb="FFFFFFFF"/>
        <rFont val="WenQuanYi Zen Hei"/>
        <family val="2"/>
      </rPr>
      <t xml:space="preserve">전문가</t>
    </r>
    <r>
      <rPr>
        <b val="true"/>
        <sz val="10"/>
        <color rgb="FFFFFFFF"/>
        <rFont val="맑은 고딕"/>
        <family val="0"/>
        <charset val="1"/>
      </rPr>
      <t xml:space="preserve">4</t>
    </r>
  </si>
  <si>
    <r>
      <rPr>
        <b val="true"/>
        <sz val="10"/>
        <color rgb="FFFFFFFF"/>
        <rFont val="WenQuanYi Zen Hei"/>
        <family val="2"/>
      </rPr>
      <t xml:space="preserve">전문가</t>
    </r>
    <r>
      <rPr>
        <b val="true"/>
        <sz val="10"/>
        <color rgb="FFFFFFFF"/>
        <rFont val="맑은 고딕"/>
        <family val="0"/>
        <charset val="1"/>
      </rPr>
      <t xml:space="preserve">5</t>
    </r>
  </si>
  <si>
    <r>
      <rPr>
        <b val="true"/>
        <sz val="10"/>
        <color rgb="FFFFFFFF"/>
        <rFont val="WenQuanYi Zen Hei"/>
        <family val="2"/>
      </rPr>
      <t xml:space="preserve">전문가</t>
    </r>
    <r>
      <rPr>
        <b val="true"/>
        <sz val="10"/>
        <color rgb="FFFFFFFF"/>
        <rFont val="맑은 고딕"/>
        <family val="0"/>
        <charset val="1"/>
      </rPr>
      <t xml:space="preserve">6</t>
    </r>
  </si>
  <si>
    <t xml:space="preserve">I-CVI</t>
  </si>
  <si>
    <t xml:space="preserve">판정</t>
  </si>
  <si>
    <r>
      <rPr>
        <sz val="10"/>
        <color rgb="FF000000"/>
        <rFont val="맑은 고딕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연결</t>
    </r>
  </si>
  <si>
    <t xml:space="preserve">반영</t>
  </si>
  <si>
    <r>
      <rPr>
        <sz val="10"/>
        <color rgb="FF000000"/>
        <rFont val="WenQuanYi Zen Hei"/>
        <family val="2"/>
      </rPr>
      <t xml:space="preserve">우리 조직에서는 법규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규제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계약상 요구사항이 </t>
    </r>
    <r>
      <rPr>
        <sz val="10"/>
        <color rgb="FF000000"/>
        <rFont val="맑은 고딕"/>
        <family val="0"/>
        <charset val="1"/>
      </rPr>
      <t xml:space="preserve">BIA</t>
    </r>
    <r>
      <rPr>
        <sz val="10"/>
        <color rgb="FF000000"/>
        <rFont val="WenQuanYi Zen Hei"/>
        <family val="2"/>
      </rPr>
      <t xml:space="preserve">의 우선순위와 복구목표 설정에 실제로 반영된다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</si>
  <si>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1–5 + 9(</t>
    </r>
    <r>
      <rPr>
        <sz val="10"/>
        <color rgb="FF000000"/>
        <rFont val="WenQuanYi Zen Hei"/>
        <family val="2"/>
      </rPr>
      <t xml:space="preserve">해당없음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</si>
  <si>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AH</t>
  </si>
  <si>
    <t xml:space="preserve">확인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</si>
  <si>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BIA </t>
    </r>
    <r>
      <rPr>
        <sz val="10"/>
        <color rgb="FF000000"/>
        <rFont val="WenQuanYi Zen Hei"/>
        <family val="2"/>
      </rPr>
      <t xml:space="preserve">결과에 요구사항이 빠짐없이 반영되었는지 검토 또는 점검 기록으로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</si>
  <si>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AI</t>
  </si>
  <si>
    <t xml:space="preserve">갱신</t>
  </si>
  <si>
    <r>
      <rPr>
        <sz val="10"/>
        <color rgb="FF000000"/>
        <rFont val="WenQuanYi Zen Hei"/>
        <family val="2"/>
      </rPr>
      <t xml:space="preserve">우리 조직에서는 요구사항이 바뀌면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신규 법규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계약 등</t>
    </r>
    <r>
      <rPr>
        <sz val="10"/>
        <color rgb="FF000000"/>
        <rFont val="맑은 고딕"/>
        <family val="0"/>
        <charset val="1"/>
      </rPr>
      <t xml:space="preserve">) BIA </t>
    </r>
    <r>
      <rPr>
        <sz val="10"/>
        <color rgb="FF000000"/>
        <rFont val="WenQuanYi Zen Hei"/>
        <family val="2"/>
      </rPr>
      <t xml:space="preserve">결과를 다시 검토하여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</si>
  <si>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AJ</t>
  </si>
  <si>
    <r>
      <rPr>
        <sz val="10"/>
        <color rgb="FF000000"/>
        <rFont val="WenQuanYi Zen Hei"/>
        <family val="2"/>
      </rPr>
      <t xml:space="preserve">우리 조직에서는 요구사항이 리스크평가의 대상 범위와 평가 기준에 반영된다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</si>
  <si>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AK</t>
  </si>
  <si>
    <r>
      <rPr>
        <sz val="10"/>
        <color rgb="FF000000"/>
        <rFont val="WenQuanYi Zen Hei"/>
        <family val="2"/>
      </rPr>
      <t xml:space="preserve">우리 조직에서는 리스크평가가 관련 요구사항을 고려했는지 확인하는 절차가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</si>
  <si>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AL</t>
  </si>
  <si>
    <r>
      <rPr>
        <sz val="10"/>
        <color rgb="FF000000"/>
        <rFont val="WenQuanYi Zen Hei"/>
        <family val="2"/>
      </rPr>
      <t xml:space="preserve">우리 조직에서는 요구사항이 바뀌면 리스크평가 기준이나 결과를 함께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</si>
  <si>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AM</t>
  </si>
  <si>
    <r>
      <rPr>
        <sz val="10"/>
        <color rgb="FF000000"/>
        <rFont val="WenQuanYi Zen Hei"/>
        <family val="2"/>
      </rPr>
      <t xml:space="preserve">우리 조직에서는 리스크평가가 </t>
    </r>
    <r>
      <rPr>
        <sz val="10"/>
        <color rgb="FF000000"/>
        <rFont val="맑은 고딕"/>
        <family val="0"/>
        <charset val="1"/>
      </rPr>
      <t xml:space="preserve">BIA</t>
    </r>
    <r>
      <rPr>
        <sz val="10"/>
        <color rgb="FF000000"/>
        <rFont val="WenQuanYi Zen Hei"/>
        <family val="2"/>
      </rPr>
      <t xml:space="preserve">에서 정한 핵심 제품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서비스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활동의 우선순위를 출발점으로 삼는다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</si>
  <si>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AN</t>
  </si>
  <si>
    <r>
      <rPr>
        <sz val="10"/>
        <color rgb="FF000000"/>
        <rFont val="WenQuanYi Zen Hei"/>
        <family val="2"/>
      </rPr>
      <t xml:space="preserve">우리 조직에서는 리스크평가 대상이 </t>
    </r>
    <r>
      <rPr>
        <sz val="10"/>
        <color rgb="FF000000"/>
        <rFont val="맑은 고딕"/>
        <family val="0"/>
        <charset val="1"/>
      </rPr>
      <t xml:space="preserve">BIA </t>
    </r>
    <r>
      <rPr>
        <sz val="10"/>
        <color rgb="FF000000"/>
        <rFont val="WenQuanYi Zen Hei"/>
        <family val="2"/>
      </rPr>
      <t xml:space="preserve">결과와 일치하는지 서로 대조하여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</si>
  <si>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AO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</si>
  <si>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BIA </t>
    </r>
    <r>
      <rPr>
        <sz val="10"/>
        <color rgb="FF000000"/>
        <rFont val="WenQuanYi Zen Hei"/>
        <family val="2"/>
      </rPr>
      <t xml:space="preserve">결과가 바뀌면 리스크 목록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리스크 카탈로그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도 함께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</si>
  <si>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AP</t>
  </si>
  <si>
    <r>
      <rPr>
        <sz val="10"/>
        <color rgb="FF000000"/>
        <rFont val="WenQuanYi Zen Hei"/>
        <family val="2"/>
      </rPr>
      <t xml:space="preserve">우리 조직에서는 내부감사의 점검 기준에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관련 요구사항이 포함되어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</si>
  <si>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AQ</t>
  </si>
  <si>
    <r>
      <rPr>
        <sz val="10"/>
        <color rgb="FF000000"/>
        <rFont val="WenQuanYi Zen Hei"/>
        <family val="2"/>
      </rPr>
      <t xml:space="preserve">우리 조직에서는 감사 때 요구사항 충족 여부를 항목별로 확인하고 기록한다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</si>
  <si>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AR</t>
  </si>
  <si>
    <r>
      <rPr>
        <sz val="10"/>
        <color rgb="FF000000"/>
        <rFont val="WenQuanYi Zen Hei"/>
        <family val="2"/>
      </rPr>
      <t xml:space="preserve">우리 조직에서는 요구사항이 바뀌면 감사 기준과 점검표를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</si>
  <si>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AS</t>
  </si>
  <si>
    <r>
      <rPr>
        <sz val="10"/>
        <color rgb="FF000000"/>
        <rFont val="WenQuanYi Zen Hei"/>
        <family val="2"/>
      </rPr>
      <t xml:space="preserve">우리 조직에서는 외주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공급업체의 선정과 계약 조건에 우리의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요구사항이 반영된다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</si>
  <si>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AT</t>
  </si>
  <si>
    <r>
      <rPr>
        <sz val="10"/>
        <color rgb="FF000000"/>
        <rFont val="WenQuanYi Zen Hei"/>
        <family val="2"/>
      </rPr>
      <t xml:space="preserve">우리 조직에서는 공급업체가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요구사항을 지키고 있는지 평가나 점검으로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</si>
  <si>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AU</t>
  </si>
  <si>
    <r>
      <rPr>
        <sz val="10"/>
        <color rgb="FF000000"/>
        <rFont val="WenQuanYi Zen Hei"/>
        <family val="2"/>
      </rPr>
      <t xml:space="preserve">우리 조직에서는 요구사항이나 공급업체 상황이 바뀌면 계약 조건과 평가 결과를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</si>
  <si>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AV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</si>
  <si>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솔루션을 승인된 </t>
    </r>
    <r>
      <rPr>
        <sz val="10"/>
        <color rgb="FF000000"/>
        <rFont val="맑은 고딕"/>
        <family val="0"/>
        <charset val="1"/>
      </rPr>
      <t xml:space="preserve">BIA </t>
    </r>
    <r>
      <rPr>
        <sz val="10"/>
        <color rgb="FF000000"/>
        <rFont val="WenQuanYi Zen Hei"/>
        <family val="2"/>
      </rPr>
      <t xml:space="preserve">결과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복구 우선순위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목표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를 근거로 정한다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</si>
  <si>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AW</t>
  </si>
  <si>
    <r>
      <rPr>
        <sz val="10"/>
        <color rgb="FF000000"/>
        <rFont val="WenQuanYi Zen Hei"/>
        <family val="2"/>
      </rPr>
      <t xml:space="preserve">우리 조직에서는 선택한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솔루션이 </t>
    </r>
    <r>
      <rPr>
        <sz val="10"/>
        <color rgb="FF000000"/>
        <rFont val="맑은 고딕"/>
        <family val="0"/>
        <charset val="1"/>
      </rPr>
      <t xml:space="preserve">BIA</t>
    </r>
    <r>
      <rPr>
        <sz val="10"/>
        <color rgb="FF000000"/>
        <rFont val="WenQuanYi Zen Hei"/>
        <family val="2"/>
      </rPr>
      <t xml:space="preserve">의 복구목표를 충족하는지 검증한다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</si>
  <si>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AX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</si>
  <si>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BIA </t>
    </r>
    <r>
      <rPr>
        <sz val="10"/>
        <color rgb="FF000000"/>
        <rFont val="WenQuanYi Zen Hei"/>
        <family val="2"/>
      </rPr>
      <t xml:space="preserve">결과가 바뀌면 이미 선택한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솔루션을 다시 검토한다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</si>
  <si>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AY</t>
  </si>
  <si>
    <r>
      <rPr>
        <sz val="10"/>
        <color rgb="FF000000"/>
        <rFont val="WenQuanYi Zen Hei"/>
        <family val="2"/>
      </rPr>
      <t xml:space="preserve">우리 조직에서는 선정된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솔루션이 일정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담당자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예산이 있는 이행 활동으로 구체화된다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</si>
  <si>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AZ</t>
  </si>
  <si>
    <r>
      <rPr>
        <sz val="10"/>
        <color rgb="FF000000"/>
        <rFont val="WenQuanYi Zen Hei"/>
        <family val="2"/>
      </rPr>
      <t xml:space="preserve">우리 조직에서는 솔루션이 계획대로 구현되었는지 점검한다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</si>
  <si>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BA</t>
  </si>
  <si>
    <r>
      <rPr>
        <sz val="10"/>
        <color rgb="FF000000"/>
        <rFont val="WenQuanYi Zen Hei"/>
        <family val="2"/>
      </rPr>
      <t xml:space="preserve">우리 조직에서는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솔루션이 수정되면 이행 계획과 구현 상태도 함께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</si>
  <si>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BB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</si>
  <si>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절차가 선정된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솔루션을 실제로 가동하는 방법을 담고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</si>
  <si>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BC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</si>
  <si>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절차가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솔루션과 일치하는지 승인 전에 검토한다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</si>
  <si>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BD</t>
  </si>
  <si>
    <r>
      <rPr>
        <sz val="10"/>
        <color rgb="FF000000"/>
        <rFont val="WenQuanYi Zen Hei"/>
        <family val="2"/>
      </rPr>
      <t xml:space="preserve">우리 조직에서는 전략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솔루션이 바뀌면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절차를 함께 개정한다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</si>
  <si>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BE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</si>
  <si>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절차가 리스크평가에서 식별된 주요 위협 시나리오를 반영하고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</si>
  <si>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BF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</si>
  <si>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절차가 주요 리스크를 다루는지 리스크 목록과 대조하여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</si>
  <si>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BG</t>
  </si>
  <si>
    <r>
      <rPr>
        <sz val="10"/>
        <color rgb="FF000000"/>
        <rFont val="WenQuanYi Zen Hei"/>
        <family val="2"/>
      </rPr>
      <t xml:space="preserve">우리 조직에서는 새 리스크가 식별되거나 리스크 수준이 바뀌면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절차를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</si>
  <si>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BH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</si>
  <si>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BIA</t>
    </r>
    <r>
      <rPr>
        <sz val="10"/>
        <color rgb="FF000000"/>
        <rFont val="WenQuanYi Zen Hei"/>
        <family val="2"/>
      </rPr>
      <t xml:space="preserve">에서 파악한 복구 필요 자원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인력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정보 등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 자원관리 계획에 반영된다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</si>
  <si>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BI</t>
  </si>
  <si>
    <r>
      <rPr>
        <sz val="10"/>
        <color rgb="FF000000"/>
        <rFont val="WenQuanYi Zen Hei"/>
        <family val="2"/>
      </rPr>
      <t xml:space="preserve">우리 조직에서는 확보된 자원이 복구목표를 달성하기에 충분한지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</si>
  <si>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BJ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</si>
  <si>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BIA</t>
    </r>
    <r>
      <rPr>
        <sz val="10"/>
        <color rgb="FF000000"/>
        <rFont val="WenQuanYi Zen Hei"/>
        <family val="2"/>
      </rPr>
      <t xml:space="preserve">나 복구목표가 바뀌면 자원 배정을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</si>
  <si>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BK</t>
  </si>
  <si>
    <r>
      <rPr>
        <sz val="10"/>
        <color rgb="FF000000"/>
        <rFont val="WenQuanYi Zen Hei"/>
        <family val="2"/>
      </rPr>
      <t xml:space="preserve">우리 조직에서는 사고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비상이 발생하면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절차에 따라 대응하도록 역할과 가동 기준이 정해져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</si>
  <si>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BL</t>
  </si>
  <si>
    <r>
      <rPr>
        <sz val="10"/>
        <color rgb="FF000000"/>
        <rFont val="WenQuanYi Zen Hei"/>
        <family val="2"/>
      </rPr>
      <t xml:space="preserve">우리 조직에서는 실제 사고나 모의 상황에서 계획대로 대응했는지 확인하고 기록한다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</si>
  <si>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BM</t>
  </si>
  <si>
    <r>
      <rPr>
        <sz val="10"/>
        <color rgb="FF000000"/>
        <rFont val="WenQuanYi Zen Hei"/>
        <family val="2"/>
      </rPr>
      <t xml:space="preserve">우리 조직에서는 사고 대응에서 드러난 문제를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 개정에 반영한다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</si>
  <si>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BN</t>
  </si>
  <si>
    <r>
      <rPr>
        <sz val="10"/>
        <color rgb="FF000000"/>
        <rFont val="WenQuanYi Zen Hei"/>
        <family val="2"/>
      </rPr>
      <t xml:space="preserve">우리 조직에서는 사고 대응 절차에 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외부 경보와 상황 전파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누구에게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언제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어떻게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포함되어 실행된다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</si>
  <si>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BO</t>
  </si>
  <si>
    <r>
      <rPr>
        <sz val="10"/>
        <color rgb="FF000000"/>
        <rFont val="WenQuanYi Zen Hei"/>
        <family val="2"/>
      </rPr>
      <t xml:space="preserve">우리 조직에서는 경보가 대상자에게 적시에 도달했는지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</si>
  <si>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BP</t>
  </si>
  <si>
    <r>
      <rPr>
        <sz val="10"/>
        <color rgb="FF000000"/>
        <rFont val="WenQuanYi Zen Hei"/>
        <family val="2"/>
      </rPr>
      <t xml:space="preserve">우리 조직에서는 대응 체계나 담당자가 바뀌면 경보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연락 절차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연락망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를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</si>
  <si>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BQ</t>
  </si>
  <si>
    <r>
      <rPr>
        <sz val="10"/>
        <color rgb="FF000000"/>
        <rFont val="WenQuanYi Zen Hei"/>
        <family val="2"/>
      </rPr>
      <t xml:space="preserve">우리 조직에서는 사고 대응의 상황 판단과 결과가 복구 활동으로 끊김 없이 이어진다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</si>
  <si>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BR</t>
  </si>
  <si>
    <r>
      <rPr>
        <sz val="10"/>
        <color rgb="FF000000"/>
        <rFont val="WenQuanYi Zen Hei"/>
        <family val="2"/>
      </rPr>
      <t xml:space="preserve">우리 조직에서는 복구가 끝났는지를 복구목표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RTO) </t>
    </r>
    <r>
      <rPr>
        <sz val="10"/>
        <color rgb="FF000000"/>
        <rFont val="WenQuanYi Zen Hei"/>
        <family val="2"/>
      </rPr>
      <t xml:space="preserve">기준으로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</si>
  <si>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BS</t>
  </si>
  <si>
    <r>
      <rPr>
        <sz val="10"/>
        <color rgb="FF000000"/>
        <rFont val="WenQuanYi Zen Hei"/>
        <family val="2"/>
      </rPr>
      <t xml:space="preserve">우리 조직에서는 복구 결과를 사고 대응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복구 절차의 개선에 반영한다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</si>
  <si>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BT</t>
  </si>
  <si>
    <r>
      <rPr>
        <sz val="10"/>
        <color rgb="FF000000"/>
        <rFont val="WenQuanYi Zen Hei"/>
        <family val="2"/>
      </rPr>
      <t xml:space="preserve">우리 조직에서는 훈련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연습 시나리오가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절차를 실제로 적용해 보도록 설계된다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</si>
  <si>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BU</t>
  </si>
  <si>
    <r>
      <rPr>
        <sz val="10"/>
        <color rgb="FF000000"/>
        <rFont val="WenQuanYi Zen Hei"/>
        <family val="2"/>
      </rPr>
      <t xml:space="preserve">우리 조직에서는 연습 결과를 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절차가 유효했는지 판단하는 기준에 비추어 평가하고 기록한다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</si>
  <si>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BV</t>
  </si>
  <si>
    <r>
      <rPr>
        <sz val="10"/>
        <color rgb="FF000000"/>
        <rFont val="WenQuanYi Zen Hei"/>
        <family val="2"/>
      </rPr>
      <t xml:space="preserve">우리 조직에서는 연습에서 나온 문제점이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 수정으로 이어진다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</si>
  <si>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BW</t>
  </si>
  <si>
    <r>
      <rPr>
        <sz val="10"/>
        <color rgb="FF000000"/>
        <rFont val="WenQuanYi Zen Hei"/>
        <family val="2"/>
      </rPr>
      <t xml:space="preserve">우리 조직에서는 교육 내용에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절차와 각자의 역할이 반영된다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</si>
  <si>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BX</t>
  </si>
  <si>
    <r>
      <rPr>
        <sz val="10"/>
        <color rgb="FF000000"/>
        <rFont val="WenQuanYi Zen Hei"/>
        <family val="2"/>
      </rPr>
      <t xml:space="preserve">우리 조직에서는 교육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연습 후 구성원이 계획과 자기 역할을 이해했는지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</si>
  <si>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BY</t>
  </si>
  <si>
    <r>
      <rPr>
        <sz val="10"/>
        <color rgb="FF000000"/>
        <rFont val="WenQuanYi Zen Hei"/>
        <family val="2"/>
      </rPr>
      <t xml:space="preserve">우리 조직에서는 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절차나 연습 결과가 바뀌면 교육 내용과 대상자를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</si>
  <si>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BZ</t>
  </si>
  <si>
    <r>
      <rPr>
        <sz val="10"/>
        <color rgb="FF000000"/>
        <rFont val="WenQuanYi Zen Hei"/>
        <family val="2"/>
      </rPr>
      <t xml:space="preserve">우리 조직에서는 성과평가 결과가 구체적인 개선 과제로 이어진다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</si>
  <si>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CA</t>
  </si>
  <si>
    <r>
      <rPr>
        <sz val="10"/>
        <color rgb="FF000000"/>
        <rFont val="WenQuanYi Zen Hei"/>
        <family val="2"/>
      </rPr>
      <t xml:space="preserve">우리 조직에서는 개선 조치가 완료되었는지와 효과가 있었는지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</si>
  <si>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CB</t>
  </si>
  <si>
    <r>
      <rPr>
        <sz val="10"/>
        <color rgb="FF000000"/>
        <rFont val="WenQuanYi Zen Hei"/>
        <family val="2"/>
      </rPr>
      <t xml:space="preserve">우리 조직에서는 개선 결과에 따라 성과평가 지표와 방법을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</si>
  <si>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CC</t>
  </si>
  <si>
    <r>
      <rPr>
        <sz val="10"/>
        <color rgb="FF000000"/>
        <rFont val="WenQuanYi Zen Hei"/>
        <family val="2"/>
      </rPr>
      <t xml:space="preserve">우리 조직에서는 내부감사 지적사항이 개선 조치 계획에 포함된다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</si>
  <si>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CD</t>
  </si>
  <si>
    <r>
      <rPr>
        <sz val="10"/>
        <color rgb="FF000000"/>
        <rFont val="WenQuanYi Zen Hei"/>
        <family val="2"/>
      </rPr>
      <t xml:space="preserve">우리 조직에서는 감사 지적사항에 대한 조치가 끝났는지 후속 확인을 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</si>
  <si>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CE</t>
  </si>
  <si>
    <r>
      <rPr>
        <sz val="10"/>
        <color rgb="FF000000"/>
        <rFont val="WenQuanYi Zen Hei"/>
        <family val="2"/>
      </rPr>
      <t xml:space="preserve">우리 조직에서는 감사 결과로 관련 프로세스나 감사 방식을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</si>
  <si>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CF</t>
  </si>
  <si>
    <r>
      <rPr>
        <sz val="10"/>
        <color rgb="FF000000"/>
        <rFont val="WenQuanYi Zen Hei"/>
        <family val="2"/>
      </rPr>
      <t xml:space="preserve">우리 조직에서는 공급업체 평가 결과가 </t>
    </r>
    <r>
      <rPr>
        <sz val="10"/>
        <color rgb="FF000000"/>
        <rFont val="맑은 고딕"/>
        <family val="0"/>
        <charset val="1"/>
      </rPr>
      <t xml:space="preserve">BCMS </t>
    </r>
    <r>
      <rPr>
        <sz val="10"/>
        <color rgb="FF000000"/>
        <rFont val="WenQuanYi Zen Hei"/>
        <family val="2"/>
      </rPr>
      <t xml:space="preserve">개선 과제에 포함된다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</si>
  <si>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CG</t>
  </si>
  <si>
    <r>
      <rPr>
        <sz val="10"/>
        <color rgb="FF000000"/>
        <rFont val="WenQuanYi Zen Hei"/>
        <family val="2"/>
      </rPr>
      <t xml:space="preserve">우리 조직에서는 공급업체 관련 개선 조치가 이행되었는지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</si>
  <si>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CH</t>
  </si>
  <si>
    <r>
      <rPr>
        <sz val="10"/>
        <color rgb="FF000000"/>
        <rFont val="WenQuanYi Zen Hei"/>
        <family val="2"/>
      </rPr>
      <t xml:space="preserve">우리 조직에서는 공급업체 평가 결과에 따라 공급업체 요건이나 평가 기준을 고친다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</si>
  <si>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BCMS</t>
    </r>
    <r>
      <rPr>
        <sz val="10"/>
        <color rgb="FF000000"/>
        <rFont val="WenQuanYi Zen Hei"/>
        <family val="2"/>
      </rPr>
      <t xml:space="preserve">에 영향을 주는 변경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 리스크평가 대상에 포함된다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</si>
  <si>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CJ</t>
  </si>
  <si>
    <r>
      <rPr>
        <sz val="10"/>
        <color rgb="FF000000"/>
        <rFont val="WenQuanYi Zen Hei"/>
        <family val="2"/>
      </rPr>
      <t xml:space="preserve">우리 조직에서는 변경을 승인하기 전에 리스크평가 결과를 확인하여 판단에 사용한다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</si>
  <si>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CK</t>
  </si>
  <si>
    <r>
      <rPr>
        <sz val="10"/>
        <color rgb="FF000000"/>
        <rFont val="WenQuanYi Zen Hei"/>
        <family val="2"/>
      </rPr>
      <t xml:space="preserve">우리 조직에서는 중대한 변경이 발생하면 리스크평가를 다시 수행한다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</si>
  <si>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CL</t>
  </si>
  <si>
    <r>
      <rPr>
        <sz val="10"/>
        <color rgb="FF000000"/>
        <rFont val="WenQuanYi Zen Hei"/>
        <family val="2"/>
      </rPr>
      <t xml:space="preserve">우리 조직에서는 승인된 변경 내용이 관련 문서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연락망 등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에 반영된다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</si>
  <si>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CM</t>
  </si>
  <si>
    <r>
      <rPr>
        <sz val="10"/>
        <color rgb="FF000000"/>
        <rFont val="WenQuanYi Zen Hei"/>
        <family val="2"/>
      </rPr>
      <t xml:space="preserve">우리 조직에서는 문서가 최신 변경을 반영하고 있는지 버전이나 승인 기록으로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</si>
  <si>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CN</t>
  </si>
  <si>
    <r>
      <rPr>
        <sz val="10"/>
        <color rgb="FF000000"/>
        <rFont val="WenQuanYi Zen Hei"/>
        <family val="2"/>
      </rPr>
      <t xml:space="preserve">우리 조직에서는 변경이 있으면 관련 문서와 그 배포 대상을 함께 갱신한다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</si>
  <si>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CO</t>
  </si>
  <si>
    <r>
      <rPr>
        <sz val="10"/>
        <color rgb="FF000000"/>
        <rFont val="WenQuanYi Zen Hei"/>
        <family val="2"/>
      </rPr>
      <t xml:space="preserve">우리 조직에서는 사고 대응이나 연습에서 나온 변경 필요사항이 변경관리 절차로 접수된다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</si>
  <si>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CP</t>
  </si>
  <si>
    <r>
      <rPr>
        <sz val="10"/>
        <color rgb="FF000000"/>
        <rFont val="WenQuanYi Zen Hei"/>
        <family val="2"/>
      </rPr>
      <t xml:space="preserve">우리 조직에서는 접수된 변경 요청의 처리 결과를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</si>
  <si>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CQ</t>
  </si>
  <si>
    <r>
      <rPr>
        <sz val="10"/>
        <color rgb="FF000000"/>
        <rFont val="WenQuanYi Zen Hei"/>
        <family val="2"/>
      </rPr>
      <t xml:space="preserve">우리 조직에서는 승인된 변경을 다음 사고 대응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연습 절차와 시나리오에 반영한다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</si>
  <si>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CR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</si>
  <si>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BCMS </t>
    </r>
    <r>
      <rPr>
        <sz val="10"/>
        <color rgb="FF000000"/>
        <rFont val="WenQuanYi Zen Hei"/>
        <family val="2"/>
      </rPr>
      <t xml:space="preserve">프로세스의 주요 결과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리스크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운영 현황 등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이해관계자와의 협의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커뮤니케이션 채널로 전달된다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</si>
  <si>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CS</t>
  </si>
  <si>
    <r>
      <rPr>
        <sz val="10"/>
        <color rgb="FF000000"/>
        <rFont val="WenQuanYi Zen Hei"/>
        <family val="2"/>
      </rPr>
      <t xml:space="preserve">우리 조직에서는 전달한 내용이 이해되었는지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이해관계자 의견이 접수되었는지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</si>
  <si>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CT</t>
  </si>
  <si>
    <r>
      <rPr>
        <sz val="10"/>
        <color rgb="FF000000"/>
        <rFont val="WenQuanYi Zen Hei"/>
        <family val="2"/>
      </rPr>
      <t xml:space="preserve">우리 조직에서는 이해관계자의 의견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요구를 관련 프로세스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요구사항관리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에 반영하여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</si>
  <si>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CU</t>
  </si>
  <si>
    <r>
      <rPr>
        <sz val="10"/>
        <color rgb="FF000000"/>
        <rFont val="WenQuanYi Zen Hei"/>
        <family val="2"/>
      </rPr>
      <t xml:space="preserve">우리 조직에서는 커뮤니케이션을 통해 모인 보고와 요구사항이 경영진 검토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의사결정의 입력으로 쓰인다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</si>
  <si>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CV</t>
  </si>
  <si>
    <r>
      <rPr>
        <sz val="10"/>
        <color rgb="FF000000"/>
        <rFont val="WenQuanYi Zen Hei"/>
        <family val="2"/>
      </rPr>
      <t xml:space="preserve">우리 조직에서는 경영진이 해당 보고를 검토하고 결정 사항을 기록으로 남긴다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</si>
  <si>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CW</t>
  </si>
  <si>
    <r>
      <rPr>
        <sz val="10"/>
        <color rgb="FF000000"/>
        <rFont val="WenQuanYi Zen Hei"/>
        <family val="2"/>
      </rPr>
      <t xml:space="preserve">우리 조직에서는 경영진의 결정으로 방향이나 목표가 바뀌면 관련 프로세스에 전달하여 고치게 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</si>
  <si>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CX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</si>
  <si>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정책이 경영진이 정한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목표와 방향을 반영하고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</si>
  <si>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CY</t>
  </si>
  <si>
    <r>
      <rPr>
        <sz val="10"/>
        <color rgb="FF000000"/>
        <rFont val="WenQuanYi Zen Hei"/>
        <family val="2"/>
      </rPr>
      <t xml:space="preserve">우리 조직에서는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정책이 경영진 승인과 이해관계자 요구에 맞는지 승인 절차로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</si>
  <si>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CZ</t>
  </si>
  <si>
    <r>
      <rPr>
        <sz val="10"/>
        <color rgb="FF000000"/>
        <rFont val="WenQuanYi Zen Hei"/>
        <family val="2"/>
      </rPr>
      <t xml:space="preserve">우리 조직에서는 목표나 방향이 바뀌면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정책을 고치고 구성원에게 알린다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</si>
  <si>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DA</t>
  </si>
  <si>
    <r>
      <rPr>
        <sz val="10"/>
        <color rgb="FF000000"/>
        <rFont val="WenQuanYi Zen Hei"/>
        <family val="2"/>
      </rPr>
      <t xml:space="preserve">우리 조직에서는 자원 사용 현황 보고가 핵심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프로세스 운영과 고객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이해관계자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관리에 제공되어 쓰인다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</si>
  <si>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DB</t>
  </si>
  <si>
    <r>
      <rPr>
        <sz val="10"/>
        <color rgb="FF000000"/>
        <rFont val="WenQuanYi Zen Hei"/>
        <family val="2"/>
      </rPr>
      <t xml:space="preserve">우리 조직에서는 자원이 계획대로 쓰이고 있는지 보고서로 확인한다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</si>
  <si>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DC</t>
  </si>
  <si>
    <r>
      <rPr>
        <sz val="10"/>
        <color rgb="FF000000"/>
        <rFont val="WenQuanYi Zen Hei"/>
        <family val="2"/>
      </rPr>
      <t xml:space="preserve">우리 조직에서는 자원 사용 보고 결과에 따라 자원 배분을 고친다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</si>
  <si>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DD</t>
  </si>
  <si>
    <t xml:space="preserve">G01</t>
  </si>
  <si>
    <r>
      <rPr>
        <sz val="10"/>
        <color rgb="FF000000"/>
        <rFont val="맑은 고딕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종합</t>
    </r>
  </si>
  <si>
    <t xml:space="preserve">종합</t>
  </si>
  <si>
    <r>
      <rPr>
        <sz val="10"/>
        <color rgb="FF000000"/>
        <rFont val="WenQuanYi Zen Hei"/>
        <family val="2"/>
      </rPr>
      <t xml:space="preserve">우리 조직의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프로세스들은 서로의 산출물을 입력으로 사용하며 연결되어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</si>
  <si>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DE</t>
  </si>
  <si>
    <t xml:space="preserve">G02</t>
  </si>
  <si>
    <r>
      <rPr>
        <sz val="10"/>
        <color rgb="FF000000"/>
        <rFont val="WenQuanYi Zen Hei"/>
        <family val="2"/>
      </rPr>
      <t xml:space="preserve">한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프로세스를 바꾸면 영향을 받는 다른 프로세스가 무엇인지 알 수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</si>
  <si>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DF</t>
  </si>
  <si>
    <t xml:space="preserve">G03</t>
  </si>
  <si>
    <r>
      <rPr>
        <sz val="10"/>
        <color rgb="FF000000"/>
        <rFont val="WenQuanYi Zen Hei"/>
        <family val="2"/>
      </rPr>
      <t xml:space="preserve">프로세스 간에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누가 누구에게 무엇을 전달하는지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가 문서로 정리되어 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</si>
  <si>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DG</t>
  </si>
  <si>
    <t xml:space="preserve">G04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</si>
  <si>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관리자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또는 그에 준하는 담당자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프로세스 간 연결 상태를 총괄하여 점검한다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</si>
  <si>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DH</t>
  </si>
  <si>
    <t xml:space="preserve">G05</t>
  </si>
  <si>
    <r>
      <rPr>
        <sz val="10"/>
        <color rgb="FF000000"/>
        <rFont val="WenQuanYi Zen Hei"/>
        <family val="2"/>
      </rPr>
      <t xml:space="preserve">프로세스 간 연결이 끊어졌거나 약한 지점을 파악하여 조치한다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</si>
  <si>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DI</t>
  </si>
  <si>
    <t xml:space="preserve">G06</t>
  </si>
  <si>
    <r>
      <rPr>
        <sz val="10"/>
        <color rgb="FF000000"/>
        <rFont val="WenQuanYi Zen Hei"/>
        <family val="2"/>
      </rPr>
      <t xml:space="preserve">프로세스 간 연결은 일회성 프로젝트가 아니라 정기적으로 반복되는 운영 활동으로 유지된다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</si>
  <si>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DJ</t>
  </si>
  <si>
    <t xml:space="preserve">RV1</t>
  </si>
  <si>
    <r>
      <rPr>
        <sz val="10"/>
        <color rgb="FF000000"/>
        <rFont val="맑은 고딕"/>
        <family val="0"/>
        <charset val="1"/>
      </rPr>
      <t xml:space="preserve">E </t>
    </r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역문항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</si>
  <si>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검증</t>
  </si>
  <si>
    <r>
      <rPr>
        <sz val="10"/>
        <color rgb="FF000000"/>
        <rFont val="WenQuanYi Zen Hei"/>
        <family val="2"/>
      </rPr>
      <t xml:space="preserve">역문항</t>
    </r>
    <r>
      <rPr>
        <sz val="10"/>
        <color rgb="FF000000"/>
        <rFont val="맑은 고딕"/>
        <family val="0"/>
        <charset val="1"/>
      </rPr>
      <t xml:space="preserve">(↔G01)</t>
    </r>
  </si>
  <si>
    <r>
      <rPr>
        <sz val="10"/>
        <color rgb="FF000000"/>
        <rFont val="WenQuanYi Zen Hei"/>
        <family val="2"/>
      </rPr>
      <t xml:space="preserve">우리 조직의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프로세스는 대부분 다른 프로세스와 별개로 독립적으로 수행된다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</si>
  <si>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DK</t>
  </si>
  <si>
    <t xml:space="preserve">RV2</t>
  </si>
  <si>
    <r>
      <rPr>
        <sz val="10"/>
        <color rgb="FF000000"/>
        <rFont val="WenQuanYi Zen Hei"/>
        <family val="2"/>
      </rPr>
      <t xml:space="preserve">역문항</t>
    </r>
    <r>
      <rPr>
        <sz val="10"/>
        <color rgb="FF000000"/>
        <rFont val="맑은 고딕"/>
        <family val="0"/>
        <charset val="1"/>
      </rPr>
      <t xml:space="preserve">(↔L01~L03)</t>
    </r>
  </si>
  <si>
    <r>
      <rPr>
        <sz val="10"/>
        <color rgb="FF000000"/>
        <rFont val="WenQuanYi Zen Hei"/>
        <family val="2"/>
      </rPr>
      <t xml:space="preserve">한 프로세스의 결과물이 만들어진 뒤 다른 프로세스에서 참조되지 않는 경우가 많다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</si>
  <si>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DL</t>
  </si>
  <si>
    <t xml:space="preserve">RV3</t>
  </si>
  <si>
    <r>
      <rPr>
        <sz val="10"/>
        <color rgb="FF000000"/>
        <rFont val="WenQuanYi Zen Hei"/>
        <family val="2"/>
      </rPr>
      <t xml:space="preserve">역문항</t>
    </r>
    <r>
      <rPr>
        <sz val="10"/>
        <color rgb="FF000000"/>
        <rFont val="맑은 고딕"/>
        <family val="0"/>
        <charset val="1"/>
      </rPr>
      <t xml:space="preserve">(↔L20)</t>
    </r>
  </si>
  <si>
    <r>
      <rPr>
        <sz val="10"/>
        <color rgb="FF000000"/>
        <rFont val="WenQuanYi Zen Hei"/>
        <family val="2"/>
      </rPr>
      <t xml:space="preserve">문서가 개정되어도 관련 프로세스 담당자에게는 따로 알리지 않는 경우가 많다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</si>
  <si>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DM</t>
  </si>
  <si>
    <t xml:space="preserve">RV4</t>
  </si>
  <si>
    <r>
      <rPr>
        <sz val="10"/>
        <color rgb="FF000000"/>
        <rFont val="WenQuanYi Zen Hei"/>
        <family val="2"/>
      </rPr>
      <t xml:space="preserve">역문항</t>
    </r>
    <r>
      <rPr>
        <sz val="10"/>
        <color rgb="FF000000"/>
        <rFont val="맑은 고딕"/>
        <family val="0"/>
        <charset val="1"/>
      </rPr>
      <t xml:space="preserve">(↔L14)</t>
    </r>
  </si>
  <si>
    <r>
      <rPr>
        <sz val="10"/>
        <color rgb="FF000000"/>
        <rFont val="WenQuanYi Zen Hei"/>
        <family val="2"/>
      </rPr>
      <t xml:space="preserve">연습 결과가 </t>
    </r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계획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 개정으로 이어지지 않는 경우가 많다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</si>
  <si>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DN</t>
  </si>
  <si>
    <t xml:space="preserve">AC1</t>
  </si>
  <si>
    <r>
      <rPr>
        <sz val="10"/>
        <color rgb="FF000000"/>
        <rFont val="맑은 고딕"/>
        <family val="0"/>
        <charset val="1"/>
      </rPr>
      <t xml:space="preserve">E </t>
    </r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주의확인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</si>
  <si>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주의확인</t>
  </si>
  <si>
    <r>
      <rPr>
        <sz val="10"/>
        <color rgb="FF000000"/>
        <rFont val="WenQuanYi Zen Hei"/>
        <family val="2"/>
      </rPr>
      <t xml:space="preserve">이 문항에서는 응답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번을 선택해 주십시오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</si>
  <si>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DO</t>
  </si>
  <si>
    <t xml:space="preserve">CR1</t>
  </si>
  <si>
    <r>
      <rPr>
        <sz val="10"/>
        <color rgb="FF000000"/>
        <rFont val="맑은 고딕"/>
        <family val="0"/>
        <charset val="1"/>
      </rPr>
      <t xml:space="preserve">E </t>
    </r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준거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</si>
  <si>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준거</t>
  </si>
  <si>
    <r>
      <rPr>
        <sz val="10"/>
        <color rgb="FF000000"/>
        <rFont val="WenQuanYi Zen Hei"/>
        <family val="2"/>
      </rPr>
      <t xml:space="preserve">중단 사건이 발생해도 우리 조직의 </t>
    </r>
    <r>
      <rPr>
        <sz val="10"/>
        <color rgb="FF000000"/>
        <rFont val="맑은 고딕"/>
        <family val="0"/>
        <charset val="1"/>
      </rPr>
      <t xml:space="preserve">BCMS</t>
    </r>
    <r>
      <rPr>
        <sz val="10"/>
        <color rgb="FF000000"/>
        <rFont val="WenQuanYi Zen Hei"/>
        <family val="2"/>
      </rPr>
      <t xml:space="preserve">가 효과적으로 대응할 수 있다고 확신한다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</si>
  <si>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DP</t>
  </si>
  <si>
    <t xml:space="preserve">CR2</t>
  </si>
  <si>
    <r>
      <rPr>
        <sz val="10"/>
        <color rgb="FF000000"/>
        <rFont val="WenQuanYi Zen Hei"/>
        <family val="2"/>
      </rPr>
      <t xml:space="preserve">최근 사고 또는 연습에서 복구목표를 달성했다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</si>
  <si>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DQ</t>
  </si>
  <si>
    <t xml:space="preserve">CR3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</si>
  <si>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투자의 가치를 경영진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이해관계자에게 설명할 수 있다</t>
    </r>
    <r>
      <rPr>
        <sz val="10"/>
        <color rgb="FF000000"/>
        <rFont val="맑은 고딕"/>
        <family val="0"/>
        <charset val="1"/>
      </rPr>
      <t xml:space="preserve">. (Arias p.13 CRM </t>
    </r>
    <r>
      <rPr>
        <sz val="10"/>
        <color rgb="FF000000"/>
        <rFont val="WenQuanYi Zen Hei"/>
        <family val="2"/>
      </rPr>
      <t xml:space="preserve">논의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</si>
  <si>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DR</t>
  </si>
  <si>
    <t xml:space="preserve">CR4</t>
  </si>
  <si>
    <r>
      <rPr>
        <sz val="10"/>
        <color rgb="FF000000"/>
        <rFont val="WenQuanYi Zen Hei"/>
        <family val="2"/>
      </rPr>
      <t xml:space="preserve">준거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역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</si>
  <si>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감사나 경영진 검토에서 같은 </t>
    </r>
    <r>
      <rPr>
        <sz val="10"/>
        <color rgb="FF000000"/>
        <rFont val="맑은 고딕"/>
        <family val="0"/>
        <charset val="1"/>
      </rPr>
      <t xml:space="preserve">BCMS </t>
    </r>
    <r>
      <rPr>
        <sz val="10"/>
        <color rgb="FF000000"/>
        <rFont val="WenQuanYi Zen Hei"/>
        <family val="2"/>
      </rPr>
      <t xml:space="preserve">지적사항이 반복된다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</si>
  <si>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DS</t>
  </si>
  <si>
    <r>
      <rPr>
        <b val="true"/>
        <sz val="14"/>
        <color rgb="FF101828"/>
        <rFont val="맑은 고딕"/>
        <family val="0"/>
        <charset val="1"/>
      </rPr>
      <t xml:space="preserve">Part A </t>
    </r>
    <r>
      <rPr>
        <b val="true"/>
        <sz val="14"/>
        <color rgb="FF101828"/>
        <rFont val="WenQuanYi Zen Hei"/>
        <family val="2"/>
      </rPr>
      <t xml:space="preserve">응답자</t>
    </r>
    <r>
      <rPr>
        <b val="true"/>
        <sz val="14"/>
        <color rgb="FF101828"/>
        <rFont val="맑은 고딕"/>
        <family val="0"/>
        <charset val="1"/>
      </rPr>
      <t xml:space="preserve">·</t>
    </r>
    <r>
      <rPr>
        <b val="true"/>
        <sz val="14"/>
        <color rgb="FF101828"/>
        <rFont val="WenQuanYi Zen Hei"/>
        <family val="2"/>
      </rPr>
      <t xml:space="preserve">조직 정보</t>
    </r>
    <r>
      <rPr>
        <b val="true"/>
        <sz val="14"/>
        <color rgb="FF101828"/>
        <rFont val="맑은 고딕"/>
        <family val="0"/>
        <charset val="1"/>
      </rPr>
      <t xml:space="preserve">(10) / Part B </t>
    </r>
    <r>
      <rPr>
        <b val="true"/>
        <sz val="14"/>
        <color rgb="FF101828"/>
        <rFont val="WenQuanYi Zen Hei"/>
        <family val="2"/>
      </rPr>
      <t xml:space="preserve">프로세스 보유 확인</t>
    </r>
    <r>
      <rPr>
        <b val="true"/>
        <sz val="14"/>
        <color rgb="FF101828"/>
        <rFont val="맑은 고딕"/>
        <family val="0"/>
        <charset val="1"/>
      </rPr>
      <t xml:space="preserve">(22)</t>
    </r>
  </si>
  <si>
    <r>
      <rPr>
        <i val="true"/>
        <sz val="10"/>
        <color rgb="FF475467"/>
        <rFont val="맑은 고딕"/>
        <family val="0"/>
        <charset val="1"/>
      </rPr>
      <t xml:space="preserve">Part B: 1 </t>
    </r>
    <r>
      <rPr>
        <i val="true"/>
        <sz val="10"/>
        <color rgb="FF475467"/>
        <rFont val="WenQuanYi Zen Hei"/>
        <family val="2"/>
      </rPr>
      <t xml:space="preserve">운영한다 </t>
    </r>
    <r>
      <rPr>
        <i val="true"/>
        <sz val="10"/>
        <color rgb="FF475467"/>
        <rFont val="맑은 고딕"/>
        <family val="0"/>
        <charset val="1"/>
      </rPr>
      <t xml:space="preserve">· 2 </t>
    </r>
    <r>
      <rPr>
        <i val="true"/>
        <sz val="10"/>
        <color rgb="FF475467"/>
        <rFont val="WenQuanYi Zen Hei"/>
        <family val="2"/>
      </rPr>
      <t xml:space="preserve">부분적으로 운영한다 </t>
    </r>
    <r>
      <rPr>
        <i val="true"/>
        <sz val="10"/>
        <color rgb="FF475467"/>
        <rFont val="맑은 고딕"/>
        <family val="0"/>
        <charset val="1"/>
      </rPr>
      <t xml:space="preserve">· 3 </t>
    </r>
    <r>
      <rPr>
        <i val="true"/>
        <sz val="10"/>
        <color rgb="FF475467"/>
        <rFont val="WenQuanYi Zen Hei"/>
        <family val="2"/>
      </rPr>
      <t xml:space="preserve">운영하지 않는다 </t>
    </r>
    <r>
      <rPr>
        <i val="true"/>
        <sz val="10"/>
        <color rgb="FF475467"/>
        <rFont val="맑은 고딕"/>
        <family val="0"/>
        <charset val="1"/>
      </rPr>
      <t xml:space="preserve">· 4 </t>
    </r>
    <r>
      <rPr>
        <i val="true"/>
        <sz val="10"/>
        <color rgb="FF475467"/>
        <rFont val="WenQuanYi Zen Hei"/>
        <family val="2"/>
      </rPr>
      <t xml:space="preserve">모르겠다</t>
    </r>
    <r>
      <rPr>
        <i val="true"/>
        <sz val="10"/>
        <color rgb="FF475467"/>
        <rFont val="맑은 고딕"/>
        <family val="0"/>
        <charset val="1"/>
      </rPr>
      <t xml:space="preserve">. </t>
    </r>
    <r>
      <rPr>
        <i val="true"/>
        <sz val="10"/>
        <color rgb="FF475467"/>
        <rFont val="WenQuanYi Zen Hei"/>
        <family val="2"/>
      </rPr>
      <t xml:space="preserve">연결 문항은 양쪽 프로세스가 </t>
    </r>
    <r>
      <rPr>
        <i val="true"/>
        <sz val="10"/>
        <color rgb="FF475467"/>
        <rFont val="맑은 고딕"/>
        <family val="0"/>
        <charset val="1"/>
      </rPr>
      <t xml:space="preserve">1·2</t>
    </r>
    <r>
      <rPr>
        <i val="true"/>
        <sz val="10"/>
        <color rgb="FF475467"/>
        <rFont val="WenQuanYi Zen Hei"/>
        <family val="2"/>
      </rPr>
      <t xml:space="preserve">일 때만 응답하도록 안내</t>
    </r>
    <r>
      <rPr>
        <i val="true"/>
        <sz val="10"/>
        <color rgb="FF475467"/>
        <rFont val="맑은 고딕"/>
        <family val="0"/>
        <charset val="1"/>
      </rPr>
      <t xml:space="preserve">.</t>
    </r>
  </si>
  <si>
    <t xml:space="preserve">항목</t>
  </si>
  <si>
    <t xml:space="preserve">응답 방식</t>
  </si>
  <si>
    <t xml:space="preserve">A01</t>
  </si>
  <si>
    <t xml:space="preserve">Part A</t>
  </si>
  <si>
    <t xml:space="preserve">업종</t>
  </si>
  <si>
    <t xml:space="preserve">자유 기재</t>
  </si>
  <si>
    <t xml:space="preserve">A02</t>
  </si>
  <si>
    <r>
      <rPr>
        <sz val="10"/>
        <color rgb="FF000000"/>
        <rFont val="WenQuanYi Zen Hei"/>
        <family val="2"/>
      </rPr>
      <t xml:space="preserve">조직 규모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임직원 수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</si>
  <si>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1~49 / 50~299 / 300~999 / 1000 </t>
    </r>
    <r>
      <rPr>
        <sz val="10"/>
        <color rgb="FF000000"/>
        <rFont val="WenQuanYi Zen Hei"/>
        <family val="2"/>
      </rPr>
      <t xml:space="preserve">이상</t>
    </r>
  </si>
  <si>
    <t xml:space="preserve">C</t>
  </si>
  <si>
    <t xml:space="preserve">A03</t>
  </si>
  <si>
    <r>
      <rPr>
        <sz val="10"/>
        <color rgb="FF000000"/>
        <rFont val="맑은 고딕"/>
        <family val="0"/>
        <charset val="1"/>
      </rPr>
      <t xml:space="preserve">BCMS </t>
    </r>
    <r>
      <rPr>
        <sz val="10"/>
        <color rgb="FF000000"/>
        <rFont val="WenQuanYi Zen Hei"/>
        <family val="2"/>
      </rPr>
      <t xml:space="preserve">운영 기간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</si>
  <si>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년 미만 </t>
    </r>
    <r>
      <rPr>
        <sz val="10"/>
        <color rgb="FF000000"/>
        <rFont val="맑은 고딕"/>
        <family val="0"/>
        <charset val="1"/>
      </rPr>
      <t xml:space="preserve">/ 1~3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/ 3~5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/ 5</t>
    </r>
    <r>
      <rPr>
        <sz val="10"/>
        <color rgb="FF000000"/>
        <rFont val="WenQuanYi Zen Hei"/>
        <family val="2"/>
      </rPr>
      <t xml:space="preserve">년 이상</t>
    </r>
  </si>
  <si>
    <t xml:space="preserve">D</t>
  </si>
  <si>
    <t xml:space="preserve">A04</t>
  </si>
  <si>
    <r>
      <rPr>
        <sz val="10"/>
        <color rgb="FF000000"/>
        <rFont val="맑은 고딕"/>
        <family val="0"/>
        <charset val="1"/>
      </rPr>
      <t xml:space="preserve">ISO 22301 </t>
    </r>
    <r>
      <rPr>
        <sz val="10"/>
        <color rgb="FF000000"/>
        <rFont val="WenQuanYi Zen Hei"/>
        <family val="2"/>
      </rPr>
      <t xml:space="preserve">인증 여부</t>
    </r>
  </si>
  <si>
    <r>
      <rPr>
        <sz val="10"/>
        <color rgb="FF000000"/>
        <rFont val="WenQuanYi Zen Hei"/>
        <family val="2"/>
      </rPr>
      <t xml:space="preserve">보유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준비 중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없음</t>
    </r>
  </si>
  <si>
    <t xml:space="preserve">E</t>
  </si>
  <si>
    <t xml:space="preserve">A05</t>
  </si>
  <si>
    <t xml:space="preserve">응답자 역할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</si>
  <si>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관리자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프로세스 담당자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경영진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감사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기타</t>
    </r>
  </si>
  <si>
    <t xml:space="preserve">F</t>
  </si>
  <si>
    <t xml:space="preserve">A06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</si>
  <si>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관련 업무 경력</t>
    </r>
  </si>
  <si>
    <t xml:space="preserve">연수</t>
  </si>
  <si>
    <t xml:space="preserve">G</t>
  </si>
  <si>
    <t xml:space="preserve">A07</t>
  </si>
  <si>
    <r>
      <rPr>
        <sz val="10"/>
        <color rgb="FF000000"/>
        <rFont val="WenQuanYi Zen Hei"/>
        <family val="2"/>
      </rPr>
      <t xml:space="preserve">최근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개월 실제 중단 사고 경험</t>
    </r>
  </si>
  <si>
    <r>
      <rPr>
        <sz val="10"/>
        <color rgb="FF000000"/>
        <rFont val="WenQuanYi Zen Hei"/>
        <family val="2"/>
      </rPr>
      <t xml:space="preserve">없음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있음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횟수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</si>
  <si>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H</t>
  </si>
  <si>
    <t xml:space="preserve">A08</t>
  </si>
  <si>
    <r>
      <rPr>
        <sz val="10"/>
        <color rgb="FF000000"/>
        <rFont val="WenQuanYi Zen Hei"/>
        <family val="2"/>
      </rPr>
      <t xml:space="preserve">최근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개월 연습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훈련 횟수</t>
    </r>
  </si>
  <si>
    <t xml:space="preserve">횟수</t>
  </si>
  <si>
    <t xml:space="preserve">I</t>
  </si>
  <si>
    <t xml:space="preserve">A09</t>
  </si>
  <si>
    <r>
      <rPr>
        <sz val="10"/>
        <color rgb="FF000000"/>
        <rFont val="맑은 고딕"/>
        <family val="0"/>
        <charset val="1"/>
      </rPr>
      <t xml:space="preserve">ISMS </t>
    </r>
    <r>
      <rPr>
        <sz val="10"/>
        <color rgb="FF000000"/>
        <rFont val="WenQuanYi Zen Hei"/>
        <family val="2"/>
      </rPr>
      <t xml:space="preserve">등 타 경영시스템과 통합 운영 여부</t>
    </r>
  </si>
  <si>
    <r>
      <rPr>
        <sz val="10"/>
        <color rgb="FF000000"/>
        <rFont val="WenQuanYi Zen Hei"/>
        <family val="2"/>
      </rPr>
      <t xml:space="preserve">통합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부분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별도</t>
    </r>
  </si>
  <si>
    <t xml:space="preserve">J</t>
  </si>
  <si>
    <t xml:space="preserve">A10</t>
  </si>
  <si>
    <r>
      <rPr>
        <sz val="10"/>
        <color rgb="FF000000"/>
        <rFont val="맑은 고딕"/>
        <family val="0"/>
        <charset val="1"/>
      </rPr>
      <t xml:space="preserve">BC </t>
    </r>
    <r>
      <rPr>
        <sz val="10"/>
        <color rgb="FF000000"/>
        <rFont val="WenQuanYi Zen Hei"/>
        <family val="2"/>
      </rPr>
      <t xml:space="preserve">프로세스 문서화 정도</t>
    </r>
  </si>
  <si>
    <r>
      <rPr>
        <sz val="10"/>
        <color rgb="FF000000"/>
        <rFont val="WenQuanYi Zen Hei"/>
        <family val="2"/>
      </rPr>
      <t xml:space="preserve">전부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일부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거의 없음</t>
    </r>
  </si>
  <si>
    <t xml:space="preserve">K</t>
  </si>
  <si>
    <t xml:space="preserve">B01</t>
  </si>
  <si>
    <t xml:space="preserve">Part B</t>
  </si>
  <si>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운영 </t>
    </r>
    <r>
      <rPr>
        <sz val="10"/>
        <color rgb="FF000000"/>
        <rFont val="맑은 고딕"/>
        <family val="0"/>
        <charset val="1"/>
      </rPr>
      <t xml:space="preserve">/ 2 </t>
    </r>
    <r>
      <rPr>
        <sz val="10"/>
        <color rgb="FF000000"/>
        <rFont val="WenQuanYi Zen Hei"/>
        <family val="2"/>
      </rPr>
      <t xml:space="preserve">부분 </t>
    </r>
    <r>
      <rPr>
        <sz val="10"/>
        <color rgb="FF000000"/>
        <rFont val="맑은 고딕"/>
        <family val="0"/>
        <charset val="1"/>
      </rPr>
      <t xml:space="preserve">/ 3 </t>
    </r>
    <r>
      <rPr>
        <sz val="10"/>
        <color rgb="FF000000"/>
        <rFont val="WenQuanYi Zen Hei"/>
        <family val="2"/>
      </rPr>
      <t xml:space="preserve">미운영 </t>
    </r>
    <r>
      <rPr>
        <sz val="10"/>
        <color rgb="FF000000"/>
        <rFont val="맑은 고딕"/>
        <family val="0"/>
        <charset val="1"/>
      </rPr>
      <t xml:space="preserve">/ 4 </t>
    </r>
    <r>
      <rPr>
        <sz val="10"/>
        <color rgb="FF000000"/>
        <rFont val="WenQuanYi Zen Hei"/>
        <family val="2"/>
      </rPr>
      <t xml:space="preserve">모름</t>
    </r>
  </si>
  <si>
    <t xml:space="preserve">L</t>
  </si>
  <si>
    <t xml:space="preserve">B02</t>
  </si>
  <si>
    <t xml:space="preserve">M</t>
  </si>
  <si>
    <t xml:space="preserve">B03</t>
  </si>
  <si>
    <t xml:space="preserve">N</t>
  </si>
  <si>
    <t xml:space="preserve">B04</t>
  </si>
  <si>
    <t xml:space="preserve">O</t>
  </si>
  <si>
    <t xml:space="preserve">B05</t>
  </si>
  <si>
    <t xml:space="preserve">P</t>
  </si>
  <si>
    <t xml:space="preserve">B06</t>
  </si>
  <si>
    <t xml:space="preserve">Q</t>
  </si>
  <si>
    <t xml:space="preserve">B07</t>
  </si>
  <si>
    <t xml:space="preserve">R</t>
  </si>
  <si>
    <t xml:space="preserve">B08</t>
  </si>
  <si>
    <t xml:space="preserve">S</t>
  </si>
  <si>
    <t xml:space="preserve">B09</t>
  </si>
  <si>
    <t xml:space="preserve">T</t>
  </si>
  <si>
    <t xml:space="preserve">B10</t>
  </si>
  <si>
    <t xml:space="preserve">U</t>
  </si>
  <si>
    <t xml:space="preserve">B11</t>
  </si>
  <si>
    <t xml:space="preserve">V</t>
  </si>
  <si>
    <t xml:space="preserve">B12</t>
  </si>
  <si>
    <t xml:space="preserve">W</t>
  </si>
  <si>
    <t xml:space="preserve">B13</t>
  </si>
  <si>
    <t xml:space="preserve">X</t>
  </si>
  <si>
    <t xml:space="preserve">B14</t>
  </si>
  <si>
    <t xml:space="preserve">Y</t>
  </si>
  <si>
    <t xml:space="preserve">B15</t>
  </si>
  <si>
    <t xml:space="preserve">Z</t>
  </si>
  <si>
    <t xml:space="preserve">B16</t>
  </si>
  <si>
    <t xml:space="preserve">AA</t>
  </si>
  <si>
    <t xml:space="preserve">B17</t>
  </si>
  <si>
    <t xml:space="preserve">AB</t>
  </si>
  <si>
    <t xml:space="preserve">B18</t>
  </si>
  <si>
    <t xml:space="preserve">AC</t>
  </si>
  <si>
    <t xml:space="preserve">B19</t>
  </si>
  <si>
    <t xml:space="preserve">AD</t>
  </si>
  <si>
    <t xml:space="preserve">B20</t>
  </si>
  <si>
    <t xml:space="preserve">AE</t>
  </si>
  <si>
    <t xml:space="preserve">B21</t>
  </si>
  <si>
    <t xml:space="preserve">AF</t>
  </si>
  <si>
    <t xml:space="preserve">B22</t>
  </si>
  <si>
    <t xml:space="preserve">AG</t>
  </si>
  <si>
    <r>
      <rPr>
        <b val="true"/>
        <sz val="14"/>
        <color rgb="FF101828"/>
        <rFont val="WenQuanYi Zen Hei"/>
        <family val="2"/>
      </rPr>
      <t xml:space="preserve">응답 입력 </t>
    </r>
    <r>
      <rPr>
        <b val="true"/>
        <sz val="14"/>
        <color rgb="FF101828"/>
        <rFont val="맑은 고딕"/>
        <family val="0"/>
        <charset val="1"/>
      </rPr>
      <t xml:space="preserve">(7</t>
    </r>
    <r>
      <rPr>
        <b val="true"/>
        <sz val="14"/>
        <color rgb="FF101828"/>
        <rFont val="WenQuanYi Zen Hei"/>
        <family val="2"/>
      </rPr>
      <t xml:space="preserve">행부터 최대 </t>
    </r>
    <r>
      <rPr>
        <b val="true"/>
        <sz val="14"/>
        <color rgb="FF101828"/>
        <rFont val="맑은 고딕"/>
        <family val="0"/>
        <charset val="1"/>
      </rPr>
      <t xml:space="preserve">50</t>
    </r>
    <r>
      <rPr>
        <b val="true"/>
        <sz val="14"/>
        <color rgb="FF101828"/>
        <rFont val="WenQuanYi Zen Hei"/>
        <family val="2"/>
      </rPr>
      <t xml:space="preserve">명</t>
    </r>
    <r>
      <rPr>
        <b val="true"/>
        <sz val="14"/>
        <color rgb="FF101828"/>
        <rFont val="맑은 고딕"/>
        <family val="0"/>
        <charset val="1"/>
      </rPr>
      <t xml:space="preserve">)</t>
    </r>
  </si>
  <si>
    <r>
      <rPr>
        <i val="true"/>
        <sz val="10"/>
        <color rgb="FF475467"/>
        <rFont val="맑은 고딕"/>
        <family val="0"/>
        <charset val="1"/>
      </rPr>
      <t xml:space="preserve">6</t>
    </r>
    <r>
      <rPr>
        <i val="true"/>
        <sz val="10"/>
        <color rgb="FF475467"/>
        <rFont val="WenQuanYi Zen Hei"/>
        <family val="2"/>
      </rPr>
      <t xml:space="preserve">행은 예시</t>
    </r>
    <r>
      <rPr>
        <i val="true"/>
        <sz val="10"/>
        <color rgb="FF475467"/>
        <rFont val="맑은 고딕"/>
        <family val="0"/>
        <charset val="1"/>
      </rPr>
      <t xml:space="preserve">(</t>
    </r>
    <r>
      <rPr>
        <i val="true"/>
        <sz val="10"/>
        <color rgb="FF475467"/>
        <rFont val="WenQuanYi Zen Hei"/>
        <family val="2"/>
      </rPr>
      <t xml:space="preserve">집계 제외</t>
    </r>
    <r>
      <rPr>
        <i val="true"/>
        <sz val="10"/>
        <color rgb="FF475467"/>
        <rFont val="맑은 고딕"/>
        <family val="0"/>
        <charset val="1"/>
      </rPr>
      <t xml:space="preserve">). </t>
    </r>
    <r>
      <rPr>
        <i val="true"/>
        <sz val="10"/>
        <color rgb="FF475467"/>
        <rFont val="WenQuanYi Zen Hei"/>
        <family val="2"/>
      </rPr>
      <t xml:space="preserve">연결 문항</t>
    </r>
    <r>
      <rPr>
        <i val="true"/>
        <sz val="10"/>
        <color rgb="FF475467"/>
        <rFont val="맑은 고딕"/>
        <family val="0"/>
        <charset val="1"/>
      </rPr>
      <t xml:space="preserve">: 1~5 </t>
    </r>
    <r>
      <rPr>
        <i val="true"/>
        <sz val="10"/>
        <color rgb="FF475467"/>
        <rFont val="WenQuanYi Zen Hei"/>
        <family val="2"/>
      </rPr>
      <t xml:space="preserve">또는 </t>
    </r>
    <r>
      <rPr>
        <i val="true"/>
        <sz val="10"/>
        <color rgb="FF475467"/>
        <rFont val="맑은 고딕"/>
        <family val="0"/>
        <charset val="1"/>
      </rPr>
      <t xml:space="preserve">9. </t>
    </r>
    <r>
      <rPr>
        <i val="true"/>
        <sz val="10"/>
        <color rgb="FF475467"/>
        <rFont val="WenQuanYi Zen Hei"/>
        <family val="2"/>
      </rPr>
      <t xml:space="preserve">보유 확인</t>
    </r>
    <r>
      <rPr>
        <i val="true"/>
        <sz val="10"/>
        <color rgb="FF475467"/>
        <rFont val="맑은 고딕"/>
        <family val="0"/>
        <charset val="1"/>
      </rPr>
      <t xml:space="preserve">: 1~4.</t>
    </r>
  </si>
  <si>
    <t xml:space="preserve">응답자</t>
  </si>
  <si>
    <r>
      <rPr>
        <b val="true"/>
        <sz val="10"/>
        <color rgb="FF000000"/>
        <rFont val="맑은 고딕"/>
        <family val="0"/>
        <charset val="1"/>
      </rPr>
      <t xml:space="preserve">Part C </t>
    </r>
    <r>
      <rPr>
        <b val="true"/>
        <sz val="10"/>
        <color rgb="FF000000"/>
        <rFont val="WenQuanYi Zen Hei"/>
        <family val="2"/>
      </rPr>
      <t xml:space="preserve">연결 문항</t>
    </r>
  </si>
  <si>
    <r>
      <rPr>
        <b val="true"/>
        <sz val="10"/>
        <color rgb="FF000000"/>
        <rFont val="맑은 고딕"/>
        <family val="0"/>
        <charset val="1"/>
      </rPr>
      <t xml:space="preserve">Part D </t>
    </r>
    <r>
      <rPr>
        <b val="true"/>
        <sz val="10"/>
        <color rgb="FF000000"/>
        <rFont val="WenQuanYi Zen Hei"/>
        <family val="2"/>
      </rPr>
      <t xml:space="preserve">종합</t>
    </r>
  </si>
  <si>
    <r>
      <rPr>
        <b val="true"/>
        <sz val="10"/>
        <color rgb="FF000000"/>
        <rFont val="맑은 고딕"/>
        <family val="0"/>
        <charset val="1"/>
      </rPr>
      <t xml:space="preserve">Part E </t>
    </r>
    <r>
      <rPr>
        <b val="true"/>
        <sz val="10"/>
        <color rgb="FF000000"/>
        <rFont val="WenQuanYi Zen Hei"/>
        <family val="2"/>
      </rPr>
      <t xml:space="preserve">검증</t>
    </r>
  </si>
  <si>
    <r>
      <rPr>
        <b val="true"/>
        <sz val="10"/>
        <color rgb="FFFFFFFF"/>
        <rFont val="WenQuanYi Zen Hei"/>
        <family val="2"/>
      </rPr>
      <t xml:space="preserve">응답자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</si>
  <si>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r>
      <rPr>
        <i val="true"/>
        <sz val="10"/>
        <color rgb="FF7F7F7F"/>
        <rFont val="맑은 고딕"/>
        <family val="0"/>
        <charset val="1"/>
      </rPr>
      <t xml:space="preserve">EX-</t>
    </r>
    <r>
      <rPr>
        <i val="true"/>
        <sz val="10"/>
        <color rgb="FF7F7F7F"/>
        <rFont val="WenQuanYi Zen Hei"/>
        <family val="2"/>
      </rPr>
      <t xml:space="preserve">예시</t>
    </r>
  </si>
  <si>
    <t xml:space="preserve">제조업</t>
  </si>
  <si>
    <t xml:space="preserve">300~999</t>
  </si>
  <si>
    <r>
      <rPr>
        <i val="true"/>
        <sz val="10"/>
        <color rgb="FF7F7F7F"/>
        <rFont val="맑은 고딕"/>
        <family val="0"/>
        <charset val="1"/>
      </rPr>
      <t xml:space="preserve">3~5</t>
    </r>
    <r>
      <rPr>
        <i val="true"/>
        <sz val="10"/>
        <color rgb="FF7F7F7F"/>
        <rFont val="WenQuanYi Zen Hei"/>
        <family val="2"/>
      </rPr>
      <t xml:space="preserve">년</t>
    </r>
  </si>
  <si>
    <t xml:space="preserve">보유</t>
  </si>
  <si>
    <r>
      <rPr>
        <i val="true"/>
        <sz val="10"/>
        <color rgb="FF7F7F7F"/>
        <rFont val="맑은 고딕"/>
        <family val="0"/>
        <charset val="1"/>
      </rPr>
      <t xml:space="preserve">BC </t>
    </r>
    <r>
      <rPr>
        <i val="true"/>
        <sz val="10"/>
        <color rgb="FF7F7F7F"/>
        <rFont val="WenQuanYi Zen Hei"/>
        <family val="2"/>
      </rPr>
      <t xml:space="preserve">관리자</t>
    </r>
  </si>
  <si>
    <t xml:space="preserve">8</t>
  </si>
  <si>
    <t xml:space="preserve">1</t>
  </si>
  <si>
    <t xml:space="preserve">2</t>
  </si>
  <si>
    <t xml:space="preserve">부분</t>
  </si>
  <si>
    <t xml:space="preserve">일부</t>
  </si>
  <si>
    <r>
      <rPr>
        <b val="true"/>
        <sz val="14"/>
        <color rgb="FF101828"/>
        <rFont val="WenQuanYi Zen Hei"/>
        <family val="2"/>
      </rPr>
      <t xml:space="preserve">응답자별 연결 점수 </t>
    </r>
    <r>
      <rPr>
        <b val="true"/>
        <sz val="14"/>
        <color rgb="FF101828"/>
        <rFont val="맑은 고딕"/>
        <family val="0"/>
        <charset val="1"/>
      </rPr>
      <t xml:space="preserve">(= </t>
    </r>
    <r>
      <rPr>
        <b val="true"/>
        <sz val="14"/>
        <color rgb="FF101828"/>
        <rFont val="WenQuanYi Zen Hei"/>
        <family val="2"/>
      </rPr>
      <t xml:space="preserve">반영</t>
    </r>
    <r>
      <rPr>
        <b val="true"/>
        <sz val="14"/>
        <color rgb="FF101828"/>
        <rFont val="맑은 고딕"/>
        <family val="0"/>
        <charset val="1"/>
      </rPr>
      <t xml:space="preserve">·</t>
    </r>
    <r>
      <rPr>
        <b val="true"/>
        <sz val="14"/>
        <color rgb="FF101828"/>
        <rFont val="WenQuanYi Zen Hei"/>
        <family val="2"/>
      </rPr>
      <t xml:space="preserve">확인</t>
    </r>
    <r>
      <rPr>
        <b val="true"/>
        <sz val="14"/>
        <color rgb="FF101828"/>
        <rFont val="맑은 고딕"/>
        <family val="0"/>
        <charset val="1"/>
      </rPr>
      <t xml:space="preserve">·</t>
    </r>
    <r>
      <rPr>
        <b val="true"/>
        <sz val="14"/>
        <color rgb="FF101828"/>
        <rFont val="WenQuanYi Zen Hei"/>
        <family val="2"/>
      </rPr>
      <t xml:space="preserve">갱신 </t>
    </r>
    <r>
      <rPr>
        <b val="true"/>
        <sz val="14"/>
        <color rgb="FF101828"/>
        <rFont val="맑은 고딕"/>
        <family val="0"/>
        <charset val="1"/>
      </rPr>
      <t xml:space="preserve">3</t>
    </r>
    <r>
      <rPr>
        <b val="true"/>
        <sz val="14"/>
        <color rgb="FF101828"/>
        <rFont val="WenQuanYi Zen Hei"/>
        <family val="2"/>
      </rPr>
      <t xml:space="preserve">문항 평균</t>
    </r>
    <r>
      <rPr>
        <b val="true"/>
        <sz val="14"/>
        <color rgb="FF101828"/>
        <rFont val="맑은 고딕"/>
        <family val="0"/>
        <charset val="1"/>
      </rPr>
      <t xml:space="preserve">, 9 </t>
    </r>
    <r>
      <rPr>
        <b val="true"/>
        <sz val="14"/>
        <color rgb="FF101828"/>
        <rFont val="WenQuanYi Zen Hei"/>
        <family val="2"/>
      </rPr>
      <t xml:space="preserve">제외</t>
    </r>
    <r>
      <rPr>
        <b val="true"/>
        <sz val="14"/>
        <color rgb="FF101828"/>
        <rFont val="맑은 고딕"/>
        <family val="0"/>
        <charset val="1"/>
      </rPr>
      <t xml:space="preserve">, </t>
    </r>
    <r>
      <rPr>
        <b val="true"/>
        <sz val="14"/>
        <color rgb="FF101828"/>
        <rFont val="WenQuanYi Zen Hei"/>
        <family val="2"/>
      </rPr>
      <t xml:space="preserve">최소 </t>
    </r>
    <r>
      <rPr>
        <b val="true"/>
        <sz val="14"/>
        <color rgb="FF101828"/>
        <rFont val="맑은 고딕"/>
        <family val="0"/>
        <charset val="1"/>
      </rPr>
      <t xml:space="preserve">2</t>
    </r>
    <r>
      <rPr>
        <b val="true"/>
        <sz val="14"/>
        <color rgb="FF101828"/>
        <rFont val="WenQuanYi Zen Hei"/>
        <family val="2"/>
      </rPr>
      <t xml:space="preserve">문항 응답 시 산출</t>
    </r>
    <r>
      <rPr>
        <b val="true"/>
        <sz val="14"/>
        <color rgb="FF101828"/>
        <rFont val="맑은 고딕"/>
        <family val="0"/>
        <charset val="1"/>
      </rPr>
      <t xml:space="preserve">)</t>
    </r>
  </si>
  <si>
    <t xml:space="preserve">종합 연결 지수</t>
  </si>
  <si>
    <r>
      <rPr>
        <b val="true"/>
        <sz val="14"/>
        <color rgb="FF101828"/>
        <rFont val="WenQuanYi Zen Hei"/>
        <family val="2"/>
      </rPr>
      <t xml:space="preserve">점수 요약 — 연결</t>
    </r>
    <r>
      <rPr>
        <b val="true"/>
        <sz val="14"/>
        <color rgb="FF101828"/>
        <rFont val="맑은 고딕"/>
        <family val="0"/>
        <charset val="1"/>
      </rPr>
      <t xml:space="preserve">·</t>
    </r>
    <r>
      <rPr>
        <b val="true"/>
        <sz val="14"/>
        <color rgb="FF101828"/>
        <rFont val="WenQuanYi Zen Hei"/>
        <family val="2"/>
      </rPr>
      <t xml:space="preserve">영역</t>
    </r>
    <r>
      <rPr>
        <b val="true"/>
        <sz val="14"/>
        <color rgb="FF101828"/>
        <rFont val="맑은 고딕"/>
        <family val="0"/>
        <charset val="1"/>
      </rPr>
      <t xml:space="preserve">·</t>
    </r>
    <r>
      <rPr>
        <b val="true"/>
        <sz val="14"/>
        <color rgb="FF101828"/>
        <rFont val="WenQuanYi Zen Hei"/>
        <family val="2"/>
      </rPr>
      <t xml:space="preserve">상태별 평균 </t>
    </r>
    <r>
      <rPr>
        <b val="true"/>
        <sz val="14"/>
        <color rgb="FF101828"/>
        <rFont val="맑은 고딕"/>
        <family val="0"/>
        <charset val="1"/>
      </rPr>
      <t xml:space="preserve">(</t>
    </r>
    <r>
      <rPr>
        <b val="true"/>
        <sz val="14"/>
        <color rgb="FF101828"/>
        <rFont val="WenQuanYi Zen Hei"/>
        <family val="2"/>
      </rPr>
      <t xml:space="preserve">응답입력 </t>
    </r>
    <r>
      <rPr>
        <b val="true"/>
        <sz val="14"/>
        <color rgb="FF101828"/>
        <rFont val="맑은 고딕"/>
        <family val="0"/>
        <charset val="1"/>
      </rPr>
      <t xml:space="preserve">7~56</t>
    </r>
    <r>
      <rPr>
        <b val="true"/>
        <sz val="14"/>
        <color rgb="FF101828"/>
        <rFont val="WenQuanYi Zen Hei"/>
        <family val="2"/>
      </rPr>
      <t xml:space="preserve">행</t>
    </r>
    <r>
      <rPr>
        <b val="true"/>
        <sz val="14"/>
        <color rgb="FF101828"/>
        <rFont val="맑은 고딕"/>
        <family val="0"/>
        <charset val="1"/>
      </rPr>
      <t xml:space="preserve">, 9 </t>
    </r>
    <r>
      <rPr>
        <b val="true"/>
        <sz val="14"/>
        <color rgb="FF101828"/>
        <rFont val="WenQuanYi Zen Hei"/>
        <family val="2"/>
      </rPr>
      <t xml:space="preserve">제외</t>
    </r>
    <r>
      <rPr>
        <b val="true"/>
        <sz val="14"/>
        <color rgb="FF101828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</si>
  <si>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반영</t>
    </r>
    <r>
      <rPr>
        <b val="true"/>
        <sz val="10"/>
        <color rgb="FFFFFFFF"/>
        <rFont val="맑은 고딕"/>
        <family val="0"/>
        <charset val="1"/>
      </rPr>
      <t xml:space="preserve">(R) </t>
    </r>
    <r>
      <rPr>
        <b val="true"/>
        <sz val="10"/>
        <color rgb="FFFFFFFF"/>
        <rFont val="WenQuanYi Zen Hei"/>
        <family val="2"/>
      </rPr>
      <t xml:space="preserve">평균</t>
    </r>
  </si>
  <si>
    <r>
      <rPr>
        <b val="true"/>
        <sz val="10"/>
        <color rgb="FFFFFFFF"/>
        <rFont val="WenQuanYi Zen Hei"/>
        <family val="2"/>
      </rPr>
      <t xml:space="preserve">확인</t>
    </r>
    <r>
      <rPr>
        <b val="true"/>
        <sz val="10"/>
        <color rgb="FFFFFFFF"/>
        <rFont val="맑은 고딕"/>
        <family val="0"/>
        <charset val="1"/>
      </rPr>
      <t xml:space="preserve">(V) </t>
    </r>
    <r>
      <rPr>
        <b val="true"/>
        <sz val="10"/>
        <color rgb="FFFFFFFF"/>
        <rFont val="WenQuanYi Zen Hei"/>
        <family val="2"/>
      </rPr>
      <t xml:space="preserve">평균</t>
    </r>
  </si>
  <si>
    <r>
      <rPr>
        <b val="true"/>
        <sz val="10"/>
        <color rgb="FFFFFFFF"/>
        <rFont val="WenQuanYi Zen Hei"/>
        <family val="2"/>
      </rPr>
      <t xml:space="preserve">갱신</t>
    </r>
    <r>
      <rPr>
        <b val="true"/>
        <sz val="10"/>
        <color rgb="FFFFFFFF"/>
        <rFont val="맑은 고딕"/>
        <family val="0"/>
        <charset val="1"/>
      </rPr>
      <t xml:space="preserve">(U) </t>
    </r>
    <r>
      <rPr>
        <b val="true"/>
        <sz val="10"/>
        <color rgb="FFFFFFFF"/>
        <rFont val="WenQuanYi Zen Hei"/>
        <family val="2"/>
      </rPr>
      <t xml:space="preserve">평균</t>
    </r>
  </si>
  <si>
    <t xml:space="preserve">연결 점수</t>
  </si>
  <si>
    <t xml:space="preserve">응답 수</t>
  </si>
  <si>
    <r>
      <rPr>
        <b val="true"/>
        <sz val="10"/>
        <color rgb="FFFFFFFF"/>
        <rFont val="맑은 고딕"/>
        <family val="0"/>
        <charset val="1"/>
      </rPr>
      <t xml:space="preserve">R−U </t>
    </r>
    <r>
      <rPr>
        <b val="true"/>
        <sz val="10"/>
        <color rgb="FFFFFFFF"/>
        <rFont val="WenQuanYi Zen Hei"/>
        <family val="2"/>
      </rPr>
      <t xml:space="preserve">격차</t>
    </r>
  </si>
  <si>
    <t xml:space="preserve">해석</t>
  </si>
  <si>
    <t xml:space="preserve">영역별 평균</t>
  </si>
  <si>
    <t xml:space="preserve">상태별 평균</t>
  </si>
  <si>
    <r>
      <rPr>
        <sz val="10"/>
        <color rgb="FF000000"/>
        <rFont val="WenQuanYi Zen Hei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(R)</t>
    </r>
  </si>
  <si>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0"/>
        <charset val="1"/>
      </rPr>
      <t xml:space="preserve">(V)</t>
    </r>
  </si>
  <si>
    <r>
      <rPr>
        <sz val="10"/>
        <color rgb="FF000000"/>
        <rFont val="WenQuanYi Zen Hei"/>
        <family val="2"/>
      </rPr>
      <t xml:space="preserve">갱신</t>
    </r>
    <r>
      <rPr>
        <sz val="10"/>
        <color rgb="FF000000"/>
        <rFont val="맑은 고딕"/>
        <family val="0"/>
        <charset val="1"/>
      </rPr>
      <t xml:space="preserve">(U)</t>
    </r>
  </si>
  <si>
    <r>
      <rPr>
        <b val="true"/>
        <sz val="10"/>
        <color rgb="FF000000"/>
        <rFont val="WenQuanYi Zen Hei"/>
        <family val="2"/>
      </rPr>
      <t xml:space="preserve">종합 연계성 지수</t>
    </r>
    <r>
      <rPr>
        <b val="true"/>
        <sz val="10"/>
        <color rgb="FF000000"/>
        <rFont val="맑은 고딕"/>
        <family val="0"/>
        <charset val="1"/>
      </rPr>
      <t xml:space="preserve">(25</t>
    </r>
    <r>
      <rPr>
        <b val="true"/>
        <sz val="10"/>
        <color rgb="FF000000"/>
        <rFont val="WenQuanYi Zen Hei"/>
        <family val="2"/>
      </rPr>
      <t xml:space="preserve">연결 평균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</si>
  <si>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4"/>
        <color rgb="FF101828"/>
        <rFont val="WenQuanYi Zen Hei"/>
        <family val="2"/>
      </rPr>
      <t xml:space="preserve">검증 — 기준값 </t>
    </r>
    <r>
      <rPr>
        <b val="true"/>
        <sz val="14"/>
        <color rgb="FF101828"/>
        <rFont val="맑은 고딕"/>
        <family val="0"/>
        <charset val="1"/>
      </rPr>
      <t xml:space="preserve">· </t>
    </r>
    <r>
      <rPr>
        <b val="true"/>
        <sz val="14"/>
        <color rgb="FF101828"/>
        <rFont val="WenQuanYi Zen Hei"/>
        <family val="2"/>
      </rPr>
      <t xml:space="preserve">자동 점검 </t>
    </r>
    <r>
      <rPr>
        <b val="true"/>
        <sz val="14"/>
        <color rgb="FF101828"/>
        <rFont val="맑은 고딕"/>
        <family val="0"/>
        <charset val="1"/>
      </rPr>
      <t xml:space="preserve">· </t>
    </r>
    <r>
      <rPr>
        <b val="true"/>
        <sz val="14"/>
        <color rgb="FF101828"/>
        <rFont val="WenQuanYi Zen Hei"/>
        <family val="2"/>
      </rPr>
      <t xml:space="preserve">검증 계획</t>
    </r>
  </si>
  <si>
    <r>
      <rPr>
        <i val="true"/>
        <sz val="10"/>
        <color rgb="FF475467"/>
        <rFont val="WenQuanYi Zen Hei"/>
        <family val="2"/>
      </rPr>
      <t xml:space="preserve">기준값</t>
    </r>
    <r>
      <rPr>
        <i val="true"/>
        <sz val="10"/>
        <color rgb="FF475467"/>
        <rFont val="맑은 고딕"/>
        <family val="0"/>
        <charset val="1"/>
      </rPr>
      <t xml:space="preserve">(</t>
    </r>
    <r>
      <rPr>
        <i val="true"/>
        <sz val="10"/>
        <color rgb="FF475467"/>
        <rFont val="WenQuanYi Zen Hei"/>
        <family val="2"/>
      </rPr>
      <t xml:space="preserve">파란 글씨</t>
    </r>
    <r>
      <rPr>
        <i val="true"/>
        <sz val="10"/>
        <color rgb="FF475467"/>
        <rFont val="맑은 고딕"/>
        <family val="0"/>
        <charset val="1"/>
      </rPr>
      <t xml:space="preserve">)</t>
    </r>
    <r>
      <rPr>
        <i val="true"/>
        <sz val="10"/>
        <color rgb="FF475467"/>
        <rFont val="WenQuanYi Zen Hei"/>
        <family val="2"/>
      </rPr>
      <t xml:space="preserve">은 일반적 관례이며 연구 목적에 따라 조정</t>
    </r>
  </si>
  <si>
    <t xml:space="preserve">기준</t>
  </si>
  <si>
    <t xml:space="preserve">값</t>
  </si>
  <si>
    <t xml:space="preserve">설명</t>
  </si>
  <si>
    <r>
      <rPr>
        <sz val="10"/>
        <color rgb="FF000000"/>
        <rFont val="WenQuanYi Zen Hei"/>
        <family val="2"/>
      </rPr>
      <t xml:space="preserve">내용타당도 </t>
    </r>
    <r>
      <rPr>
        <sz val="10"/>
        <color rgb="FF000000"/>
        <rFont val="맑은 고딕"/>
        <family val="0"/>
        <charset val="1"/>
      </rPr>
      <t xml:space="preserve">I-CVI </t>
    </r>
    <r>
      <rPr>
        <sz val="10"/>
        <color rgb="FF000000"/>
        <rFont val="WenQuanYi Zen Hei"/>
        <family val="2"/>
      </rPr>
      <t xml:space="preserve">기준</t>
    </r>
  </si>
  <si>
    <r>
      <rPr>
        <sz val="10"/>
        <color rgb="FF000000"/>
        <rFont val="WenQuanYi Zen Hei"/>
        <family val="2"/>
      </rPr>
      <t xml:space="preserve">전문가 </t>
    </r>
    <r>
      <rPr>
        <sz val="10"/>
        <color rgb="FF000000"/>
        <rFont val="맑은 고딕"/>
        <family val="0"/>
        <charset val="1"/>
      </rPr>
      <t xml:space="preserve">6~10</t>
    </r>
    <r>
      <rPr>
        <sz val="10"/>
        <color rgb="FF000000"/>
        <rFont val="WenQuanYi Zen Hei"/>
        <family val="2"/>
      </rPr>
      <t xml:space="preserve">인 패널의 관례 기준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문항 시트 판정에 사용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</si>
  <si>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Arias </t>
    </r>
    <r>
      <rPr>
        <sz val="10"/>
        <color rgb="FF000000"/>
        <rFont val="WenQuanYi Zen Hei"/>
        <family val="2"/>
      </rPr>
      <t xml:space="preserve">합의 채택 기준</t>
    </r>
  </si>
  <si>
    <r>
      <rPr>
        <sz val="10"/>
        <color rgb="FF000000"/>
        <rFont val="WenQuanYi Zen Hei"/>
        <family val="2"/>
      </rPr>
      <t xml:space="preserve">맹검 재분류 일치율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지명률 ≥ 이 값이면 채택</t>
    </r>
    <r>
      <rPr>
        <sz val="10"/>
        <color rgb="FF000000"/>
        <rFont val="맑은 고딕"/>
        <family val="0"/>
        <charset val="1"/>
      </rPr>
      <t xml:space="preserve">(Arias Figure 5)</t>
    </r>
  </si>
  <si>
    <r>
      <rPr>
        <sz val="10"/>
        <color rgb="FF000000"/>
        <rFont val="맑은 고딕"/>
        <family val="0"/>
        <charset val="1"/>
      </rPr>
      <t xml:space="preserve">Arias </t>
    </r>
    <r>
      <rPr>
        <sz val="10"/>
        <color rgb="FF000000"/>
        <rFont val="WenQuanYi Zen Hei"/>
        <family val="2"/>
      </rPr>
      <t xml:space="preserve">합의 기각 기준</t>
    </r>
  </si>
  <si>
    <r>
      <rPr>
        <sz val="10"/>
        <color rgb="FF000000"/>
        <rFont val="맑은 고딕"/>
        <family val="0"/>
        <charset val="1"/>
      </rPr>
      <t xml:space="preserve">&lt; </t>
    </r>
    <r>
      <rPr>
        <sz val="10"/>
        <color rgb="FF000000"/>
        <rFont val="WenQuanYi Zen Hei"/>
        <family val="2"/>
      </rPr>
      <t xml:space="preserve">이 값이면 삭제</t>
    </r>
  </si>
  <si>
    <r>
      <rPr>
        <sz val="10"/>
        <color rgb="FF000000"/>
        <rFont val="맑은 고딕"/>
        <family val="0"/>
        <charset val="1"/>
      </rPr>
      <t xml:space="preserve">Cronbach α / ω </t>
    </r>
    <r>
      <rPr>
        <sz val="10"/>
        <color rgb="FF000000"/>
        <rFont val="WenQuanYi Zen Hei"/>
        <family val="2"/>
      </rPr>
      <t xml:space="preserve">기준</t>
    </r>
  </si>
  <si>
    <r>
      <rPr>
        <sz val="10"/>
        <color rgb="FF000000"/>
        <rFont val="WenQuanYi Zen Hei"/>
        <family val="2"/>
      </rPr>
      <t xml:space="preserve">연결별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문항 신뢰도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통계 프로그램에서 산출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</si>
  <si>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문항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총점 상관 기준</t>
    </r>
  </si>
  <si>
    <t xml:space="preserve">통계 프로그램에서 산출</t>
  </si>
  <si>
    <t xml:space="preserve">상태 간 상관 상한</t>
  </si>
  <si>
    <r>
      <rPr>
        <sz val="10"/>
        <color rgb="FF000000"/>
        <rFont val="WenQuanYi Zen Hei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갱신이 하나로 붕괴하지 않는지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통계 프로그램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</si>
  <si>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자동 점검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구조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</si>
  <si>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현재 값</t>
  </si>
  <si>
    <t xml:space="preserve">기대 값</t>
  </si>
  <si>
    <t xml:space="preserve">결과</t>
  </si>
  <si>
    <t xml:space="preserve">총 문항 수</t>
  </si>
  <si>
    <r>
      <rPr>
        <sz val="10"/>
        <color rgb="FF000000"/>
        <rFont val="WenQuanYi Zen Hei"/>
        <family val="2"/>
      </rPr>
      <t xml:space="preserve">연결 문항 수</t>
    </r>
    <r>
      <rPr>
        <sz val="10"/>
        <color rgb="FF000000"/>
        <rFont val="맑은 고딕"/>
        <family val="0"/>
        <charset val="1"/>
      </rPr>
      <t xml:space="preserve">(Part C)</t>
    </r>
  </si>
  <si>
    <r>
      <rPr>
        <sz val="10"/>
        <color rgb="FF000000"/>
        <rFont val="WenQuanYi Zen Hei"/>
        <family val="2"/>
      </rPr>
      <t xml:space="preserve">추적성 </t>
    </r>
    <r>
      <rPr>
        <sz val="10"/>
        <color rgb="FF000000"/>
        <rFont val="맑은 고딕"/>
        <family val="0"/>
        <charset val="1"/>
      </rPr>
      <t xml:space="preserve">OK </t>
    </r>
    <r>
      <rPr>
        <sz val="10"/>
        <color rgb="FF000000"/>
        <rFont val="WenQuanYi Zen Hei"/>
        <family val="2"/>
      </rPr>
      <t xml:space="preserve">문항 수</t>
    </r>
  </si>
  <si>
    <r>
      <rPr>
        <sz val="10"/>
        <color rgb="FF000000"/>
        <rFont val="WenQuanYi Zen Hei"/>
        <family val="2"/>
      </rPr>
      <t xml:space="preserve">문항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충족 연결 수</t>
    </r>
  </si>
  <si>
    <r>
      <rPr>
        <sz val="10"/>
        <color rgb="FF000000"/>
        <rFont val="WenQuanYi Zen Hei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(R) </t>
    </r>
    <r>
      <rPr>
        <sz val="10"/>
        <color rgb="FF000000"/>
        <rFont val="WenQuanYi Zen Hei"/>
        <family val="2"/>
      </rPr>
      <t xml:space="preserve">문항 수</t>
    </r>
  </si>
  <si>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0"/>
        <charset val="1"/>
      </rPr>
      <t xml:space="preserve">(V) </t>
    </r>
    <r>
      <rPr>
        <sz val="10"/>
        <color rgb="FF000000"/>
        <rFont val="WenQuanYi Zen Hei"/>
        <family val="2"/>
      </rPr>
      <t xml:space="preserve">문항 수</t>
    </r>
  </si>
  <si>
    <r>
      <rPr>
        <sz val="10"/>
        <color rgb="FF000000"/>
        <rFont val="WenQuanYi Zen Hei"/>
        <family val="2"/>
      </rPr>
      <t xml:space="preserve">갱신</t>
    </r>
    <r>
      <rPr>
        <sz val="10"/>
        <color rgb="FF000000"/>
        <rFont val="맑은 고딕"/>
        <family val="0"/>
        <charset val="1"/>
      </rPr>
      <t xml:space="preserve">(U) </t>
    </r>
    <r>
      <rPr>
        <sz val="10"/>
        <color rgb="FF000000"/>
        <rFont val="WenQuanYi Zen Hei"/>
        <family val="2"/>
      </rPr>
      <t xml:space="preserve">문항 수</t>
    </r>
  </si>
  <si>
    <r>
      <rPr>
        <sz val="10"/>
        <color rgb="FF000000"/>
        <rFont val="WenQuanYi Zen Hei"/>
        <family val="2"/>
      </rPr>
      <t xml:space="preserve">등급 </t>
    </r>
    <r>
      <rPr>
        <sz val="10"/>
        <color rgb="FF000000"/>
        <rFont val="맑은 고딕"/>
        <family val="0"/>
        <charset val="1"/>
      </rPr>
      <t xml:space="preserve">B(</t>
    </r>
    <r>
      <rPr>
        <sz val="10"/>
        <color rgb="FF000000"/>
        <rFont val="WenQuanYi Zen Hei"/>
        <family val="2"/>
      </rPr>
      <t xml:space="preserve">간접 추론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연결 수</t>
    </r>
  </si>
  <si>
    <r>
      <rPr>
        <sz val="10"/>
        <color rgb="FF000000"/>
        <rFont val="WenQuanYi Zen Hei"/>
        <family val="2"/>
      </rPr>
      <t xml:space="preserve">객체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프로세스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수</t>
    </r>
  </si>
  <si>
    <r>
      <rPr>
        <b val="true"/>
        <sz val="10"/>
        <color rgb="FF000000"/>
        <rFont val="WenQuanYi Zen Hei"/>
        <family val="2"/>
      </rPr>
      <t xml:space="preserve">전문가 판정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문항 시트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</si>
  <si>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채택 문항 수</t>
  </si>
  <si>
    <r>
      <rPr>
        <sz val="10"/>
        <color rgb="FF000000"/>
        <rFont val="WenQuanYi Zen Hei"/>
        <family val="2"/>
      </rPr>
      <t xml:space="preserve">수정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토론 문항 수</t>
    </r>
  </si>
  <si>
    <t xml:space="preserve">평가 미입력 문항 수</t>
  </si>
  <si>
    <r>
      <rPr>
        <b val="true"/>
        <sz val="10"/>
        <color rgb="FFFFFFFF"/>
        <rFont val="WenQuanYi Zen Hei"/>
        <family val="2"/>
      </rPr>
      <t xml:space="preserve">자료 기반 점검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응답 입력 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</si>
  <si>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기대</t>
  </si>
  <si>
    <r>
      <rPr>
        <sz val="10"/>
        <color rgb="FF000000"/>
        <rFont val="WenQuanYi Zen Hei"/>
        <family val="2"/>
      </rPr>
      <t xml:space="preserve">역문항 일관성</t>
    </r>
    <r>
      <rPr>
        <sz val="10"/>
        <color rgb="FF000000"/>
        <rFont val="맑은 고딕"/>
        <family val="0"/>
        <charset val="1"/>
      </rPr>
      <t xml:space="preserve">: G01 vs RV1</t>
    </r>
  </si>
  <si>
    <r>
      <rPr>
        <sz val="10"/>
        <color rgb="FF000000"/>
        <rFont val="WenQuanYi Zen Hei"/>
        <family val="2"/>
      </rPr>
      <t xml:space="preserve">음</t>
    </r>
    <r>
      <rPr>
        <sz val="10"/>
        <color rgb="FF000000"/>
        <rFont val="맑은 고딕"/>
        <family val="0"/>
        <charset val="1"/>
      </rPr>
      <t xml:space="preserve">(−)</t>
    </r>
    <r>
      <rPr>
        <sz val="10"/>
        <color rgb="FF000000"/>
        <rFont val="WenQuanYi Zen Hei"/>
        <family val="2"/>
      </rPr>
      <t xml:space="preserve">의 상관</t>
    </r>
  </si>
  <si>
    <r>
      <rPr>
        <sz val="10"/>
        <color rgb="FF000000"/>
        <rFont val="WenQuanYi Zen Hei"/>
        <family val="2"/>
      </rPr>
      <t xml:space="preserve">역문항 일관성</t>
    </r>
    <r>
      <rPr>
        <sz val="10"/>
        <color rgb="FF000000"/>
        <rFont val="맑은 고딕"/>
        <family val="0"/>
        <charset val="1"/>
      </rPr>
      <t xml:space="preserve">: L01-R vs RV2</t>
    </r>
  </si>
  <si>
    <r>
      <rPr>
        <sz val="10"/>
        <color rgb="FF000000"/>
        <rFont val="WenQuanYi Zen Hei"/>
        <family val="2"/>
      </rPr>
      <t xml:space="preserve">역문항 일관성</t>
    </r>
    <r>
      <rPr>
        <sz val="10"/>
        <color rgb="FF000000"/>
        <rFont val="맑은 고딕"/>
        <family val="0"/>
        <charset val="1"/>
      </rPr>
      <t xml:space="preserve">: L20-R vs RV3</t>
    </r>
  </si>
  <si>
    <r>
      <rPr>
        <sz val="10"/>
        <color rgb="FF000000"/>
        <rFont val="WenQuanYi Zen Hei"/>
        <family val="2"/>
      </rPr>
      <t xml:space="preserve">역문항 일관성</t>
    </r>
    <r>
      <rPr>
        <sz val="10"/>
        <color rgb="FF000000"/>
        <rFont val="맑은 고딕"/>
        <family val="0"/>
        <charset val="1"/>
      </rPr>
      <t xml:space="preserve">: L14-U vs RV4</t>
    </r>
  </si>
  <si>
    <r>
      <rPr>
        <sz val="10"/>
        <color rgb="FF000000"/>
        <rFont val="WenQuanYi Zen Hei"/>
        <family val="2"/>
      </rPr>
      <t xml:space="preserve">준거타당도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종합 연결 지수 </t>
    </r>
    <r>
      <rPr>
        <sz val="10"/>
        <color rgb="FF000000"/>
        <rFont val="맑은 고딕"/>
        <family val="0"/>
        <charset val="1"/>
      </rPr>
      <t xml:space="preserve">vs CR1</t>
    </r>
  </si>
  <si>
    <r>
      <rPr>
        <sz val="10"/>
        <color rgb="FF000000"/>
        <rFont val="WenQuanYi Zen Hei"/>
        <family val="2"/>
      </rPr>
      <t xml:space="preserve">양</t>
    </r>
    <r>
      <rPr>
        <sz val="10"/>
        <color rgb="FF000000"/>
        <rFont val="맑은 고딕"/>
        <family val="0"/>
        <charset val="1"/>
      </rPr>
      <t xml:space="preserve">(+)</t>
    </r>
    <r>
      <rPr>
        <sz val="10"/>
        <color rgb="FF000000"/>
        <rFont val="WenQuanYi Zen Hei"/>
        <family val="2"/>
      </rPr>
      <t xml:space="preserve">의 상관</t>
    </r>
  </si>
  <si>
    <r>
      <rPr>
        <sz val="10"/>
        <color rgb="FF000000"/>
        <rFont val="WenQuanYi Zen Hei"/>
        <family val="2"/>
      </rPr>
      <t xml:space="preserve">단계 가설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반영 ≥ 확인 ≥ 갱신</t>
    </r>
  </si>
  <si>
    <t xml:space="preserve">지지</t>
  </si>
  <si>
    <r>
      <rPr>
        <i val="true"/>
        <sz val="10"/>
        <color rgb="FF475467"/>
        <rFont val="WenQuanYi Zen Hei"/>
        <family val="2"/>
      </rPr>
      <t xml:space="preserve">참고</t>
    </r>
    <r>
      <rPr>
        <i val="true"/>
        <sz val="10"/>
        <color rgb="FF475467"/>
        <rFont val="맑은 고딕"/>
        <family val="0"/>
        <charset val="1"/>
      </rPr>
      <t xml:space="preserve">: CORREL</t>
    </r>
    <r>
      <rPr>
        <i val="true"/>
        <sz val="10"/>
        <color rgb="FF475467"/>
        <rFont val="WenQuanYi Zen Hei"/>
        <family val="2"/>
      </rPr>
      <t xml:space="preserve">은 </t>
    </r>
    <r>
      <rPr>
        <i val="true"/>
        <sz val="10"/>
        <color rgb="FF475467"/>
        <rFont val="맑은 고딕"/>
        <family val="0"/>
        <charset val="1"/>
      </rPr>
      <t xml:space="preserve">9(</t>
    </r>
    <r>
      <rPr>
        <i val="true"/>
        <sz val="10"/>
        <color rgb="FF475467"/>
        <rFont val="WenQuanYi Zen Hei"/>
        <family val="2"/>
      </rPr>
      <t xml:space="preserve">해당없음</t>
    </r>
    <r>
      <rPr>
        <i val="true"/>
        <sz val="10"/>
        <color rgb="FF475467"/>
        <rFont val="맑은 고딕"/>
        <family val="0"/>
        <charset val="1"/>
      </rPr>
      <t xml:space="preserve">) </t>
    </r>
    <r>
      <rPr>
        <i val="true"/>
        <sz val="10"/>
        <color rgb="FF475467"/>
        <rFont val="WenQuanYi Zen Hei"/>
        <family val="2"/>
      </rPr>
      <t xml:space="preserve">값도 포함하므로 실제 분석 전에 </t>
    </r>
    <r>
      <rPr>
        <i val="true"/>
        <sz val="10"/>
        <color rgb="FF475467"/>
        <rFont val="맑은 고딕"/>
        <family val="0"/>
        <charset val="1"/>
      </rPr>
      <t xml:space="preserve">9</t>
    </r>
    <r>
      <rPr>
        <i val="true"/>
        <sz val="10"/>
        <color rgb="FF475467"/>
        <rFont val="WenQuanYi Zen Hei"/>
        <family val="2"/>
      </rPr>
      <t xml:space="preserve">를 결측 처리한 자료로 통계 프로그램에서 다시 산출할 것</t>
    </r>
    <r>
      <rPr>
        <i val="true"/>
        <sz val="10"/>
        <color rgb="FF475467"/>
        <rFont val="맑은 고딕"/>
        <family val="0"/>
        <charset val="1"/>
      </rPr>
      <t xml:space="preserve">.</t>
    </r>
  </si>
  <si>
    <t xml:space="preserve">검증 단계</t>
  </si>
  <si>
    <t xml:space="preserve">방법</t>
  </si>
  <si>
    <r>
      <rPr>
        <b val="true"/>
        <sz val="10"/>
        <color rgb="FFFFFFFF"/>
        <rFont val="WenQuanYi Zen Hei"/>
        <family val="2"/>
      </rPr>
      <t xml:space="preserve">기준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산출 위치</t>
    </r>
  </si>
  <si>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구조 점검</t>
    </r>
  </si>
  <si>
    <r>
      <rPr>
        <sz val="10"/>
        <color rgb="FF000000"/>
        <rFont val="WenQuanYi Zen Hei"/>
        <family val="2"/>
      </rPr>
      <t xml:space="preserve">추적성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문항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연결 </t>
    </r>
    <r>
      <rPr>
        <sz val="10"/>
        <color rgb="FF000000"/>
        <rFont val="맑은 고딕"/>
        <family val="0"/>
        <charset val="1"/>
      </rPr>
      <t xml:space="preserve">1×</t>
    </r>
    <r>
      <rPr>
        <sz val="10"/>
        <color rgb="FF000000"/>
        <rFont val="WenQuanYi Zen Hei"/>
        <family val="2"/>
      </rPr>
      <t xml:space="preserve">상태 </t>
    </r>
    <r>
      <rPr>
        <sz val="10"/>
        <color rgb="FF000000"/>
        <rFont val="맑은 고딕"/>
        <family val="0"/>
        <charset val="1"/>
      </rPr>
      <t xml:space="preserve">1), </t>
    </r>
    <r>
      <rPr>
        <sz val="10"/>
        <color rgb="FF000000"/>
        <rFont val="WenQuanYi Zen Hei"/>
        <family val="2"/>
      </rPr>
      <t xml:space="preserve">두 객체 규칙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이중 질문 금지</t>
    </r>
    <r>
      <rPr>
        <sz val="10"/>
        <color rgb="FF000000"/>
        <rFont val="맑은 고딕"/>
        <family val="0"/>
        <charset val="1"/>
      </rPr>
      <t xml:space="preserve">, CQ </t>
    </r>
    <r>
      <rPr>
        <sz val="10"/>
        <color rgb="FF000000"/>
        <rFont val="WenQuanYi Zen Hei"/>
        <family val="2"/>
      </rPr>
      <t xml:space="preserve">환원</t>
    </r>
  </si>
  <si>
    <r>
      <rPr>
        <sz val="10"/>
        <color rgb="FF000000"/>
        <rFont val="WenQuanYi Zen Hei"/>
        <family val="2"/>
      </rPr>
      <t xml:space="preserve">자동 점검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수기 점검</t>
    </r>
  </si>
  <si>
    <r>
      <rPr>
        <sz val="10"/>
        <color rgb="FF000000"/>
        <rFont val="맑은 고딕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전문가 내용타당도</t>
    </r>
  </si>
  <si>
    <r>
      <rPr>
        <sz val="10"/>
        <color rgb="FF000000"/>
        <rFont val="맑은 고딕"/>
        <family val="0"/>
        <charset val="1"/>
      </rPr>
      <t xml:space="preserve">6~10</t>
    </r>
    <r>
      <rPr>
        <sz val="10"/>
        <color rgb="FF000000"/>
        <rFont val="WenQuanYi Zen Hei"/>
        <family val="2"/>
      </rPr>
      <t xml:space="preserve">인 적합도 평가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연결 타당도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맹검 재분류</t>
    </r>
  </si>
  <si>
    <r>
      <rPr>
        <sz val="10"/>
        <color rgb="FF000000"/>
        <rFont val="맑은 고딕"/>
        <family val="0"/>
        <charset val="1"/>
      </rPr>
      <t xml:space="preserve">I-CVI ≥ 0.78 / </t>
    </r>
    <r>
      <rPr>
        <sz val="10"/>
        <color rgb="FF000000"/>
        <rFont val="WenQuanYi Zen Hei"/>
        <family val="2"/>
      </rPr>
      <t xml:space="preserve">일치율 ≥ </t>
    </r>
    <r>
      <rPr>
        <sz val="10"/>
        <color rgb="FF000000"/>
        <rFont val="맑은 고딕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채택 </t>
    </r>
    <r>
      <rPr>
        <sz val="10"/>
        <color rgb="FF000000"/>
        <rFont val="맑은 고딕"/>
        <family val="0"/>
        <charset val="1"/>
      </rPr>
      <t xml:space="preserve">· 20~80% </t>
    </r>
    <r>
      <rPr>
        <sz val="10"/>
        <color rgb="FF000000"/>
        <rFont val="WenQuanYi Zen Hei"/>
        <family val="2"/>
      </rPr>
      <t xml:space="preserve">토론 </t>
    </r>
    <r>
      <rPr>
        <sz val="10"/>
        <color rgb="FF000000"/>
        <rFont val="맑은 고딕"/>
        <family val="0"/>
        <charset val="1"/>
      </rPr>
      <t xml:space="preserve">· &lt; 20% </t>
    </r>
    <r>
      <rPr>
        <sz val="10"/>
        <color rgb="FF000000"/>
        <rFont val="WenQuanYi Zen Hei"/>
        <family val="2"/>
      </rPr>
      <t xml:space="preserve">삭제</t>
    </r>
  </si>
  <si>
    <r>
      <rPr>
        <sz val="10"/>
        <color rgb="FF000000"/>
        <rFont val="맑은 고딕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인지면담</t>
    </r>
  </si>
  <si>
    <r>
      <rPr>
        <sz val="10"/>
        <color rgb="FF000000"/>
        <rFont val="맑은 고딕"/>
        <family val="0"/>
        <charset val="1"/>
      </rPr>
      <t xml:space="preserve">5~8</t>
    </r>
    <r>
      <rPr>
        <sz val="10"/>
        <color rgb="FF000000"/>
        <rFont val="WenQuanYi Zen Hei"/>
        <family val="2"/>
      </rPr>
      <t xml:space="preserve">인 설명시키기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양쪽 프로세스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갱신 구분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</si>
  <si>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수기</t>
  </si>
  <si>
    <r>
      <rPr>
        <sz val="10"/>
        <color rgb="FF000000"/>
        <rFont val="맑은 고딕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신뢰도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구조</t>
    </r>
  </si>
  <si>
    <r>
      <rPr>
        <sz val="10"/>
        <color rgb="FF000000"/>
        <rFont val="WenQuanYi Zen Hei"/>
        <family val="2"/>
      </rPr>
      <t xml:space="preserve">연결별 </t>
    </r>
    <r>
      <rPr>
        <sz val="10"/>
        <color rgb="FF000000"/>
        <rFont val="맑은 고딕"/>
        <family val="0"/>
        <charset val="1"/>
      </rPr>
      <t xml:space="preserve">α/ω, </t>
    </r>
    <r>
      <rPr>
        <sz val="10"/>
        <color rgb="FF000000"/>
        <rFont val="WenQuanYi Zen Hei"/>
        <family val="2"/>
      </rPr>
      <t xml:space="preserve">문항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총점 상관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상태 구분 </t>
    </r>
    <r>
      <rPr>
        <sz val="10"/>
        <color rgb="FF000000"/>
        <rFont val="맑은 고딕"/>
        <family val="0"/>
        <charset val="1"/>
      </rPr>
      <t xml:space="preserve">CFA</t>
    </r>
  </si>
  <si>
    <r>
      <rPr>
        <sz val="10"/>
        <color rgb="FF000000"/>
        <rFont val="WenQuanYi Zen Hei"/>
        <family val="2"/>
      </rPr>
      <t xml:space="preserve">통계 프로그램</t>
    </r>
    <r>
      <rPr>
        <sz val="10"/>
        <color rgb="FF000000"/>
        <rFont val="맑은 고딕"/>
        <family val="0"/>
        <charset val="1"/>
      </rPr>
      <t xml:space="preserve">(150</t>
    </r>
    <r>
      <rPr>
        <sz val="10"/>
        <color rgb="FF000000"/>
        <rFont val="WenQuanYi Zen Hei"/>
        <family val="2"/>
      </rPr>
      <t xml:space="preserve">명 이상 권장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</si>
  <si>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단계 가설</t>
    </r>
  </si>
  <si>
    <t xml:space="preserve">반영 ≥ 확인 ≥ 갱신 평균 순서</t>
  </si>
  <si>
    <r>
      <rPr>
        <sz val="10"/>
        <color rgb="FF000000"/>
        <rFont val="WenQuanYi Zen Hei"/>
        <family val="2"/>
      </rPr>
      <t xml:space="preserve">점수요약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본 시트</t>
    </r>
  </si>
  <si>
    <r>
      <rPr>
        <sz val="10"/>
        <color rgb="FF000000"/>
        <rFont val="맑은 고딕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일관성</t>
    </r>
  </si>
  <si>
    <r>
      <rPr>
        <sz val="10"/>
        <color rgb="FF000000"/>
        <rFont val="WenQuanYi Zen Hei"/>
        <family val="2"/>
      </rPr>
      <t xml:space="preserve">역문항 </t>
    </r>
    <r>
      <rPr>
        <sz val="10"/>
        <color rgb="FF000000"/>
        <rFont val="맑은 고딕"/>
        <family val="0"/>
        <charset val="1"/>
      </rPr>
      <t xml:space="preserve">RV1~4</t>
    </r>
    <r>
      <rPr>
        <sz val="10"/>
        <color rgb="FF000000"/>
        <rFont val="WenQuanYi Zen Hei"/>
        <family val="2"/>
      </rPr>
      <t xml:space="preserve">와 대응 정문항의 음의 상관</t>
    </r>
    <r>
      <rPr>
        <sz val="10"/>
        <color rgb="FF000000"/>
        <rFont val="맑은 고딕"/>
        <family val="0"/>
        <charset val="1"/>
      </rPr>
      <t xml:space="preserve">, AC1 </t>
    </r>
    <r>
      <rPr>
        <sz val="10"/>
        <color rgb="FF000000"/>
        <rFont val="WenQuanYi Zen Hei"/>
        <family val="2"/>
      </rPr>
      <t xml:space="preserve">오답 제외</t>
    </r>
  </si>
  <si>
    <t xml:space="preserve">본 시트</t>
  </si>
  <si>
    <r>
      <rPr>
        <sz val="10"/>
        <color rgb="FF000000"/>
        <rFont val="맑은 고딕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준거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집단</t>
    </r>
  </si>
  <si>
    <r>
      <rPr>
        <sz val="10"/>
        <color rgb="FF000000"/>
        <rFont val="WenQuanYi Zen Hei"/>
        <family val="2"/>
      </rPr>
      <t xml:space="preserve">연계 지수 </t>
    </r>
    <r>
      <rPr>
        <sz val="10"/>
        <color rgb="FF000000"/>
        <rFont val="맑은 고딕"/>
        <family val="0"/>
        <charset val="1"/>
      </rPr>
      <t xml:space="preserve">vs CR1~4, ISO 22301 </t>
    </r>
    <r>
      <rPr>
        <sz val="10"/>
        <color rgb="FF000000"/>
        <rFont val="WenQuanYi Zen Hei"/>
        <family val="2"/>
      </rPr>
      <t xml:space="preserve">인증</t>
    </r>
    <r>
      <rPr>
        <sz val="10"/>
        <color rgb="FF000000"/>
        <rFont val="맑은 고딕"/>
        <family val="0"/>
        <charset val="1"/>
      </rPr>
      <t xml:space="preserve">(A04)·</t>
    </r>
    <r>
      <rPr>
        <sz val="10"/>
        <color rgb="FF000000"/>
        <rFont val="WenQuanYi Zen Hei"/>
        <family val="2"/>
      </rPr>
      <t xml:space="preserve">사고경험</t>
    </r>
    <r>
      <rPr>
        <sz val="10"/>
        <color rgb="FF000000"/>
        <rFont val="맑은 고딕"/>
        <family val="0"/>
        <charset val="1"/>
      </rPr>
      <t xml:space="preserve">(A07) </t>
    </r>
    <r>
      <rPr>
        <sz val="10"/>
        <color rgb="FF000000"/>
        <rFont val="WenQuanYi Zen Hei"/>
        <family val="2"/>
      </rPr>
      <t xml:space="preserve">집단 비교</t>
    </r>
  </si>
  <si>
    <r>
      <rPr>
        <sz val="10"/>
        <color rgb="FF000000"/>
        <rFont val="WenQuanYi Zen Hei"/>
        <family val="2"/>
      </rPr>
      <t xml:space="preserve">본 시트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준거</t>
    </r>
    <r>
      <rPr>
        <sz val="10"/>
        <color rgb="FF000000"/>
        <rFont val="맑은 고딕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통계 프로그램</t>
    </r>
  </si>
  <si>
    <r>
      <rPr>
        <sz val="10"/>
        <color rgb="FF000000"/>
        <rFont val="맑은 고딕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활용 검증</t>
    </r>
  </si>
  <si>
    <r>
      <rPr>
        <sz val="10"/>
        <color rgb="FF000000"/>
        <rFont val="WenQuanYi Zen Hei"/>
        <family val="2"/>
      </rPr>
      <t xml:space="preserve">점수로 연결별 </t>
    </r>
    <r>
      <rPr>
        <sz val="10"/>
        <color rgb="FF000000"/>
        <rFont val="맑은 고딕"/>
        <family val="0"/>
        <charset val="1"/>
      </rPr>
      <t xml:space="preserve">CQ </t>
    </r>
    <r>
      <rPr>
        <sz val="10"/>
        <color rgb="FF000000"/>
        <rFont val="WenQuanYi Zen Hei"/>
        <family val="2"/>
      </rPr>
      <t xml:space="preserve">진단 질문에 답이 나오는지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갱신 점수가 가장 낮은 연결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</si>
  <si>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점수요약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</si>
</sst>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1828"/>
      <name val="맑은 고딕"/>
      <family val="0"/>
      <charset val="1"/>
    </font>
    <font>
      <b val="true"/>
      <sz val="14"/>
      <color rgb="FF101828"/>
      <name val="WenQuanYi Zen Hei"/>
      <family val="2"/>
    </font>
    <font>
      <i val="true"/>
      <sz val="10"/>
      <color rgb="FF475467"/>
      <name val="WenQuanYi Zen Hei"/>
      <family val="2"/>
    </font>
    <font>
      <i val="true"/>
      <sz val="10"/>
      <color rgb="FF475467"/>
      <name val="맑은 고딕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b val="true"/>
      <sz val="9"/>
      <color rgb="FFFFFFFF"/>
      <name val="맑은 고딕"/>
      <family val="0"/>
      <charset val="1"/>
    </font>
    <font>
      <i val="true"/>
      <sz val="10"/>
      <color rgb="FF7F7F7F"/>
      <name val="맑은 고딕"/>
      <family val="0"/>
      <charset val="1"/>
    </font>
    <font>
      <i val="true"/>
      <sz val="10"/>
      <color rgb="FF7F7F7F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F2F4F7"/>
        <bgColor rgb="FFFFFFFF"/>
      </patternFill>
    </fill>
    <fill>
      <patternFill patternType="solid">
        <fgColor rgb="FF1D4E89"/>
        <bgColor rgb="FF475467"/>
      </patternFill>
    </fill>
    <fill>
      <patternFill patternType="solid">
        <fgColor rgb="FFFFF9DB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D4E8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DB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39966"/>
      <rgbColor rgb="FF101828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145440</xdr:rowOff>
    </xdr:from>
    <xdr:to>
      <xdr:col>23</xdr:col>
      <xdr:colOff>222840</xdr:colOff>
      <xdr:row>56</xdr:row>
      <xdr:rowOff>164160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71680"/>
          <a:ext cx="14287320" cy="1030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5" t="s">
        <v>4</v>
      </c>
      <c r="B5" s="6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30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6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48" hidden="false" customHeight="true" outlineLevel="0" collapsed="false">
      <c r="A12" s="3" t="s">
        <v>18</v>
      </c>
      <c r="B12" s="6" t="s">
        <v>19</v>
      </c>
    </row>
    <row r="13" customFormat="false" ht="48" hidden="false" customHeight="true" outlineLevel="0" collapsed="false">
      <c r="A13" s="3" t="s">
        <v>20</v>
      </c>
      <c r="B13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4" hidden="false" customHeight="false" outlineLevel="0" collapsed="false">
      <c r="A1" s="7" t="s">
        <v>22</v>
      </c>
    </row>
    <row r="2" customFormat="false" ht="14.15" hidden="false" customHeight="false" outlineLevel="0" collapsed="false">
      <c r="A2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22"/>
    <col collapsed="false" customWidth="true" hidden="false" outlineLevel="0" max="8" min="8" style="0" width="48"/>
    <col collapsed="false" customWidth="true" hidden="false" outlineLevel="0" max="9" min="9" style="0" width="12"/>
  </cols>
  <sheetData>
    <row r="1" customFormat="false" ht="19.4" hidden="false" customHeight="false" outlineLevel="0" collapsed="false">
      <c r="A1" s="7" t="s">
        <v>24</v>
      </c>
    </row>
    <row r="2" customFormat="false" ht="15" hidden="false" customHeight="false" outlineLevel="0" collapsed="false">
      <c r="A2" s="2" t="s">
        <v>25</v>
      </c>
    </row>
    <row r="4" customFormat="false" ht="26.85" hidden="false" customHeight="false" outlineLevel="0" collapsed="false">
      <c r="A4" s="8" t="s">
        <v>26</v>
      </c>
      <c r="B4" s="9" t="s">
        <v>27</v>
      </c>
      <c r="C4" s="9" t="s">
        <v>28</v>
      </c>
      <c r="D4" s="8" t="s">
        <v>29</v>
      </c>
      <c r="E4" s="9" t="s">
        <v>30</v>
      </c>
      <c r="F4" s="9" t="s">
        <v>31</v>
      </c>
      <c r="G4" s="8" t="s">
        <v>32</v>
      </c>
      <c r="H4" s="9" t="s">
        <v>33</v>
      </c>
      <c r="I4" s="9" t="s">
        <v>34</v>
      </c>
    </row>
    <row r="5" customFormat="false" ht="15" hidden="false" customHeight="false" outlineLevel="0" collapsed="false">
      <c r="A5" s="6" t="s">
        <v>35</v>
      </c>
      <c r="B5" s="6" t="s">
        <v>36</v>
      </c>
      <c r="C5" s="4" t="s">
        <v>37</v>
      </c>
      <c r="D5" s="6" t="s">
        <v>38</v>
      </c>
      <c r="E5" s="6" t="s">
        <v>38</v>
      </c>
      <c r="F5" s="10" t="n">
        <v>90</v>
      </c>
      <c r="G5" s="4" t="str">
        <f aca="false">IF(F5&gt;=80,"Category 1 채택",IF(F5&gt;=20,"Category 2 토론","Category 3 기각"))</f>
        <v>Category 1 채택</v>
      </c>
      <c r="H5" s="4" t="s">
        <v>39</v>
      </c>
      <c r="I5" s="4" t="n">
        <f aca="false">COUNTIF(연결!$C$5:$C$29,"*"&amp;A5&amp;"*")</f>
        <v>2</v>
      </c>
    </row>
    <row r="6" customFormat="false" ht="15" hidden="false" customHeight="false" outlineLevel="0" collapsed="false">
      <c r="A6" s="6" t="s">
        <v>40</v>
      </c>
      <c r="B6" s="6" t="s">
        <v>41</v>
      </c>
      <c r="C6" s="4" t="s">
        <v>42</v>
      </c>
      <c r="D6" s="6" t="s">
        <v>43</v>
      </c>
      <c r="E6" s="6" t="s">
        <v>44</v>
      </c>
      <c r="F6" s="10" t="n">
        <v>87</v>
      </c>
      <c r="G6" s="4" t="str">
        <f aca="false">IF(F6&gt;=80,"Category 1 채택",IF(F6&gt;=20,"Category 2 토론","Category 3 기각"))</f>
        <v>Category 1 채택</v>
      </c>
      <c r="H6" s="6" t="s">
        <v>45</v>
      </c>
      <c r="I6" s="4" t="n">
        <f aca="false">COUNTIF(연결!$C$5:$C$29,"*"&amp;A6&amp;"*")</f>
        <v>1</v>
      </c>
    </row>
    <row r="7" customFormat="false" ht="15" hidden="false" customHeight="false" outlineLevel="0" collapsed="false">
      <c r="A7" s="6" t="s">
        <v>46</v>
      </c>
      <c r="B7" s="4" t="s">
        <v>47</v>
      </c>
      <c r="C7" s="4" t="s">
        <v>42</v>
      </c>
      <c r="D7" s="6" t="s">
        <v>43</v>
      </c>
      <c r="E7" s="6" t="s">
        <v>44</v>
      </c>
      <c r="F7" s="10" t="n">
        <v>74</v>
      </c>
      <c r="G7" s="4" t="str">
        <f aca="false">IF(F7&gt;=80,"Category 1 채택",IF(F7&gt;=20,"Category 2 토론","Category 3 기각"))</f>
        <v>Category 2 토론</v>
      </c>
      <c r="H7" s="4" t="s">
        <v>48</v>
      </c>
      <c r="I7" s="4" t="n">
        <f aca="false">COUNTIF(연결!$C$5:$C$29,"*"&amp;A7&amp;"*")</f>
        <v>4</v>
      </c>
    </row>
    <row r="8" customFormat="false" ht="15" hidden="false" customHeight="false" outlineLevel="0" collapsed="false">
      <c r="A8" s="6" t="s">
        <v>49</v>
      </c>
      <c r="B8" s="6" t="s">
        <v>50</v>
      </c>
      <c r="C8" s="4" t="s">
        <v>42</v>
      </c>
      <c r="D8" s="6" t="s">
        <v>43</v>
      </c>
      <c r="E8" s="6" t="s">
        <v>44</v>
      </c>
      <c r="F8" s="10" t="n">
        <v>100</v>
      </c>
      <c r="G8" s="4" t="str">
        <f aca="false">IF(F8&gt;=80,"Category 1 채택",IF(F8&gt;=20,"Category 2 토론","Category 3 기각"))</f>
        <v>Category 1 채택</v>
      </c>
      <c r="H8" s="6" t="s">
        <v>51</v>
      </c>
      <c r="I8" s="4" t="n">
        <f aca="false">COUNTIF(연결!$C$5:$C$29,"*"&amp;A8&amp;"*")</f>
        <v>4</v>
      </c>
    </row>
    <row r="9" customFormat="false" ht="15" hidden="false" customHeight="false" outlineLevel="0" collapsed="false">
      <c r="A9" s="6" t="s">
        <v>52</v>
      </c>
      <c r="B9" s="4" t="s">
        <v>53</v>
      </c>
      <c r="C9" s="4" t="s">
        <v>42</v>
      </c>
      <c r="D9" s="6" t="s">
        <v>43</v>
      </c>
      <c r="E9" s="6" t="s">
        <v>44</v>
      </c>
      <c r="F9" s="10" t="n">
        <v>90</v>
      </c>
      <c r="G9" s="4" t="str">
        <f aca="false">IF(F9&gt;=80,"Category 1 채택",IF(F9&gt;=20,"Category 2 토론","Category 3 기각"))</f>
        <v>Category 1 채택</v>
      </c>
      <c r="H9" s="4" t="s">
        <v>54</v>
      </c>
      <c r="I9" s="4" t="n">
        <f aca="false">COUNTIF(연결!$C$5:$C$29,"*"&amp;A9&amp;"*")</f>
        <v>4</v>
      </c>
    </row>
    <row r="10" customFormat="false" ht="15" hidden="false" customHeight="false" outlineLevel="0" collapsed="false">
      <c r="A10" s="6" t="s">
        <v>55</v>
      </c>
      <c r="B10" s="6" t="s">
        <v>56</v>
      </c>
      <c r="C10" s="4" t="s">
        <v>42</v>
      </c>
      <c r="D10" s="6" t="s">
        <v>43</v>
      </c>
      <c r="E10" s="6" t="s">
        <v>44</v>
      </c>
      <c r="F10" s="10" t="n">
        <v>74</v>
      </c>
      <c r="G10" s="4" t="str">
        <f aca="false">IF(F10&gt;=80,"Category 1 채택",IF(F10&gt;=20,"Category 2 토론","Category 3 기각"))</f>
        <v>Category 2 토론</v>
      </c>
      <c r="H10" s="4" t="s">
        <v>57</v>
      </c>
      <c r="I10" s="4" t="n">
        <f aca="false">COUNTIF(연결!$C$5:$C$29,"*"&amp;A10&amp;"*")</f>
        <v>3</v>
      </c>
    </row>
    <row r="11" customFormat="false" ht="15" hidden="false" customHeight="false" outlineLevel="0" collapsed="false">
      <c r="A11" s="6" t="s">
        <v>58</v>
      </c>
      <c r="B11" s="6" t="s">
        <v>59</v>
      </c>
      <c r="C11" s="4" t="s">
        <v>42</v>
      </c>
      <c r="D11" s="6" t="s">
        <v>43</v>
      </c>
      <c r="E11" s="6" t="s">
        <v>44</v>
      </c>
      <c r="F11" s="10" t="n">
        <v>69</v>
      </c>
      <c r="G11" s="4" t="str">
        <f aca="false">IF(F11&gt;=80,"Category 1 채택",IF(F11&gt;=20,"Category 2 토론","Category 3 기각"))</f>
        <v>Category 2 토론</v>
      </c>
      <c r="H11" s="6" t="s">
        <v>60</v>
      </c>
      <c r="I11" s="4" t="n">
        <f aca="false">COUNTIF(연결!$C$5:$C$29,"*"&amp;A11&amp;"*")</f>
        <v>5</v>
      </c>
    </row>
    <row r="12" customFormat="false" ht="15" hidden="false" customHeight="false" outlineLevel="0" collapsed="false">
      <c r="A12" s="6" t="s">
        <v>61</v>
      </c>
      <c r="B12" s="4" t="s">
        <v>62</v>
      </c>
      <c r="C12" s="4" t="s">
        <v>42</v>
      </c>
      <c r="D12" s="6" t="s">
        <v>63</v>
      </c>
      <c r="E12" s="6" t="s">
        <v>64</v>
      </c>
      <c r="F12" s="10" t="n">
        <v>69</v>
      </c>
      <c r="G12" s="4" t="str">
        <f aca="false">IF(F12&gt;=80,"Category 1 채택",IF(F12&gt;=20,"Category 2 토론","Category 3 기각"))</f>
        <v>Category 2 토론</v>
      </c>
      <c r="H12" s="4" t="s">
        <v>65</v>
      </c>
      <c r="I12" s="4" t="n">
        <f aca="false">COUNTIF(연결!$C$5:$C$29,"*"&amp;A12&amp;"*")</f>
        <v>1</v>
      </c>
    </row>
    <row r="13" customFormat="false" ht="15" hidden="false" customHeight="false" outlineLevel="0" collapsed="false">
      <c r="A13" s="6" t="s">
        <v>66</v>
      </c>
      <c r="B13" s="4" t="s">
        <v>67</v>
      </c>
      <c r="C13" s="4" t="s">
        <v>42</v>
      </c>
      <c r="D13" s="6" t="s">
        <v>63</v>
      </c>
      <c r="E13" s="6" t="s">
        <v>68</v>
      </c>
      <c r="F13" s="10" t="n">
        <v>100</v>
      </c>
      <c r="G13" s="4" t="str">
        <f aca="false">IF(F13&gt;=80,"Category 1 채택",IF(F13&gt;=20,"Category 2 토론","Category 3 기각"))</f>
        <v>Category 1 채택</v>
      </c>
      <c r="H13" s="4" t="s">
        <v>69</v>
      </c>
      <c r="I13" s="4" t="n">
        <f aca="false">COUNTIF(연결!$C$5:$C$29,"*"&amp;A13&amp;"*")</f>
        <v>4</v>
      </c>
    </row>
    <row r="14" customFormat="false" ht="15" hidden="false" customHeight="false" outlineLevel="0" collapsed="false">
      <c r="A14" s="6" t="s">
        <v>70</v>
      </c>
      <c r="B14" s="6" t="s">
        <v>71</v>
      </c>
      <c r="C14" s="4" t="s">
        <v>42</v>
      </c>
      <c r="D14" s="6" t="s">
        <v>63</v>
      </c>
      <c r="E14" s="6" t="s">
        <v>64</v>
      </c>
      <c r="F14" s="10" t="n">
        <v>100</v>
      </c>
      <c r="G14" s="4" t="str">
        <f aca="false">IF(F14&gt;=80,"Category 1 채택",IF(F14&gt;=20,"Category 2 토론","Category 3 기각"))</f>
        <v>Category 1 채택</v>
      </c>
      <c r="H14" s="4" t="s">
        <v>72</v>
      </c>
      <c r="I14" s="4" t="n">
        <f aca="false">COUNTIF(연결!$C$5:$C$29,"*"&amp;A14&amp;"*")</f>
        <v>3</v>
      </c>
    </row>
    <row r="15" customFormat="false" ht="15" hidden="false" customHeight="false" outlineLevel="0" collapsed="false">
      <c r="A15" s="6" t="s">
        <v>73</v>
      </c>
      <c r="B15" s="4" t="s">
        <v>74</v>
      </c>
      <c r="C15" s="4" t="s">
        <v>42</v>
      </c>
      <c r="D15" s="6" t="s">
        <v>63</v>
      </c>
      <c r="E15" s="6" t="s">
        <v>64</v>
      </c>
      <c r="F15" s="10" t="n">
        <v>95</v>
      </c>
      <c r="G15" s="4" t="str">
        <f aca="false">IF(F15&gt;=80,"Category 1 채택",IF(F15&gt;=20,"Category 2 토론","Category 3 기각"))</f>
        <v>Category 1 채택</v>
      </c>
      <c r="H15" s="4" t="s">
        <v>75</v>
      </c>
      <c r="I15" s="4" t="n">
        <f aca="false">COUNTIF(연결!$C$5:$C$29,"*"&amp;A15&amp;"*")</f>
        <v>1</v>
      </c>
    </row>
    <row r="16" customFormat="false" ht="15" hidden="false" customHeight="false" outlineLevel="0" collapsed="false">
      <c r="A16" s="6" t="s">
        <v>76</v>
      </c>
      <c r="B16" s="4" t="s">
        <v>77</v>
      </c>
      <c r="C16" s="4" t="s">
        <v>42</v>
      </c>
      <c r="D16" s="6" t="s">
        <v>63</v>
      </c>
      <c r="E16" s="6" t="s">
        <v>64</v>
      </c>
      <c r="F16" s="10" t="n">
        <v>90</v>
      </c>
      <c r="G16" s="4" t="str">
        <f aca="false">IF(F16&gt;=80,"Category 1 채택",IF(F16&gt;=20,"Category 2 토론","Category 3 기각"))</f>
        <v>Category 1 채택</v>
      </c>
      <c r="H16" s="4" t="s">
        <v>78</v>
      </c>
      <c r="I16" s="4" t="n">
        <f aca="false">COUNTIF(연결!$C$5:$C$29,"*"&amp;A16&amp;"*")</f>
        <v>2</v>
      </c>
    </row>
    <row r="17" customFormat="false" ht="15" hidden="false" customHeight="false" outlineLevel="0" collapsed="false">
      <c r="A17" s="6" t="s">
        <v>79</v>
      </c>
      <c r="B17" s="4" t="s">
        <v>80</v>
      </c>
      <c r="C17" s="4" t="s">
        <v>42</v>
      </c>
      <c r="D17" s="6" t="s">
        <v>81</v>
      </c>
      <c r="E17" s="6" t="s">
        <v>64</v>
      </c>
      <c r="F17" s="10" t="n">
        <v>97</v>
      </c>
      <c r="G17" s="4" t="str">
        <f aca="false">IF(F17&gt;=80,"Category 1 채택",IF(F17&gt;=20,"Category 2 토론","Category 3 기각"))</f>
        <v>Category 1 채택</v>
      </c>
      <c r="H17" s="4" t="s">
        <v>82</v>
      </c>
      <c r="I17" s="4" t="n">
        <f aca="false">COUNTIF(연결!$C$5:$C$29,"*"&amp;A17&amp;"*")</f>
        <v>2</v>
      </c>
    </row>
    <row r="18" customFormat="false" ht="15" hidden="false" customHeight="false" outlineLevel="0" collapsed="false">
      <c r="A18" s="6" t="s">
        <v>83</v>
      </c>
      <c r="B18" s="4" t="s">
        <v>84</v>
      </c>
      <c r="C18" s="4" t="s">
        <v>42</v>
      </c>
      <c r="D18" s="6" t="s">
        <v>81</v>
      </c>
      <c r="E18" s="6" t="s">
        <v>64</v>
      </c>
      <c r="F18" s="10" t="n">
        <v>87</v>
      </c>
      <c r="G18" s="4" t="str">
        <f aca="false">IF(F18&gt;=80,"Category 1 채택",IF(F18&gt;=20,"Category 2 토론","Category 3 기각"))</f>
        <v>Category 1 채택</v>
      </c>
      <c r="H18" s="4" t="s">
        <v>85</v>
      </c>
      <c r="I18" s="4" t="n">
        <f aca="false">COUNTIF(연결!$C$5:$C$29,"*"&amp;A18&amp;"*")</f>
        <v>1</v>
      </c>
    </row>
    <row r="19" customFormat="false" ht="15" hidden="false" customHeight="false" outlineLevel="0" collapsed="false">
      <c r="A19" s="6" t="s">
        <v>86</v>
      </c>
      <c r="B19" s="4" t="s">
        <v>87</v>
      </c>
      <c r="C19" s="4" t="s">
        <v>42</v>
      </c>
      <c r="D19" s="6" t="s">
        <v>88</v>
      </c>
      <c r="E19" s="6" t="s">
        <v>64</v>
      </c>
      <c r="F19" s="10" t="n">
        <v>90</v>
      </c>
      <c r="G19" s="4" t="str">
        <f aca="false">IF(F19&gt;=80,"Category 1 채택",IF(F19&gt;=20,"Category 2 토론","Category 3 기각"))</f>
        <v>Category 1 채택</v>
      </c>
      <c r="H19" s="4" t="s">
        <v>89</v>
      </c>
      <c r="I19" s="4" t="n">
        <f aca="false">COUNTIF(연결!$C$5:$C$29,"*"&amp;A19&amp;"*")</f>
        <v>3</v>
      </c>
    </row>
    <row r="20" customFormat="false" ht="15" hidden="false" customHeight="false" outlineLevel="0" collapsed="false">
      <c r="A20" s="6" t="s">
        <v>90</v>
      </c>
      <c r="B20" s="6" t="s">
        <v>91</v>
      </c>
      <c r="C20" s="4" t="s">
        <v>42</v>
      </c>
      <c r="D20" s="6" t="s">
        <v>88</v>
      </c>
      <c r="E20" s="6" t="s">
        <v>64</v>
      </c>
      <c r="F20" s="10" t="n">
        <v>95</v>
      </c>
      <c r="G20" s="4" t="str">
        <f aca="false">IF(F20&gt;=80,"Category 1 채택",IF(F20&gt;=20,"Category 2 토론","Category 3 기각"))</f>
        <v>Category 1 채택</v>
      </c>
      <c r="H20" s="4" t="s">
        <v>92</v>
      </c>
      <c r="I20" s="4" t="n">
        <f aca="false">COUNTIF(연결!$C$5:$C$29,"*"&amp;A20&amp;"*")</f>
        <v>3</v>
      </c>
    </row>
    <row r="21" customFormat="false" ht="15" hidden="false" customHeight="false" outlineLevel="0" collapsed="false">
      <c r="A21" s="6" t="s">
        <v>93</v>
      </c>
      <c r="B21" s="4" t="s">
        <v>94</v>
      </c>
      <c r="C21" s="4" t="s">
        <v>42</v>
      </c>
      <c r="D21" s="6" t="s">
        <v>88</v>
      </c>
      <c r="E21" s="6" t="s">
        <v>68</v>
      </c>
      <c r="F21" s="10" t="n">
        <v>92</v>
      </c>
      <c r="G21" s="4" t="str">
        <f aca="false">IF(F21&gt;=80,"Category 1 채택",IF(F21&gt;=20,"Category 2 토론","Category 3 기각"))</f>
        <v>Category 1 채택</v>
      </c>
      <c r="H21" s="4" t="s">
        <v>95</v>
      </c>
      <c r="I21" s="4" t="n">
        <f aca="false">COUNTIF(연결!$C$5:$C$29,"*"&amp;A21&amp;"*")</f>
        <v>1</v>
      </c>
    </row>
    <row r="22" customFormat="false" ht="15" hidden="false" customHeight="false" outlineLevel="0" collapsed="false">
      <c r="A22" s="6" t="s">
        <v>96</v>
      </c>
      <c r="B22" s="4" t="s">
        <v>97</v>
      </c>
      <c r="C22" s="4" t="s">
        <v>42</v>
      </c>
      <c r="D22" s="6" t="s">
        <v>88</v>
      </c>
      <c r="E22" s="6" t="s">
        <v>98</v>
      </c>
      <c r="F22" s="10" t="n">
        <v>100</v>
      </c>
      <c r="G22" s="4" t="str">
        <f aca="false">IF(F22&gt;=80,"Category 1 채택",IF(F22&gt;=20,"Category 2 토론","Category 3 기각"))</f>
        <v>Category 1 채택</v>
      </c>
      <c r="H22" s="4" t="s">
        <v>99</v>
      </c>
      <c r="I22" s="4" t="n">
        <f aca="false">COUNTIF(연결!$C$5:$C$29,"*"&amp;A22&amp;"*")</f>
        <v>1</v>
      </c>
    </row>
    <row r="23" customFormat="false" ht="15" hidden="false" customHeight="false" outlineLevel="0" collapsed="false">
      <c r="A23" s="6" t="s">
        <v>100</v>
      </c>
      <c r="B23" s="4" t="s">
        <v>101</v>
      </c>
      <c r="C23" s="4" t="s">
        <v>102</v>
      </c>
      <c r="D23" s="6" t="s">
        <v>38</v>
      </c>
      <c r="E23" s="6" t="s">
        <v>38</v>
      </c>
      <c r="F23" s="10" t="n">
        <v>97</v>
      </c>
      <c r="G23" s="4" t="str">
        <f aca="false">IF(F23&gt;=80,"Category 1 채택",IF(F23&gt;=20,"Category 2 토론","Category 3 기각"))</f>
        <v>Category 1 채택</v>
      </c>
      <c r="H23" s="4" t="s">
        <v>103</v>
      </c>
      <c r="I23" s="4" t="n">
        <f aca="false">COUNTIF(연결!$C$5:$C$29,"*"&amp;A23&amp;"*")</f>
        <v>1</v>
      </c>
    </row>
    <row r="24" customFormat="false" ht="15" hidden="false" customHeight="false" outlineLevel="0" collapsed="false">
      <c r="A24" s="6" t="s">
        <v>104</v>
      </c>
      <c r="B24" s="4" t="s">
        <v>105</v>
      </c>
      <c r="C24" s="4" t="s">
        <v>102</v>
      </c>
      <c r="D24" s="6" t="s">
        <v>38</v>
      </c>
      <c r="E24" s="6" t="s">
        <v>38</v>
      </c>
      <c r="F24" s="10" t="n">
        <v>100</v>
      </c>
      <c r="G24" s="4" t="str">
        <f aca="false">IF(F24&gt;=80,"Category 1 채택",IF(F24&gt;=20,"Category 2 토론","Category 3 기각"))</f>
        <v>Category 1 채택</v>
      </c>
      <c r="H24" s="4" t="s">
        <v>106</v>
      </c>
      <c r="I24" s="4" t="n">
        <f aca="false">COUNTIF(연결!$C$5:$C$29,"*"&amp;A24&amp;"*")</f>
        <v>2</v>
      </c>
    </row>
    <row r="25" customFormat="false" ht="15" hidden="false" customHeight="false" outlineLevel="0" collapsed="false">
      <c r="A25" s="6" t="s">
        <v>107</v>
      </c>
      <c r="B25" s="4" t="s">
        <v>108</v>
      </c>
      <c r="C25" s="4" t="s">
        <v>102</v>
      </c>
      <c r="D25" s="6" t="s">
        <v>38</v>
      </c>
      <c r="E25" s="6" t="s">
        <v>38</v>
      </c>
      <c r="F25" s="10" t="n">
        <v>74</v>
      </c>
      <c r="G25" s="4" t="str">
        <f aca="false">IF(F25&gt;=80,"Category 1 채택",IF(F25&gt;=20,"Category 2 토론","Category 3 기각"))</f>
        <v>Category 2 토론</v>
      </c>
      <c r="H25" s="4" t="s">
        <v>109</v>
      </c>
      <c r="I25" s="4" t="n">
        <f aca="false">COUNTIF(연결!$C$5:$C$29,"*"&amp;A25&amp;"*")</f>
        <v>2</v>
      </c>
    </row>
    <row r="26" customFormat="false" ht="15" hidden="false" customHeight="false" outlineLevel="0" collapsed="false">
      <c r="A26" s="6" t="s">
        <v>110</v>
      </c>
      <c r="B26" s="4" t="s">
        <v>111</v>
      </c>
      <c r="C26" s="4" t="s">
        <v>102</v>
      </c>
      <c r="D26" s="6" t="s">
        <v>38</v>
      </c>
      <c r="E26" s="6" t="s">
        <v>38</v>
      </c>
      <c r="F26" s="10" t="n">
        <v>3</v>
      </c>
      <c r="G26" s="4" t="str">
        <f aca="false">IF(F26&gt;=80,"Category 1 채택",IF(F26&gt;=20,"Category 2 토론","Category 3 기각"))</f>
        <v>Category 3 기각</v>
      </c>
      <c r="H26" s="4" t="s">
        <v>112</v>
      </c>
      <c r="I26" s="4" t="n">
        <f aca="false">COUNTIF(연결!$C$5:$C$29,"*"&amp;A26&amp;"*")</f>
        <v>1</v>
      </c>
    </row>
    <row r="28" customFormat="false" ht="45.75" hidden="false" customHeight="true" outlineLevel="0" collapsed="false">
      <c r="A28" s="11" t="s">
        <v>113</v>
      </c>
      <c r="B28" s="11"/>
      <c r="C28" s="11"/>
      <c r="D28" s="11"/>
      <c r="E28" s="11"/>
      <c r="F28" s="11"/>
      <c r="G28" s="11"/>
      <c r="H28" s="11"/>
      <c r="I28" s="11"/>
    </row>
  </sheetData>
  <mergeCells count="1"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60"/>
    <col collapsed="false" customWidth="true" hidden="false" outlineLevel="0" max="6" min="6" style="0" width="7"/>
    <col collapsed="false" customWidth="true" hidden="false" outlineLevel="0" max="7" min="7" style="0" width="40"/>
    <col collapsed="false" customWidth="true" hidden="false" outlineLevel="0" max="9" min="8" style="0" width="9"/>
  </cols>
  <sheetData>
    <row r="1" customFormat="false" ht="19.4" hidden="false" customHeight="false" outlineLevel="0" collapsed="false">
      <c r="A1" s="7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8" t="s">
        <v>26</v>
      </c>
      <c r="B4" s="9" t="s">
        <v>116</v>
      </c>
      <c r="C4" s="9" t="s">
        <v>117</v>
      </c>
      <c r="D4" s="9" t="s">
        <v>118</v>
      </c>
      <c r="E4" s="9" t="s">
        <v>119</v>
      </c>
      <c r="F4" s="9" t="s">
        <v>120</v>
      </c>
      <c r="G4" s="8" t="s">
        <v>121</v>
      </c>
      <c r="H4" s="9" t="s">
        <v>122</v>
      </c>
      <c r="I4" s="9" t="s">
        <v>123</v>
      </c>
    </row>
    <row r="5" customFormat="false" ht="15" hidden="false" customHeight="false" outlineLevel="0" collapsed="false">
      <c r="A5" s="6" t="s">
        <v>124</v>
      </c>
      <c r="B5" s="4" t="s">
        <v>125</v>
      </c>
      <c r="C5" s="6" t="s">
        <v>126</v>
      </c>
      <c r="D5" s="6" t="s">
        <v>127</v>
      </c>
      <c r="E5" s="6" t="s">
        <v>128</v>
      </c>
      <c r="F5" s="6" t="s">
        <v>129</v>
      </c>
      <c r="G5" s="6" t="s">
        <v>130</v>
      </c>
      <c r="H5" s="4" t="n">
        <f aca="false">COUNTIF(문항!$D$5:$D$94,A5)</f>
        <v>3</v>
      </c>
      <c r="I5" s="4" t="str">
        <f aca="false">IF(H5=3,"OK","확인")</f>
        <v>OK</v>
      </c>
    </row>
    <row r="6" customFormat="false" ht="15" hidden="false" customHeight="false" outlineLevel="0" collapsed="false">
      <c r="A6" s="6" t="s">
        <v>131</v>
      </c>
      <c r="B6" s="4" t="s">
        <v>125</v>
      </c>
      <c r="C6" s="6" t="s">
        <v>132</v>
      </c>
      <c r="D6" s="6" t="s">
        <v>127</v>
      </c>
      <c r="E6" s="4" t="s">
        <v>133</v>
      </c>
      <c r="F6" s="6" t="s">
        <v>129</v>
      </c>
      <c r="G6" s="4" t="s">
        <v>134</v>
      </c>
      <c r="H6" s="4" t="n">
        <f aca="false">COUNTIF(문항!$D$5:$D$94,A6)</f>
        <v>3</v>
      </c>
      <c r="I6" s="4" t="str">
        <f aca="false">IF(H6=3,"OK","확인")</f>
        <v>OK</v>
      </c>
    </row>
    <row r="7" customFormat="false" ht="25.35" hidden="false" customHeight="false" outlineLevel="0" collapsed="false">
      <c r="A7" s="6" t="s">
        <v>135</v>
      </c>
      <c r="B7" s="4" t="s">
        <v>125</v>
      </c>
      <c r="C7" s="6" t="s">
        <v>136</v>
      </c>
      <c r="D7" s="6" t="s">
        <v>127</v>
      </c>
      <c r="E7" s="6" t="s">
        <v>137</v>
      </c>
      <c r="F7" s="6" t="s">
        <v>129</v>
      </c>
      <c r="G7" s="4" t="s">
        <v>138</v>
      </c>
      <c r="H7" s="4" t="n">
        <f aca="false">COUNTIF(문항!$D$5:$D$94,A7)</f>
        <v>3</v>
      </c>
      <c r="I7" s="4" t="str">
        <f aca="false">IF(H7=3,"OK","확인")</f>
        <v>OK</v>
      </c>
    </row>
    <row r="8" customFormat="false" ht="15" hidden="false" customHeight="false" outlineLevel="0" collapsed="false">
      <c r="A8" s="6" t="s">
        <v>139</v>
      </c>
      <c r="B8" s="4" t="s">
        <v>125</v>
      </c>
      <c r="C8" s="6" t="s">
        <v>140</v>
      </c>
      <c r="D8" s="6" t="s">
        <v>127</v>
      </c>
      <c r="E8" s="4" t="s">
        <v>141</v>
      </c>
      <c r="F8" s="6" t="s">
        <v>129</v>
      </c>
      <c r="G8" s="4" t="s">
        <v>142</v>
      </c>
      <c r="H8" s="4" t="n">
        <f aca="false">COUNTIF(문항!$D$5:$D$94,A8)</f>
        <v>3</v>
      </c>
      <c r="I8" s="4" t="str">
        <f aca="false">IF(H8=3,"OK","확인")</f>
        <v>OK</v>
      </c>
    </row>
    <row r="9" customFormat="false" ht="15" hidden="false" customHeight="false" outlineLevel="0" collapsed="false">
      <c r="A9" s="6" t="s">
        <v>143</v>
      </c>
      <c r="B9" s="4" t="s">
        <v>125</v>
      </c>
      <c r="C9" s="6" t="s">
        <v>144</v>
      </c>
      <c r="D9" s="6" t="s">
        <v>127</v>
      </c>
      <c r="E9" s="4" t="s">
        <v>145</v>
      </c>
      <c r="F9" s="6" t="s">
        <v>129</v>
      </c>
      <c r="G9" s="4" t="s">
        <v>146</v>
      </c>
      <c r="H9" s="4" t="n">
        <f aca="false">COUNTIF(문항!$D$5:$D$94,A9)</f>
        <v>3</v>
      </c>
      <c r="I9" s="4" t="str">
        <f aca="false">IF(H9=3,"OK","확인")</f>
        <v>OK</v>
      </c>
    </row>
    <row r="10" customFormat="false" ht="25.35" hidden="false" customHeight="false" outlineLevel="0" collapsed="false">
      <c r="A10" s="6" t="s">
        <v>147</v>
      </c>
      <c r="B10" s="4" t="s">
        <v>148</v>
      </c>
      <c r="C10" s="6" t="s">
        <v>149</v>
      </c>
      <c r="D10" s="6" t="s">
        <v>127</v>
      </c>
      <c r="E10" s="6" t="s">
        <v>150</v>
      </c>
      <c r="F10" s="6" t="s">
        <v>129</v>
      </c>
      <c r="G10" s="4" t="s">
        <v>151</v>
      </c>
      <c r="H10" s="4" t="n">
        <f aca="false">COUNTIF(문항!$D$5:$D$94,A10)</f>
        <v>3</v>
      </c>
      <c r="I10" s="4" t="str">
        <f aca="false">IF(H10=3,"OK","확인")</f>
        <v>OK</v>
      </c>
    </row>
    <row r="11" customFormat="false" ht="15" hidden="false" customHeight="false" outlineLevel="0" collapsed="false">
      <c r="A11" s="6" t="s">
        <v>152</v>
      </c>
      <c r="B11" s="4" t="s">
        <v>148</v>
      </c>
      <c r="C11" s="6" t="s">
        <v>153</v>
      </c>
      <c r="D11" s="6" t="s">
        <v>154</v>
      </c>
      <c r="E11" s="6" t="s">
        <v>155</v>
      </c>
      <c r="F11" s="6" t="s">
        <v>129</v>
      </c>
      <c r="G11" s="4" t="s">
        <v>156</v>
      </c>
      <c r="H11" s="4" t="n">
        <f aca="false">COUNTIF(문항!$D$5:$D$94,A11)</f>
        <v>3</v>
      </c>
      <c r="I11" s="4" t="str">
        <f aca="false">IF(H11=3,"OK","확인")</f>
        <v>OK</v>
      </c>
    </row>
    <row r="12" customFormat="false" ht="25.35" hidden="false" customHeight="false" outlineLevel="0" collapsed="false">
      <c r="A12" s="6" t="s">
        <v>157</v>
      </c>
      <c r="B12" s="4" t="s">
        <v>148</v>
      </c>
      <c r="C12" s="6" t="s">
        <v>158</v>
      </c>
      <c r="D12" s="6" t="s">
        <v>154</v>
      </c>
      <c r="E12" s="6" t="s">
        <v>159</v>
      </c>
      <c r="F12" s="6" t="s">
        <v>129</v>
      </c>
      <c r="G12" s="4" t="s">
        <v>160</v>
      </c>
      <c r="H12" s="4" t="n">
        <f aca="false">COUNTIF(문항!$D$5:$D$94,A12)</f>
        <v>3</v>
      </c>
      <c r="I12" s="4" t="str">
        <f aca="false">IF(H12=3,"OK","확인")</f>
        <v>OK</v>
      </c>
    </row>
    <row r="13" customFormat="false" ht="26.1" hidden="false" customHeight="false" outlineLevel="0" collapsed="false">
      <c r="A13" s="6" t="s">
        <v>161</v>
      </c>
      <c r="B13" s="4" t="s">
        <v>148</v>
      </c>
      <c r="C13" s="6" t="s">
        <v>162</v>
      </c>
      <c r="D13" s="6" t="s">
        <v>127</v>
      </c>
      <c r="E13" s="4" t="s">
        <v>163</v>
      </c>
      <c r="F13" s="6" t="s">
        <v>129</v>
      </c>
      <c r="G13" s="4" t="s">
        <v>164</v>
      </c>
      <c r="H13" s="4" t="n">
        <f aca="false">COUNTIF(문항!$D$5:$D$94,A13)</f>
        <v>3</v>
      </c>
      <c r="I13" s="4" t="str">
        <f aca="false">IF(H13=3,"OK","확인")</f>
        <v>OK</v>
      </c>
    </row>
    <row r="14" customFormat="false" ht="26.85" hidden="false" customHeight="false" outlineLevel="0" collapsed="false">
      <c r="A14" s="6" t="s">
        <v>165</v>
      </c>
      <c r="B14" s="4" t="s">
        <v>148</v>
      </c>
      <c r="C14" s="6" t="s">
        <v>166</v>
      </c>
      <c r="D14" s="6" t="s">
        <v>127</v>
      </c>
      <c r="E14" s="6" t="s">
        <v>167</v>
      </c>
      <c r="F14" s="6" t="s">
        <v>168</v>
      </c>
      <c r="G14" s="4" t="s">
        <v>169</v>
      </c>
      <c r="H14" s="4" t="n">
        <f aca="false">COUNTIF(문항!$D$5:$D$94,A14)</f>
        <v>3</v>
      </c>
      <c r="I14" s="4" t="str">
        <f aca="false">IF(H14=3,"OK","확인")</f>
        <v>OK</v>
      </c>
    </row>
    <row r="15" customFormat="false" ht="26.85" hidden="false" customHeight="false" outlineLevel="0" collapsed="false">
      <c r="A15" s="6" t="s">
        <v>170</v>
      </c>
      <c r="B15" s="4" t="s">
        <v>171</v>
      </c>
      <c r="C15" s="6" t="s">
        <v>172</v>
      </c>
      <c r="D15" s="6" t="s">
        <v>173</v>
      </c>
      <c r="E15" s="4" t="s">
        <v>174</v>
      </c>
      <c r="F15" s="6" t="s">
        <v>129</v>
      </c>
      <c r="G15" s="4" t="s">
        <v>175</v>
      </c>
      <c r="H15" s="4" t="n">
        <f aca="false">COUNTIF(문항!$D$5:$D$94,A15)</f>
        <v>3</v>
      </c>
      <c r="I15" s="4" t="str">
        <f aca="false">IF(H15=3,"OK","확인")</f>
        <v>OK</v>
      </c>
    </row>
    <row r="16" customFormat="false" ht="26.1" hidden="false" customHeight="false" outlineLevel="0" collapsed="false">
      <c r="A16" s="6" t="s">
        <v>176</v>
      </c>
      <c r="B16" s="4" t="s">
        <v>171</v>
      </c>
      <c r="C16" s="6" t="s">
        <v>177</v>
      </c>
      <c r="D16" s="6" t="s">
        <v>127</v>
      </c>
      <c r="E16" s="6" t="s">
        <v>178</v>
      </c>
      <c r="F16" s="6" t="s">
        <v>129</v>
      </c>
      <c r="G16" s="4" t="s">
        <v>179</v>
      </c>
      <c r="H16" s="4" t="n">
        <f aca="false">COUNTIF(문항!$D$5:$D$94,A16)</f>
        <v>3</v>
      </c>
      <c r="I16" s="4" t="str">
        <f aca="false">IF(H16=3,"OK","확인")</f>
        <v>OK</v>
      </c>
    </row>
    <row r="17" customFormat="false" ht="15" hidden="false" customHeight="false" outlineLevel="0" collapsed="false">
      <c r="A17" s="6" t="s">
        <v>180</v>
      </c>
      <c r="B17" s="4" t="s">
        <v>171</v>
      </c>
      <c r="C17" s="6" t="s">
        <v>181</v>
      </c>
      <c r="D17" s="6" t="s">
        <v>127</v>
      </c>
      <c r="E17" s="4" t="s">
        <v>182</v>
      </c>
      <c r="F17" s="6" t="s">
        <v>129</v>
      </c>
      <c r="G17" s="4" t="s">
        <v>183</v>
      </c>
      <c r="H17" s="4" t="n">
        <f aca="false">COUNTIF(문항!$D$5:$D$94,A17)</f>
        <v>3</v>
      </c>
      <c r="I17" s="4" t="str">
        <f aca="false">IF(H17=3,"OK","확인")</f>
        <v>OK</v>
      </c>
    </row>
    <row r="18" customFormat="false" ht="26.1" hidden="false" customHeight="false" outlineLevel="0" collapsed="false">
      <c r="A18" s="6" t="s">
        <v>184</v>
      </c>
      <c r="B18" s="4" t="s">
        <v>171</v>
      </c>
      <c r="C18" s="6" t="s">
        <v>185</v>
      </c>
      <c r="D18" s="6" t="s">
        <v>186</v>
      </c>
      <c r="E18" s="4" t="s">
        <v>187</v>
      </c>
      <c r="F18" s="6" t="s">
        <v>129</v>
      </c>
      <c r="G18" s="4" t="s">
        <v>188</v>
      </c>
      <c r="H18" s="4" t="n">
        <f aca="false">COUNTIF(문항!$D$5:$D$94,A18)</f>
        <v>3</v>
      </c>
      <c r="I18" s="4" t="str">
        <f aca="false">IF(H18=3,"OK","확인")</f>
        <v>OK</v>
      </c>
    </row>
    <row r="19" customFormat="false" ht="26.1" hidden="false" customHeight="false" outlineLevel="0" collapsed="false">
      <c r="A19" s="6" t="s">
        <v>189</v>
      </c>
      <c r="B19" s="4" t="s">
        <v>171</v>
      </c>
      <c r="C19" s="6" t="s">
        <v>190</v>
      </c>
      <c r="D19" s="6" t="s">
        <v>127</v>
      </c>
      <c r="E19" s="6" t="s">
        <v>191</v>
      </c>
      <c r="F19" s="6" t="s">
        <v>168</v>
      </c>
      <c r="G19" s="4" t="s">
        <v>192</v>
      </c>
      <c r="H19" s="4" t="n">
        <f aca="false">COUNTIF(문항!$D$5:$D$94,A19)</f>
        <v>3</v>
      </c>
      <c r="I19" s="4" t="str">
        <f aca="false">IF(H19=3,"OK","확인")</f>
        <v>OK</v>
      </c>
    </row>
    <row r="20" customFormat="false" ht="37.3" hidden="false" customHeight="false" outlineLevel="0" collapsed="false">
      <c r="A20" s="6" t="s">
        <v>193</v>
      </c>
      <c r="B20" s="4" t="s">
        <v>194</v>
      </c>
      <c r="C20" s="6" t="s">
        <v>195</v>
      </c>
      <c r="D20" s="6" t="s">
        <v>127</v>
      </c>
      <c r="E20" s="6" t="s">
        <v>196</v>
      </c>
      <c r="F20" s="6" t="s">
        <v>129</v>
      </c>
      <c r="G20" s="4" t="s">
        <v>197</v>
      </c>
      <c r="H20" s="4" t="n">
        <f aca="false">COUNTIF(문항!$D$5:$D$94,A20)</f>
        <v>3</v>
      </c>
      <c r="I20" s="4" t="str">
        <f aca="false">IF(H20=3,"OK","확인")</f>
        <v>OK</v>
      </c>
    </row>
    <row r="21" customFormat="false" ht="15" hidden="false" customHeight="false" outlineLevel="0" collapsed="false">
      <c r="A21" s="6" t="s">
        <v>198</v>
      </c>
      <c r="B21" s="4" t="s">
        <v>194</v>
      </c>
      <c r="C21" s="6" t="s">
        <v>199</v>
      </c>
      <c r="D21" s="6" t="s">
        <v>127</v>
      </c>
      <c r="E21" s="4" t="s">
        <v>200</v>
      </c>
      <c r="F21" s="6" t="s">
        <v>129</v>
      </c>
      <c r="G21" s="4" t="s">
        <v>201</v>
      </c>
      <c r="H21" s="4" t="n">
        <f aca="false">COUNTIF(문항!$D$5:$D$94,A21)</f>
        <v>3</v>
      </c>
      <c r="I21" s="4" t="str">
        <f aca="false">IF(H21=3,"OK","확인")</f>
        <v>OK</v>
      </c>
    </row>
    <row r="22" customFormat="false" ht="15" hidden="false" customHeight="false" outlineLevel="0" collapsed="false">
      <c r="A22" s="6" t="s">
        <v>202</v>
      </c>
      <c r="B22" s="4" t="s">
        <v>194</v>
      </c>
      <c r="C22" s="6" t="s">
        <v>203</v>
      </c>
      <c r="D22" s="6" t="s">
        <v>127</v>
      </c>
      <c r="E22" s="4" t="s">
        <v>200</v>
      </c>
      <c r="F22" s="6" t="s">
        <v>129</v>
      </c>
      <c r="G22" s="4" t="s">
        <v>204</v>
      </c>
      <c r="H22" s="4" t="n">
        <f aca="false">COUNTIF(문항!$D$5:$D$94,A22)</f>
        <v>3</v>
      </c>
      <c r="I22" s="4" t="str">
        <f aca="false">IF(H22=3,"OK","확인")</f>
        <v>OK</v>
      </c>
    </row>
    <row r="23" customFormat="false" ht="38.05" hidden="false" customHeight="false" outlineLevel="0" collapsed="false">
      <c r="A23" s="6" t="s">
        <v>205</v>
      </c>
      <c r="B23" s="4" t="s">
        <v>194</v>
      </c>
      <c r="C23" s="6" t="s">
        <v>206</v>
      </c>
      <c r="D23" s="6" t="s">
        <v>207</v>
      </c>
      <c r="E23" s="6" t="s">
        <v>208</v>
      </c>
      <c r="F23" s="6" t="s">
        <v>129</v>
      </c>
      <c r="G23" s="4" t="s">
        <v>209</v>
      </c>
      <c r="H23" s="4" t="n">
        <f aca="false">COUNTIF(문항!$D$5:$D$94,A23)</f>
        <v>3</v>
      </c>
      <c r="I23" s="4" t="str">
        <f aca="false">IF(H23=3,"OK","확인")</f>
        <v>OK</v>
      </c>
    </row>
    <row r="24" customFormat="false" ht="25.35" hidden="false" customHeight="false" outlineLevel="0" collapsed="false">
      <c r="A24" s="6" t="s">
        <v>210</v>
      </c>
      <c r="B24" s="4" t="s">
        <v>194</v>
      </c>
      <c r="C24" s="6" t="s">
        <v>211</v>
      </c>
      <c r="D24" s="6" t="s">
        <v>127</v>
      </c>
      <c r="E24" s="6" t="s">
        <v>212</v>
      </c>
      <c r="F24" s="6" t="s">
        <v>129</v>
      </c>
      <c r="G24" s="4" t="s">
        <v>213</v>
      </c>
      <c r="H24" s="4" t="n">
        <f aca="false">COUNTIF(문항!$D$5:$D$94,A24)</f>
        <v>3</v>
      </c>
      <c r="I24" s="4" t="str">
        <f aca="false">IF(H24=3,"OK","확인")</f>
        <v>OK</v>
      </c>
    </row>
    <row r="25" customFormat="false" ht="25.35" hidden="false" customHeight="false" outlineLevel="0" collapsed="false">
      <c r="A25" s="6" t="s">
        <v>214</v>
      </c>
      <c r="B25" s="4" t="s">
        <v>194</v>
      </c>
      <c r="C25" s="6" t="s">
        <v>215</v>
      </c>
      <c r="D25" s="6" t="s">
        <v>216</v>
      </c>
      <c r="E25" s="6" t="s">
        <v>217</v>
      </c>
      <c r="F25" s="6" t="s">
        <v>129</v>
      </c>
      <c r="G25" s="4" t="s">
        <v>218</v>
      </c>
      <c r="H25" s="4" t="n">
        <f aca="false">COUNTIF(문항!$D$5:$D$94,A25)</f>
        <v>3</v>
      </c>
      <c r="I25" s="4" t="str">
        <f aca="false">IF(H25=3,"OK","확인")</f>
        <v>OK</v>
      </c>
    </row>
    <row r="26" customFormat="false" ht="37.3" hidden="false" customHeight="false" outlineLevel="0" collapsed="false">
      <c r="A26" s="6" t="s">
        <v>219</v>
      </c>
      <c r="B26" s="4" t="s">
        <v>220</v>
      </c>
      <c r="C26" s="4" t="s">
        <v>221</v>
      </c>
      <c r="D26" s="6" t="s">
        <v>127</v>
      </c>
      <c r="E26" s="6" t="s">
        <v>222</v>
      </c>
      <c r="F26" s="6" t="s">
        <v>129</v>
      </c>
      <c r="G26" s="4" t="s">
        <v>223</v>
      </c>
      <c r="H26" s="4" t="n">
        <f aca="false">COUNTIF(문항!$D$5:$D$94,A26)</f>
        <v>3</v>
      </c>
      <c r="I26" s="4" t="str">
        <f aca="false">IF(H26=3,"OK","확인")</f>
        <v>OK</v>
      </c>
    </row>
    <row r="27" customFormat="false" ht="25.35" hidden="false" customHeight="false" outlineLevel="0" collapsed="false">
      <c r="A27" s="6" t="s">
        <v>224</v>
      </c>
      <c r="B27" s="4" t="s">
        <v>220</v>
      </c>
      <c r="C27" s="6" t="s">
        <v>225</v>
      </c>
      <c r="D27" s="6" t="s">
        <v>127</v>
      </c>
      <c r="E27" s="6" t="s">
        <v>226</v>
      </c>
      <c r="F27" s="6" t="s">
        <v>129</v>
      </c>
      <c r="G27" s="4" t="s">
        <v>227</v>
      </c>
      <c r="H27" s="4" t="n">
        <f aca="false">COUNTIF(문항!$D$5:$D$94,A27)</f>
        <v>3</v>
      </c>
      <c r="I27" s="4" t="str">
        <f aca="false">IF(H27=3,"OK","확인")</f>
        <v>OK</v>
      </c>
    </row>
    <row r="28" customFormat="false" ht="38.05" hidden="false" customHeight="false" outlineLevel="0" collapsed="false">
      <c r="A28" s="6" t="s">
        <v>228</v>
      </c>
      <c r="B28" s="4" t="s">
        <v>220</v>
      </c>
      <c r="C28" s="6" t="s">
        <v>229</v>
      </c>
      <c r="D28" s="6" t="s">
        <v>154</v>
      </c>
      <c r="E28" s="6" t="s">
        <v>230</v>
      </c>
      <c r="F28" s="6" t="s">
        <v>168</v>
      </c>
      <c r="G28" s="4" t="s">
        <v>231</v>
      </c>
      <c r="H28" s="4" t="n">
        <f aca="false">COUNTIF(문항!$D$5:$D$94,A28)</f>
        <v>3</v>
      </c>
      <c r="I28" s="4" t="str">
        <f aca="false">IF(H28=3,"OK","확인")</f>
        <v>OK</v>
      </c>
    </row>
    <row r="29" customFormat="false" ht="26.85" hidden="false" customHeight="false" outlineLevel="0" collapsed="false">
      <c r="A29" s="6" t="s">
        <v>232</v>
      </c>
      <c r="B29" s="4" t="s">
        <v>220</v>
      </c>
      <c r="C29" s="6" t="s">
        <v>233</v>
      </c>
      <c r="D29" s="6" t="s">
        <v>127</v>
      </c>
      <c r="E29" s="6" t="s">
        <v>234</v>
      </c>
      <c r="F29" s="6" t="s">
        <v>129</v>
      </c>
      <c r="G29" s="4" t="s">
        <v>235</v>
      </c>
      <c r="H29" s="4" t="n">
        <f aca="false">COUNTIF(문항!$D$5:$D$94,A29)</f>
        <v>3</v>
      </c>
      <c r="I29" s="4" t="str">
        <f aca="false">IF(H29=3,"OK","확인")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20"/>
  </cols>
  <sheetData>
    <row r="1" customFormat="false" ht="19.4" hidden="false" customHeight="false" outlineLevel="0" collapsed="false">
      <c r="A1" s="7" t="s">
        <v>236</v>
      </c>
    </row>
    <row r="2" customFormat="false" ht="15" hidden="false" customHeight="false" outlineLevel="0" collapsed="false">
      <c r="A2" s="2" t="s">
        <v>237</v>
      </c>
    </row>
    <row r="4" customFormat="false" ht="26.1" hidden="false" customHeight="false" outlineLevel="0" collapsed="false">
      <c r="A4" s="9" t="s">
        <v>238</v>
      </c>
      <c r="B4" s="9" t="s">
        <v>239</v>
      </c>
      <c r="C4" s="9" t="s">
        <v>240</v>
      </c>
      <c r="D4" s="9" t="s">
        <v>241</v>
      </c>
      <c r="E4" s="9" t="s">
        <v>120</v>
      </c>
      <c r="F4" s="9" t="s">
        <v>242</v>
      </c>
    </row>
    <row r="5" customFormat="false" ht="15" hidden="false" customHeight="false" outlineLevel="0" collapsed="false">
      <c r="A5" s="6" t="s">
        <v>46</v>
      </c>
      <c r="B5" s="6" t="s">
        <v>127</v>
      </c>
      <c r="C5" s="6" t="s">
        <v>49</v>
      </c>
      <c r="D5" s="6" t="s">
        <v>124</v>
      </c>
      <c r="E5" s="6" t="s">
        <v>129</v>
      </c>
      <c r="F5" s="4" t="s">
        <v>243</v>
      </c>
    </row>
    <row r="6" customFormat="false" ht="15" hidden="false" customHeight="false" outlineLevel="0" collapsed="false">
      <c r="A6" s="6" t="s">
        <v>46</v>
      </c>
      <c r="B6" s="6" t="s">
        <v>127</v>
      </c>
      <c r="C6" s="6" t="s">
        <v>52</v>
      </c>
      <c r="D6" s="6" t="s">
        <v>131</v>
      </c>
      <c r="E6" s="6" t="s">
        <v>129</v>
      </c>
      <c r="F6" s="4" t="s">
        <v>243</v>
      </c>
    </row>
    <row r="7" customFormat="false" ht="15" hidden="false" customHeight="false" outlineLevel="0" collapsed="false">
      <c r="A7" s="6" t="s">
        <v>49</v>
      </c>
      <c r="B7" s="6" t="s">
        <v>127</v>
      </c>
      <c r="C7" s="6" t="s">
        <v>52</v>
      </c>
      <c r="D7" s="6" t="s">
        <v>135</v>
      </c>
      <c r="E7" s="6" t="s">
        <v>129</v>
      </c>
      <c r="F7" s="4" t="s">
        <v>243</v>
      </c>
    </row>
    <row r="8" customFormat="false" ht="15" hidden="false" customHeight="false" outlineLevel="0" collapsed="false">
      <c r="A8" s="6" t="s">
        <v>46</v>
      </c>
      <c r="B8" s="6" t="s">
        <v>127</v>
      </c>
      <c r="C8" s="6" t="s">
        <v>79</v>
      </c>
      <c r="D8" s="6" t="s">
        <v>139</v>
      </c>
      <c r="E8" s="6" t="s">
        <v>129</v>
      </c>
      <c r="F8" s="4" t="s">
        <v>243</v>
      </c>
    </row>
    <row r="9" customFormat="false" ht="15" hidden="false" customHeight="false" outlineLevel="0" collapsed="false">
      <c r="A9" s="6" t="s">
        <v>46</v>
      </c>
      <c r="B9" s="6" t="s">
        <v>127</v>
      </c>
      <c r="C9" s="6" t="s">
        <v>76</v>
      </c>
      <c r="D9" s="6" t="s">
        <v>143</v>
      </c>
      <c r="E9" s="6" t="s">
        <v>129</v>
      </c>
      <c r="F9" s="4" t="s">
        <v>243</v>
      </c>
    </row>
    <row r="10" customFormat="false" ht="15" hidden="false" customHeight="false" outlineLevel="0" collapsed="false">
      <c r="A10" s="6" t="s">
        <v>49</v>
      </c>
      <c r="B10" s="6" t="s">
        <v>127</v>
      </c>
      <c r="C10" s="6" t="s">
        <v>55</v>
      </c>
      <c r="D10" s="6" t="s">
        <v>147</v>
      </c>
      <c r="E10" s="6" t="s">
        <v>129</v>
      </c>
      <c r="F10" s="4" t="s">
        <v>243</v>
      </c>
    </row>
    <row r="11" customFormat="false" ht="15" hidden="false" customHeight="false" outlineLevel="0" collapsed="false">
      <c r="A11" s="6" t="s">
        <v>61</v>
      </c>
      <c r="B11" s="6" t="s">
        <v>154</v>
      </c>
      <c r="C11" s="6" t="s">
        <v>55</v>
      </c>
      <c r="D11" s="6" t="s">
        <v>152</v>
      </c>
      <c r="E11" s="6" t="s">
        <v>129</v>
      </c>
      <c r="F11" s="4" t="s">
        <v>243</v>
      </c>
    </row>
    <row r="12" customFormat="false" ht="15" hidden="false" customHeight="false" outlineLevel="0" collapsed="false">
      <c r="A12" s="6" t="s">
        <v>58</v>
      </c>
      <c r="B12" s="6" t="s">
        <v>154</v>
      </c>
      <c r="C12" s="6" t="s">
        <v>55</v>
      </c>
      <c r="D12" s="6" t="s">
        <v>157</v>
      </c>
      <c r="E12" s="6" t="s">
        <v>129</v>
      </c>
      <c r="F12" s="4" t="s">
        <v>243</v>
      </c>
    </row>
    <row r="13" customFormat="false" ht="15" hidden="false" customHeight="false" outlineLevel="0" collapsed="false">
      <c r="A13" s="6" t="s">
        <v>52</v>
      </c>
      <c r="B13" s="6" t="s">
        <v>127</v>
      </c>
      <c r="C13" s="6" t="s">
        <v>58</v>
      </c>
      <c r="D13" s="6" t="s">
        <v>161</v>
      </c>
      <c r="E13" s="6" t="s">
        <v>129</v>
      </c>
      <c r="F13" s="4" t="s">
        <v>243</v>
      </c>
    </row>
    <row r="14" customFormat="false" ht="15" hidden="false" customHeight="false" outlineLevel="0" collapsed="false">
      <c r="A14" s="6" t="s">
        <v>49</v>
      </c>
      <c r="B14" s="6" t="s">
        <v>127</v>
      </c>
      <c r="C14" s="6" t="s">
        <v>104</v>
      </c>
      <c r="D14" s="6" t="s">
        <v>165</v>
      </c>
      <c r="E14" s="6" t="s">
        <v>168</v>
      </c>
      <c r="F14" s="4" t="s">
        <v>243</v>
      </c>
    </row>
    <row r="15" customFormat="false" ht="15" hidden="false" customHeight="false" outlineLevel="0" collapsed="false">
      <c r="A15" s="6" t="s">
        <v>66</v>
      </c>
      <c r="B15" s="6" t="s">
        <v>154</v>
      </c>
      <c r="C15" s="6" t="s">
        <v>58</v>
      </c>
      <c r="D15" s="6" t="s">
        <v>170</v>
      </c>
      <c r="E15" s="6" t="s">
        <v>129</v>
      </c>
      <c r="F15" s="4" t="s">
        <v>243</v>
      </c>
    </row>
    <row r="16" customFormat="false" ht="15" hidden="false" customHeight="false" outlineLevel="0" collapsed="false">
      <c r="A16" s="6" t="s">
        <v>66</v>
      </c>
      <c r="B16" s="6" t="s">
        <v>186</v>
      </c>
      <c r="C16" s="6" t="s">
        <v>58</v>
      </c>
      <c r="D16" s="6" t="s">
        <v>170</v>
      </c>
      <c r="E16" s="6" t="s">
        <v>129</v>
      </c>
      <c r="F16" s="4" t="s">
        <v>243</v>
      </c>
    </row>
    <row r="17" customFormat="false" ht="15" hidden="false" customHeight="false" outlineLevel="0" collapsed="false">
      <c r="A17" s="6" t="s">
        <v>66</v>
      </c>
      <c r="B17" s="6" t="s">
        <v>127</v>
      </c>
      <c r="C17" s="6" t="s">
        <v>93</v>
      </c>
      <c r="D17" s="6" t="s">
        <v>176</v>
      </c>
      <c r="E17" s="6" t="s">
        <v>129</v>
      </c>
      <c r="F17" s="4" t="s">
        <v>243</v>
      </c>
    </row>
    <row r="18" customFormat="false" ht="15" hidden="false" customHeight="false" outlineLevel="0" collapsed="false">
      <c r="A18" s="6" t="s">
        <v>66</v>
      </c>
      <c r="B18" s="6" t="s">
        <v>127</v>
      </c>
      <c r="C18" s="6" t="s">
        <v>96</v>
      </c>
      <c r="D18" s="6" t="s">
        <v>180</v>
      </c>
      <c r="E18" s="6" t="s">
        <v>129</v>
      </c>
      <c r="F18" s="4" t="s">
        <v>243</v>
      </c>
    </row>
    <row r="19" customFormat="false" ht="15" hidden="false" customHeight="false" outlineLevel="0" collapsed="false">
      <c r="A19" s="6" t="s">
        <v>58</v>
      </c>
      <c r="B19" s="6" t="s">
        <v>127</v>
      </c>
      <c r="C19" s="6" t="s">
        <v>70</v>
      </c>
      <c r="D19" s="6" t="s">
        <v>184</v>
      </c>
      <c r="E19" s="6" t="s">
        <v>129</v>
      </c>
      <c r="F19" s="4" t="s">
        <v>243</v>
      </c>
    </row>
    <row r="20" customFormat="false" ht="15" hidden="false" customHeight="false" outlineLevel="0" collapsed="false">
      <c r="A20" s="6" t="s">
        <v>70</v>
      </c>
      <c r="B20" s="6" t="s">
        <v>186</v>
      </c>
      <c r="C20" s="6" t="s">
        <v>58</v>
      </c>
      <c r="D20" s="6" t="s">
        <v>184</v>
      </c>
      <c r="E20" s="6" t="s">
        <v>129</v>
      </c>
      <c r="F20" s="4" t="s">
        <v>243</v>
      </c>
    </row>
    <row r="21" customFormat="false" ht="15" hidden="false" customHeight="false" outlineLevel="0" collapsed="false">
      <c r="A21" s="6" t="s">
        <v>58</v>
      </c>
      <c r="B21" s="6" t="s">
        <v>127</v>
      </c>
      <c r="C21" s="6" t="s">
        <v>73</v>
      </c>
      <c r="D21" s="6" t="s">
        <v>189</v>
      </c>
      <c r="E21" s="6" t="s">
        <v>168</v>
      </c>
      <c r="F21" s="4" t="s">
        <v>243</v>
      </c>
    </row>
    <row r="22" customFormat="false" ht="15" hidden="false" customHeight="false" outlineLevel="0" collapsed="false">
      <c r="A22" s="6" t="s">
        <v>70</v>
      </c>
      <c r="B22" s="6" t="s">
        <v>127</v>
      </c>
      <c r="C22" s="6" t="s">
        <v>73</v>
      </c>
      <c r="D22" s="6" t="s">
        <v>189</v>
      </c>
      <c r="E22" s="6" t="s">
        <v>168</v>
      </c>
      <c r="F22" s="4" t="s">
        <v>243</v>
      </c>
    </row>
    <row r="23" customFormat="false" ht="15" hidden="false" customHeight="false" outlineLevel="0" collapsed="false">
      <c r="A23" s="6" t="s">
        <v>83</v>
      </c>
      <c r="B23" s="6" t="s">
        <v>127</v>
      </c>
      <c r="C23" s="6" t="s">
        <v>86</v>
      </c>
      <c r="D23" s="6" t="s">
        <v>193</v>
      </c>
      <c r="E23" s="6" t="s">
        <v>129</v>
      </c>
      <c r="F23" s="4" t="s">
        <v>243</v>
      </c>
    </row>
    <row r="24" customFormat="false" ht="15" hidden="false" customHeight="false" outlineLevel="0" collapsed="false">
      <c r="A24" s="6" t="s">
        <v>79</v>
      </c>
      <c r="B24" s="6" t="s">
        <v>127</v>
      </c>
      <c r="C24" s="6" t="s">
        <v>86</v>
      </c>
      <c r="D24" s="6" t="s">
        <v>198</v>
      </c>
      <c r="E24" s="6" t="s">
        <v>129</v>
      </c>
      <c r="F24" s="4" t="s">
        <v>243</v>
      </c>
    </row>
    <row r="25" customFormat="false" ht="15" hidden="false" customHeight="false" outlineLevel="0" collapsed="false">
      <c r="A25" s="6" t="s">
        <v>76</v>
      </c>
      <c r="B25" s="6" t="s">
        <v>127</v>
      </c>
      <c r="C25" s="6" t="s">
        <v>86</v>
      </c>
      <c r="D25" s="6" t="s">
        <v>202</v>
      </c>
      <c r="E25" s="6" t="s">
        <v>129</v>
      </c>
      <c r="F25" s="4" t="s">
        <v>243</v>
      </c>
    </row>
    <row r="26" customFormat="false" ht="15" hidden="false" customHeight="false" outlineLevel="0" collapsed="false">
      <c r="A26" s="6" t="s">
        <v>90</v>
      </c>
      <c r="B26" s="6" t="s">
        <v>244</v>
      </c>
      <c r="C26" s="6" t="s">
        <v>52</v>
      </c>
      <c r="D26" s="6" t="s">
        <v>205</v>
      </c>
      <c r="E26" s="6" t="s">
        <v>129</v>
      </c>
      <c r="F26" s="4" t="s">
        <v>243</v>
      </c>
    </row>
    <row r="27" customFormat="false" ht="15" hidden="false" customHeight="false" outlineLevel="0" collapsed="false">
      <c r="A27" s="6" t="s">
        <v>52</v>
      </c>
      <c r="B27" s="6" t="s">
        <v>127</v>
      </c>
      <c r="C27" s="6" t="s">
        <v>90</v>
      </c>
      <c r="D27" s="6" t="s">
        <v>205</v>
      </c>
      <c r="E27" s="6" t="s">
        <v>129</v>
      </c>
      <c r="F27" s="4" t="s">
        <v>243</v>
      </c>
    </row>
    <row r="28" customFormat="false" ht="15" hidden="false" customHeight="false" outlineLevel="0" collapsed="false">
      <c r="A28" s="6" t="s">
        <v>90</v>
      </c>
      <c r="B28" s="6" t="s">
        <v>127</v>
      </c>
      <c r="C28" s="6" t="s">
        <v>100</v>
      </c>
      <c r="D28" s="6" t="s">
        <v>210</v>
      </c>
      <c r="E28" s="6" t="s">
        <v>129</v>
      </c>
      <c r="F28" s="4" t="s">
        <v>243</v>
      </c>
    </row>
    <row r="29" customFormat="false" ht="15" hidden="false" customHeight="false" outlineLevel="0" collapsed="false">
      <c r="A29" s="6" t="s">
        <v>66</v>
      </c>
      <c r="B29" s="6" t="s">
        <v>244</v>
      </c>
      <c r="C29" s="6" t="s">
        <v>90</v>
      </c>
      <c r="D29" s="6" t="s">
        <v>214</v>
      </c>
      <c r="E29" s="6" t="s">
        <v>129</v>
      </c>
      <c r="F29" s="4" t="s">
        <v>243</v>
      </c>
    </row>
    <row r="30" customFormat="false" ht="15" hidden="false" customHeight="false" outlineLevel="0" collapsed="false">
      <c r="A30" s="6" t="s">
        <v>70</v>
      </c>
      <c r="B30" s="6" t="s">
        <v>244</v>
      </c>
      <c r="C30" s="6" t="s">
        <v>90</v>
      </c>
      <c r="D30" s="6" t="s">
        <v>214</v>
      </c>
      <c r="E30" s="6" t="s">
        <v>129</v>
      </c>
      <c r="F30" s="4" t="s">
        <v>243</v>
      </c>
    </row>
    <row r="31" customFormat="false" ht="15" hidden="false" customHeight="false" outlineLevel="0" collapsed="false">
      <c r="A31" s="6" t="s">
        <v>90</v>
      </c>
      <c r="B31" s="6" t="s">
        <v>186</v>
      </c>
      <c r="C31" s="6" t="s">
        <v>66</v>
      </c>
      <c r="D31" s="6" t="s">
        <v>214</v>
      </c>
      <c r="E31" s="6" t="s">
        <v>129</v>
      </c>
      <c r="F31" s="4" t="s">
        <v>243</v>
      </c>
    </row>
    <row r="32" customFormat="false" ht="15" hidden="false" customHeight="false" outlineLevel="0" collapsed="false">
      <c r="A32" s="6" t="s">
        <v>90</v>
      </c>
      <c r="B32" s="6" t="s">
        <v>186</v>
      </c>
      <c r="C32" s="6" t="s">
        <v>70</v>
      </c>
      <c r="D32" s="6" t="s">
        <v>214</v>
      </c>
      <c r="E32" s="6" t="s">
        <v>129</v>
      </c>
      <c r="F32" s="4" t="s">
        <v>243</v>
      </c>
    </row>
    <row r="33" customFormat="false" ht="15" hidden="false" customHeight="false" outlineLevel="0" collapsed="false">
      <c r="A33" s="6" t="s">
        <v>245</v>
      </c>
      <c r="B33" s="6" t="s">
        <v>127</v>
      </c>
      <c r="C33" s="6" t="s">
        <v>107</v>
      </c>
      <c r="D33" s="6" t="s">
        <v>219</v>
      </c>
      <c r="E33" s="6" t="s">
        <v>129</v>
      </c>
      <c r="F33" s="4" t="s">
        <v>243</v>
      </c>
    </row>
    <row r="34" customFormat="false" ht="15" hidden="false" customHeight="false" outlineLevel="0" collapsed="false">
      <c r="A34" s="6" t="s">
        <v>107</v>
      </c>
      <c r="B34" s="6" t="s">
        <v>127</v>
      </c>
      <c r="C34" s="6" t="s">
        <v>35</v>
      </c>
      <c r="D34" s="6" t="s">
        <v>224</v>
      </c>
      <c r="E34" s="6" t="s">
        <v>129</v>
      </c>
      <c r="F34" s="4" t="s">
        <v>243</v>
      </c>
    </row>
    <row r="35" customFormat="false" ht="15" hidden="false" customHeight="false" outlineLevel="0" collapsed="false">
      <c r="A35" s="6" t="s">
        <v>40</v>
      </c>
      <c r="B35" s="6" t="s">
        <v>154</v>
      </c>
      <c r="C35" s="6" t="s">
        <v>35</v>
      </c>
      <c r="D35" s="6" t="s">
        <v>228</v>
      </c>
      <c r="E35" s="6" t="s">
        <v>168</v>
      </c>
      <c r="F35" s="4" t="s">
        <v>243</v>
      </c>
    </row>
    <row r="36" customFormat="false" ht="15" hidden="false" customHeight="false" outlineLevel="0" collapsed="false">
      <c r="A36" s="6" t="s">
        <v>104</v>
      </c>
      <c r="B36" s="6" t="s">
        <v>127</v>
      </c>
      <c r="C36" s="6" t="s">
        <v>245</v>
      </c>
      <c r="D36" s="6" t="s">
        <v>232</v>
      </c>
      <c r="E36" s="6" t="s">
        <v>129</v>
      </c>
      <c r="F36" s="4" t="s">
        <v>243</v>
      </c>
    </row>
    <row r="37" customFormat="false" ht="15" hidden="false" customHeight="false" outlineLevel="0" collapsed="false">
      <c r="A37" s="6" t="s">
        <v>104</v>
      </c>
      <c r="B37" s="6" t="s">
        <v>127</v>
      </c>
      <c r="C37" s="6" t="s">
        <v>110</v>
      </c>
      <c r="D37" s="6" t="s">
        <v>232</v>
      </c>
      <c r="E37" s="6" t="s">
        <v>129</v>
      </c>
      <c r="F37" s="4" t="s">
        <v>243</v>
      </c>
    </row>
    <row r="38" customFormat="false" ht="15" hidden="false" customHeight="false" outlineLevel="0" collapsed="false">
      <c r="A38" s="6" t="s">
        <v>246</v>
      </c>
      <c r="B38" s="6" t="s">
        <v>247</v>
      </c>
      <c r="C38" s="6" t="s">
        <v>248</v>
      </c>
      <c r="D38" s="6" t="s">
        <v>124</v>
      </c>
      <c r="E38" s="6" t="s">
        <v>129</v>
      </c>
      <c r="F38" s="6" t="s">
        <v>249</v>
      </c>
    </row>
    <row r="39" customFormat="false" ht="15" hidden="false" customHeight="false" outlineLevel="0" collapsed="false">
      <c r="A39" s="6" t="s">
        <v>246</v>
      </c>
      <c r="B39" s="6" t="s">
        <v>250</v>
      </c>
      <c r="C39" s="6" t="s">
        <v>46</v>
      </c>
      <c r="D39" s="6" t="s">
        <v>124</v>
      </c>
      <c r="E39" s="6" t="s">
        <v>129</v>
      </c>
      <c r="F39" s="6" t="s">
        <v>249</v>
      </c>
    </row>
    <row r="40" customFormat="false" ht="15" hidden="false" customHeight="false" outlineLevel="0" collapsed="false">
      <c r="A40" s="6" t="s">
        <v>246</v>
      </c>
      <c r="B40" s="6" t="s">
        <v>251</v>
      </c>
      <c r="C40" s="6" t="s">
        <v>49</v>
      </c>
      <c r="D40" s="6" t="s">
        <v>124</v>
      </c>
      <c r="E40" s="6" t="s">
        <v>129</v>
      </c>
      <c r="F40" s="6" t="s">
        <v>249</v>
      </c>
    </row>
    <row r="41" customFormat="false" ht="15" hidden="false" customHeight="false" outlineLevel="0" collapsed="false">
      <c r="A41" s="6" t="s">
        <v>246</v>
      </c>
      <c r="B41" s="6" t="s">
        <v>252</v>
      </c>
      <c r="C41" s="6" t="s">
        <v>253</v>
      </c>
      <c r="D41" s="6" t="s">
        <v>124</v>
      </c>
      <c r="E41" s="6" t="s">
        <v>129</v>
      </c>
      <c r="F41" s="6" t="s">
        <v>249</v>
      </c>
    </row>
    <row r="42" customFormat="false" ht="15" hidden="false" customHeight="false" outlineLevel="0" collapsed="false">
      <c r="A42" s="6" t="s">
        <v>246</v>
      </c>
      <c r="B42" s="6" t="s">
        <v>254</v>
      </c>
      <c r="C42" s="6" t="s">
        <v>255</v>
      </c>
      <c r="D42" s="6" t="s">
        <v>124</v>
      </c>
      <c r="E42" s="6" t="s">
        <v>129</v>
      </c>
      <c r="F42" s="6" t="s">
        <v>249</v>
      </c>
    </row>
    <row r="43" customFormat="false" ht="15" hidden="false" customHeight="false" outlineLevel="0" collapsed="false">
      <c r="A43" s="6" t="s">
        <v>246</v>
      </c>
      <c r="B43" s="6" t="s">
        <v>256</v>
      </c>
      <c r="C43" s="6" t="s">
        <v>257</v>
      </c>
      <c r="D43" s="6" t="s">
        <v>124</v>
      </c>
      <c r="E43" s="6" t="s">
        <v>129</v>
      </c>
      <c r="F43" s="6" t="s">
        <v>249</v>
      </c>
    </row>
    <row r="44" customFormat="false" ht="15" hidden="false" customHeight="false" outlineLevel="0" collapsed="false">
      <c r="A44" s="6" t="s">
        <v>258</v>
      </c>
      <c r="B44" s="6" t="s">
        <v>247</v>
      </c>
      <c r="C44" s="6" t="s">
        <v>248</v>
      </c>
      <c r="D44" s="6" t="s">
        <v>131</v>
      </c>
      <c r="E44" s="6" t="s">
        <v>129</v>
      </c>
      <c r="F44" s="6" t="s">
        <v>249</v>
      </c>
    </row>
    <row r="45" customFormat="false" ht="15" hidden="false" customHeight="false" outlineLevel="0" collapsed="false">
      <c r="A45" s="6" t="s">
        <v>258</v>
      </c>
      <c r="B45" s="6" t="s">
        <v>250</v>
      </c>
      <c r="C45" s="6" t="s">
        <v>46</v>
      </c>
      <c r="D45" s="6" t="s">
        <v>131</v>
      </c>
      <c r="E45" s="6" t="s">
        <v>129</v>
      </c>
      <c r="F45" s="6" t="s">
        <v>249</v>
      </c>
    </row>
    <row r="46" customFormat="false" ht="15" hidden="false" customHeight="false" outlineLevel="0" collapsed="false">
      <c r="A46" s="6" t="s">
        <v>258</v>
      </c>
      <c r="B46" s="6" t="s">
        <v>251</v>
      </c>
      <c r="C46" s="6" t="s">
        <v>52</v>
      </c>
      <c r="D46" s="6" t="s">
        <v>131</v>
      </c>
      <c r="E46" s="6" t="s">
        <v>129</v>
      </c>
      <c r="F46" s="6" t="s">
        <v>249</v>
      </c>
    </row>
    <row r="47" customFormat="false" ht="15" hidden="false" customHeight="false" outlineLevel="0" collapsed="false">
      <c r="A47" s="6" t="s">
        <v>258</v>
      </c>
      <c r="B47" s="6" t="s">
        <v>252</v>
      </c>
      <c r="C47" s="6" t="s">
        <v>259</v>
      </c>
      <c r="D47" s="6" t="s">
        <v>131</v>
      </c>
      <c r="E47" s="6" t="s">
        <v>129</v>
      </c>
      <c r="F47" s="6" t="s">
        <v>249</v>
      </c>
    </row>
    <row r="48" customFormat="false" ht="15" hidden="false" customHeight="false" outlineLevel="0" collapsed="false">
      <c r="A48" s="6" t="s">
        <v>258</v>
      </c>
      <c r="B48" s="6" t="s">
        <v>254</v>
      </c>
      <c r="C48" s="6" t="s">
        <v>260</v>
      </c>
      <c r="D48" s="6" t="s">
        <v>131</v>
      </c>
      <c r="E48" s="6" t="s">
        <v>129</v>
      </c>
      <c r="F48" s="6" t="s">
        <v>249</v>
      </c>
    </row>
    <row r="49" customFormat="false" ht="15" hidden="false" customHeight="false" outlineLevel="0" collapsed="false">
      <c r="A49" s="6" t="s">
        <v>258</v>
      </c>
      <c r="B49" s="6" t="s">
        <v>256</v>
      </c>
      <c r="C49" s="6" t="s">
        <v>261</v>
      </c>
      <c r="D49" s="6" t="s">
        <v>131</v>
      </c>
      <c r="E49" s="6" t="s">
        <v>129</v>
      </c>
      <c r="F49" s="6" t="s">
        <v>249</v>
      </c>
    </row>
    <row r="50" customFormat="false" ht="15" hidden="false" customHeight="false" outlineLevel="0" collapsed="false">
      <c r="A50" s="6" t="s">
        <v>262</v>
      </c>
      <c r="B50" s="6" t="s">
        <v>247</v>
      </c>
      <c r="C50" s="6" t="s">
        <v>248</v>
      </c>
      <c r="D50" s="6" t="s">
        <v>135</v>
      </c>
      <c r="E50" s="6" t="s">
        <v>129</v>
      </c>
      <c r="F50" s="6" t="s">
        <v>249</v>
      </c>
    </row>
    <row r="51" customFormat="false" ht="15" hidden="false" customHeight="false" outlineLevel="0" collapsed="false">
      <c r="A51" s="6" t="s">
        <v>262</v>
      </c>
      <c r="B51" s="6" t="s">
        <v>250</v>
      </c>
      <c r="C51" s="6" t="s">
        <v>49</v>
      </c>
      <c r="D51" s="6" t="s">
        <v>135</v>
      </c>
      <c r="E51" s="6" t="s">
        <v>129</v>
      </c>
      <c r="F51" s="6" t="s">
        <v>249</v>
      </c>
    </row>
    <row r="52" customFormat="false" ht="15" hidden="false" customHeight="false" outlineLevel="0" collapsed="false">
      <c r="A52" s="6" t="s">
        <v>262</v>
      </c>
      <c r="B52" s="6" t="s">
        <v>251</v>
      </c>
      <c r="C52" s="6" t="s">
        <v>52</v>
      </c>
      <c r="D52" s="6" t="s">
        <v>135</v>
      </c>
      <c r="E52" s="6" t="s">
        <v>129</v>
      </c>
      <c r="F52" s="6" t="s">
        <v>249</v>
      </c>
    </row>
    <row r="53" customFormat="false" ht="15" hidden="false" customHeight="false" outlineLevel="0" collapsed="false">
      <c r="A53" s="6" t="s">
        <v>262</v>
      </c>
      <c r="B53" s="6" t="s">
        <v>252</v>
      </c>
      <c r="C53" s="6" t="s">
        <v>263</v>
      </c>
      <c r="D53" s="6" t="s">
        <v>135</v>
      </c>
      <c r="E53" s="6" t="s">
        <v>129</v>
      </c>
      <c r="F53" s="6" t="s">
        <v>249</v>
      </c>
    </row>
    <row r="54" customFormat="false" ht="15" hidden="false" customHeight="false" outlineLevel="0" collapsed="false">
      <c r="A54" s="6" t="s">
        <v>262</v>
      </c>
      <c r="B54" s="6" t="s">
        <v>254</v>
      </c>
      <c r="C54" s="6" t="s">
        <v>264</v>
      </c>
      <c r="D54" s="6" t="s">
        <v>135</v>
      </c>
      <c r="E54" s="6" t="s">
        <v>129</v>
      </c>
      <c r="F54" s="6" t="s">
        <v>249</v>
      </c>
    </row>
    <row r="55" customFormat="false" ht="15" hidden="false" customHeight="false" outlineLevel="0" collapsed="false">
      <c r="A55" s="6" t="s">
        <v>262</v>
      </c>
      <c r="B55" s="6" t="s">
        <v>256</v>
      </c>
      <c r="C55" s="6" t="s">
        <v>265</v>
      </c>
      <c r="D55" s="6" t="s">
        <v>135</v>
      </c>
      <c r="E55" s="6" t="s">
        <v>129</v>
      </c>
      <c r="F55" s="6" t="s">
        <v>249</v>
      </c>
    </row>
    <row r="56" customFormat="false" ht="15" hidden="false" customHeight="false" outlineLevel="0" collapsed="false">
      <c r="A56" s="6" t="s">
        <v>266</v>
      </c>
      <c r="B56" s="6" t="s">
        <v>247</v>
      </c>
      <c r="C56" s="6" t="s">
        <v>248</v>
      </c>
      <c r="D56" s="6" t="s">
        <v>139</v>
      </c>
      <c r="E56" s="6" t="s">
        <v>129</v>
      </c>
      <c r="F56" s="6" t="s">
        <v>249</v>
      </c>
    </row>
    <row r="57" customFormat="false" ht="15" hidden="false" customHeight="false" outlineLevel="0" collapsed="false">
      <c r="A57" s="6" t="s">
        <v>266</v>
      </c>
      <c r="B57" s="6" t="s">
        <v>250</v>
      </c>
      <c r="C57" s="6" t="s">
        <v>46</v>
      </c>
      <c r="D57" s="6" t="s">
        <v>139</v>
      </c>
      <c r="E57" s="6" t="s">
        <v>129</v>
      </c>
      <c r="F57" s="6" t="s">
        <v>249</v>
      </c>
    </row>
    <row r="58" customFormat="false" ht="15" hidden="false" customHeight="false" outlineLevel="0" collapsed="false">
      <c r="A58" s="6" t="s">
        <v>266</v>
      </c>
      <c r="B58" s="6" t="s">
        <v>251</v>
      </c>
      <c r="C58" s="6" t="s">
        <v>79</v>
      </c>
      <c r="D58" s="6" t="s">
        <v>139</v>
      </c>
      <c r="E58" s="6" t="s">
        <v>129</v>
      </c>
      <c r="F58" s="6" t="s">
        <v>249</v>
      </c>
    </row>
    <row r="59" customFormat="false" ht="15" hidden="false" customHeight="false" outlineLevel="0" collapsed="false">
      <c r="A59" s="6" t="s">
        <v>266</v>
      </c>
      <c r="B59" s="6" t="s">
        <v>252</v>
      </c>
      <c r="C59" s="6" t="s">
        <v>267</v>
      </c>
      <c r="D59" s="6" t="s">
        <v>139</v>
      </c>
      <c r="E59" s="6" t="s">
        <v>129</v>
      </c>
      <c r="F59" s="6" t="s">
        <v>249</v>
      </c>
    </row>
    <row r="60" customFormat="false" ht="15" hidden="false" customHeight="false" outlineLevel="0" collapsed="false">
      <c r="A60" s="6" t="s">
        <v>266</v>
      </c>
      <c r="B60" s="6" t="s">
        <v>254</v>
      </c>
      <c r="C60" s="6" t="s">
        <v>268</v>
      </c>
      <c r="D60" s="6" t="s">
        <v>139</v>
      </c>
      <c r="E60" s="6" t="s">
        <v>129</v>
      </c>
      <c r="F60" s="6" t="s">
        <v>249</v>
      </c>
    </row>
    <row r="61" customFormat="false" ht="15" hidden="false" customHeight="false" outlineLevel="0" collapsed="false">
      <c r="A61" s="6" t="s">
        <v>266</v>
      </c>
      <c r="B61" s="6" t="s">
        <v>256</v>
      </c>
      <c r="C61" s="6" t="s">
        <v>269</v>
      </c>
      <c r="D61" s="6" t="s">
        <v>139</v>
      </c>
      <c r="E61" s="6" t="s">
        <v>129</v>
      </c>
      <c r="F61" s="6" t="s">
        <v>249</v>
      </c>
    </row>
    <row r="62" customFormat="false" ht="15" hidden="false" customHeight="false" outlineLevel="0" collapsed="false">
      <c r="A62" s="6" t="s">
        <v>270</v>
      </c>
      <c r="B62" s="6" t="s">
        <v>247</v>
      </c>
      <c r="C62" s="6" t="s">
        <v>248</v>
      </c>
      <c r="D62" s="6" t="s">
        <v>143</v>
      </c>
      <c r="E62" s="6" t="s">
        <v>129</v>
      </c>
      <c r="F62" s="6" t="s">
        <v>249</v>
      </c>
    </row>
    <row r="63" customFormat="false" ht="15" hidden="false" customHeight="false" outlineLevel="0" collapsed="false">
      <c r="A63" s="6" t="s">
        <v>270</v>
      </c>
      <c r="B63" s="6" t="s">
        <v>250</v>
      </c>
      <c r="C63" s="6" t="s">
        <v>46</v>
      </c>
      <c r="D63" s="6" t="s">
        <v>143</v>
      </c>
      <c r="E63" s="6" t="s">
        <v>129</v>
      </c>
      <c r="F63" s="6" t="s">
        <v>249</v>
      </c>
    </row>
    <row r="64" customFormat="false" ht="15" hidden="false" customHeight="false" outlineLevel="0" collapsed="false">
      <c r="A64" s="6" t="s">
        <v>270</v>
      </c>
      <c r="B64" s="6" t="s">
        <v>251</v>
      </c>
      <c r="C64" s="6" t="s">
        <v>76</v>
      </c>
      <c r="D64" s="6" t="s">
        <v>143</v>
      </c>
      <c r="E64" s="6" t="s">
        <v>129</v>
      </c>
      <c r="F64" s="6" t="s">
        <v>249</v>
      </c>
    </row>
    <row r="65" customFormat="false" ht="15" hidden="false" customHeight="false" outlineLevel="0" collapsed="false">
      <c r="A65" s="6" t="s">
        <v>270</v>
      </c>
      <c r="B65" s="6" t="s">
        <v>252</v>
      </c>
      <c r="C65" s="6" t="s">
        <v>271</v>
      </c>
      <c r="D65" s="6" t="s">
        <v>143</v>
      </c>
      <c r="E65" s="6" t="s">
        <v>129</v>
      </c>
      <c r="F65" s="6" t="s">
        <v>249</v>
      </c>
    </row>
    <row r="66" customFormat="false" ht="15" hidden="false" customHeight="false" outlineLevel="0" collapsed="false">
      <c r="A66" s="6" t="s">
        <v>270</v>
      </c>
      <c r="B66" s="6" t="s">
        <v>254</v>
      </c>
      <c r="C66" s="6" t="s">
        <v>272</v>
      </c>
      <c r="D66" s="6" t="s">
        <v>143</v>
      </c>
      <c r="E66" s="6" t="s">
        <v>129</v>
      </c>
      <c r="F66" s="6" t="s">
        <v>249</v>
      </c>
    </row>
    <row r="67" customFormat="false" ht="15" hidden="false" customHeight="false" outlineLevel="0" collapsed="false">
      <c r="A67" s="6" t="s">
        <v>270</v>
      </c>
      <c r="B67" s="6" t="s">
        <v>256</v>
      </c>
      <c r="C67" s="6" t="s">
        <v>273</v>
      </c>
      <c r="D67" s="6" t="s">
        <v>143</v>
      </c>
      <c r="E67" s="6" t="s">
        <v>129</v>
      </c>
      <c r="F67" s="6" t="s">
        <v>249</v>
      </c>
    </row>
    <row r="68" customFormat="false" ht="15" hidden="false" customHeight="false" outlineLevel="0" collapsed="false">
      <c r="A68" s="6" t="s">
        <v>274</v>
      </c>
      <c r="B68" s="6" t="s">
        <v>247</v>
      </c>
      <c r="C68" s="6" t="s">
        <v>248</v>
      </c>
      <c r="D68" s="6" t="s">
        <v>147</v>
      </c>
      <c r="E68" s="6" t="s">
        <v>129</v>
      </c>
      <c r="F68" s="6" t="s">
        <v>249</v>
      </c>
    </row>
    <row r="69" customFormat="false" ht="15" hidden="false" customHeight="false" outlineLevel="0" collapsed="false">
      <c r="A69" s="6" t="s">
        <v>274</v>
      </c>
      <c r="B69" s="6" t="s">
        <v>250</v>
      </c>
      <c r="C69" s="6" t="s">
        <v>49</v>
      </c>
      <c r="D69" s="6" t="s">
        <v>147</v>
      </c>
      <c r="E69" s="6" t="s">
        <v>129</v>
      </c>
      <c r="F69" s="6" t="s">
        <v>249</v>
      </c>
    </row>
    <row r="70" customFormat="false" ht="15" hidden="false" customHeight="false" outlineLevel="0" collapsed="false">
      <c r="A70" s="6" t="s">
        <v>274</v>
      </c>
      <c r="B70" s="6" t="s">
        <v>251</v>
      </c>
      <c r="C70" s="6" t="s">
        <v>55</v>
      </c>
      <c r="D70" s="6" t="s">
        <v>147</v>
      </c>
      <c r="E70" s="6" t="s">
        <v>129</v>
      </c>
      <c r="F70" s="6" t="s">
        <v>249</v>
      </c>
    </row>
    <row r="71" customFormat="false" ht="15" hidden="false" customHeight="false" outlineLevel="0" collapsed="false">
      <c r="A71" s="6" t="s">
        <v>274</v>
      </c>
      <c r="B71" s="6" t="s">
        <v>252</v>
      </c>
      <c r="C71" s="6" t="s">
        <v>275</v>
      </c>
      <c r="D71" s="6" t="s">
        <v>147</v>
      </c>
      <c r="E71" s="6" t="s">
        <v>129</v>
      </c>
      <c r="F71" s="6" t="s">
        <v>249</v>
      </c>
    </row>
    <row r="72" customFormat="false" ht="15" hidden="false" customHeight="false" outlineLevel="0" collapsed="false">
      <c r="A72" s="6" t="s">
        <v>274</v>
      </c>
      <c r="B72" s="6" t="s">
        <v>254</v>
      </c>
      <c r="C72" s="6" t="s">
        <v>276</v>
      </c>
      <c r="D72" s="6" t="s">
        <v>147</v>
      </c>
      <c r="E72" s="6" t="s">
        <v>129</v>
      </c>
      <c r="F72" s="6" t="s">
        <v>249</v>
      </c>
    </row>
    <row r="73" customFormat="false" ht="15" hidden="false" customHeight="false" outlineLevel="0" collapsed="false">
      <c r="A73" s="6" t="s">
        <v>274</v>
      </c>
      <c r="B73" s="6" t="s">
        <v>256</v>
      </c>
      <c r="C73" s="6" t="s">
        <v>277</v>
      </c>
      <c r="D73" s="6" t="s">
        <v>147</v>
      </c>
      <c r="E73" s="6" t="s">
        <v>129</v>
      </c>
      <c r="F73" s="6" t="s">
        <v>249</v>
      </c>
    </row>
    <row r="74" customFormat="false" ht="15" hidden="false" customHeight="false" outlineLevel="0" collapsed="false">
      <c r="A74" s="6" t="s">
        <v>278</v>
      </c>
      <c r="B74" s="6" t="s">
        <v>247</v>
      </c>
      <c r="C74" s="6" t="s">
        <v>248</v>
      </c>
      <c r="D74" s="6" t="s">
        <v>152</v>
      </c>
      <c r="E74" s="6" t="s">
        <v>129</v>
      </c>
      <c r="F74" s="6" t="s">
        <v>249</v>
      </c>
    </row>
    <row r="75" customFormat="false" ht="15" hidden="false" customHeight="false" outlineLevel="0" collapsed="false">
      <c r="A75" s="6" t="s">
        <v>278</v>
      </c>
      <c r="B75" s="6" t="s">
        <v>250</v>
      </c>
      <c r="C75" s="6" t="s">
        <v>55</v>
      </c>
      <c r="D75" s="6" t="s">
        <v>152</v>
      </c>
      <c r="E75" s="6" t="s">
        <v>129</v>
      </c>
      <c r="F75" s="6" t="s">
        <v>249</v>
      </c>
    </row>
    <row r="76" customFormat="false" ht="15" hidden="false" customHeight="false" outlineLevel="0" collapsed="false">
      <c r="A76" s="6" t="s">
        <v>278</v>
      </c>
      <c r="B76" s="6" t="s">
        <v>251</v>
      </c>
      <c r="C76" s="6" t="s">
        <v>61</v>
      </c>
      <c r="D76" s="6" t="s">
        <v>152</v>
      </c>
      <c r="E76" s="6" t="s">
        <v>129</v>
      </c>
      <c r="F76" s="6" t="s">
        <v>249</v>
      </c>
    </row>
    <row r="77" customFormat="false" ht="15" hidden="false" customHeight="false" outlineLevel="0" collapsed="false">
      <c r="A77" s="6" t="s">
        <v>278</v>
      </c>
      <c r="B77" s="6" t="s">
        <v>252</v>
      </c>
      <c r="C77" s="6" t="s">
        <v>279</v>
      </c>
      <c r="D77" s="6" t="s">
        <v>152</v>
      </c>
      <c r="E77" s="6" t="s">
        <v>129</v>
      </c>
      <c r="F77" s="6" t="s">
        <v>249</v>
      </c>
    </row>
    <row r="78" customFormat="false" ht="15" hidden="false" customHeight="false" outlineLevel="0" collapsed="false">
      <c r="A78" s="6" t="s">
        <v>278</v>
      </c>
      <c r="B78" s="6" t="s">
        <v>254</v>
      </c>
      <c r="C78" s="6" t="s">
        <v>280</v>
      </c>
      <c r="D78" s="6" t="s">
        <v>152</v>
      </c>
      <c r="E78" s="6" t="s">
        <v>129</v>
      </c>
      <c r="F78" s="6" t="s">
        <v>249</v>
      </c>
    </row>
    <row r="79" customFormat="false" ht="15" hidden="false" customHeight="false" outlineLevel="0" collapsed="false">
      <c r="A79" s="6" t="s">
        <v>278</v>
      </c>
      <c r="B79" s="6" t="s">
        <v>256</v>
      </c>
      <c r="C79" s="6" t="s">
        <v>281</v>
      </c>
      <c r="D79" s="6" t="s">
        <v>152</v>
      </c>
      <c r="E79" s="6" t="s">
        <v>129</v>
      </c>
      <c r="F79" s="6" t="s">
        <v>249</v>
      </c>
    </row>
    <row r="80" customFormat="false" ht="15" hidden="false" customHeight="false" outlineLevel="0" collapsed="false">
      <c r="A80" s="6" t="s">
        <v>282</v>
      </c>
      <c r="B80" s="6" t="s">
        <v>247</v>
      </c>
      <c r="C80" s="6" t="s">
        <v>248</v>
      </c>
      <c r="D80" s="6" t="s">
        <v>157</v>
      </c>
      <c r="E80" s="6" t="s">
        <v>129</v>
      </c>
      <c r="F80" s="6" t="s">
        <v>249</v>
      </c>
    </row>
    <row r="81" customFormat="false" ht="15" hidden="false" customHeight="false" outlineLevel="0" collapsed="false">
      <c r="A81" s="6" t="s">
        <v>282</v>
      </c>
      <c r="B81" s="6" t="s">
        <v>250</v>
      </c>
      <c r="C81" s="6" t="s">
        <v>55</v>
      </c>
      <c r="D81" s="6" t="s">
        <v>157</v>
      </c>
      <c r="E81" s="6" t="s">
        <v>129</v>
      </c>
      <c r="F81" s="6" t="s">
        <v>249</v>
      </c>
    </row>
    <row r="82" customFormat="false" ht="15" hidden="false" customHeight="false" outlineLevel="0" collapsed="false">
      <c r="A82" s="6" t="s">
        <v>282</v>
      </c>
      <c r="B82" s="6" t="s">
        <v>251</v>
      </c>
      <c r="C82" s="6" t="s">
        <v>58</v>
      </c>
      <c r="D82" s="6" t="s">
        <v>157</v>
      </c>
      <c r="E82" s="6" t="s">
        <v>129</v>
      </c>
      <c r="F82" s="6" t="s">
        <v>249</v>
      </c>
    </row>
    <row r="83" customFormat="false" ht="15" hidden="false" customHeight="false" outlineLevel="0" collapsed="false">
      <c r="A83" s="6" t="s">
        <v>282</v>
      </c>
      <c r="B83" s="6" t="s">
        <v>252</v>
      </c>
      <c r="C83" s="6" t="s">
        <v>283</v>
      </c>
      <c r="D83" s="6" t="s">
        <v>157</v>
      </c>
      <c r="E83" s="6" t="s">
        <v>129</v>
      </c>
      <c r="F83" s="6" t="s">
        <v>249</v>
      </c>
    </row>
    <row r="84" customFormat="false" ht="15" hidden="false" customHeight="false" outlineLevel="0" collapsed="false">
      <c r="A84" s="6" t="s">
        <v>282</v>
      </c>
      <c r="B84" s="6" t="s">
        <v>254</v>
      </c>
      <c r="C84" s="6" t="s">
        <v>284</v>
      </c>
      <c r="D84" s="6" t="s">
        <v>157</v>
      </c>
      <c r="E84" s="6" t="s">
        <v>129</v>
      </c>
      <c r="F84" s="6" t="s">
        <v>249</v>
      </c>
    </row>
    <row r="85" customFormat="false" ht="15" hidden="false" customHeight="false" outlineLevel="0" collapsed="false">
      <c r="A85" s="6" t="s">
        <v>282</v>
      </c>
      <c r="B85" s="6" t="s">
        <v>256</v>
      </c>
      <c r="C85" s="6" t="s">
        <v>285</v>
      </c>
      <c r="D85" s="6" t="s">
        <v>157</v>
      </c>
      <c r="E85" s="6" t="s">
        <v>129</v>
      </c>
      <c r="F85" s="6" t="s">
        <v>249</v>
      </c>
    </row>
    <row r="86" customFormat="false" ht="15" hidden="false" customHeight="false" outlineLevel="0" collapsed="false">
      <c r="A86" s="6" t="s">
        <v>286</v>
      </c>
      <c r="B86" s="6" t="s">
        <v>247</v>
      </c>
      <c r="C86" s="6" t="s">
        <v>248</v>
      </c>
      <c r="D86" s="6" t="s">
        <v>161</v>
      </c>
      <c r="E86" s="6" t="s">
        <v>129</v>
      </c>
      <c r="F86" s="6" t="s">
        <v>249</v>
      </c>
    </row>
    <row r="87" customFormat="false" ht="15" hidden="false" customHeight="false" outlineLevel="0" collapsed="false">
      <c r="A87" s="6" t="s">
        <v>286</v>
      </c>
      <c r="B87" s="6" t="s">
        <v>250</v>
      </c>
      <c r="C87" s="6" t="s">
        <v>52</v>
      </c>
      <c r="D87" s="6" t="s">
        <v>161</v>
      </c>
      <c r="E87" s="6" t="s">
        <v>129</v>
      </c>
      <c r="F87" s="6" t="s">
        <v>249</v>
      </c>
    </row>
    <row r="88" customFormat="false" ht="15" hidden="false" customHeight="false" outlineLevel="0" collapsed="false">
      <c r="A88" s="6" t="s">
        <v>286</v>
      </c>
      <c r="B88" s="6" t="s">
        <v>251</v>
      </c>
      <c r="C88" s="6" t="s">
        <v>58</v>
      </c>
      <c r="D88" s="6" t="s">
        <v>161</v>
      </c>
      <c r="E88" s="6" t="s">
        <v>129</v>
      </c>
      <c r="F88" s="6" t="s">
        <v>249</v>
      </c>
    </row>
    <row r="89" customFormat="false" ht="15" hidden="false" customHeight="false" outlineLevel="0" collapsed="false">
      <c r="A89" s="6" t="s">
        <v>286</v>
      </c>
      <c r="B89" s="6" t="s">
        <v>252</v>
      </c>
      <c r="C89" s="6" t="s">
        <v>287</v>
      </c>
      <c r="D89" s="6" t="s">
        <v>161</v>
      </c>
      <c r="E89" s="6" t="s">
        <v>129</v>
      </c>
      <c r="F89" s="6" t="s">
        <v>249</v>
      </c>
    </row>
    <row r="90" customFormat="false" ht="15" hidden="false" customHeight="false" outlineLevel="0" collapsed="false">
      <c r="A90" s="6" t="s">
        <v>286</v>
      </c>
      <c r="B90" s="6" t="s">
        <v>254</v>
      </c>
      <c r="C90" s="6" t="s">
        <v>288</v>
      </c>
      <c r="D90" s="6" t="s">
        <v>161</v>
      </c>
      <c r="E90" s="6" t="s">
        <v>129</v>
      </c>
      <c r="F90" s="6" t="s">
        <v>249</v>
      </c>
    </row>
    <row r="91" customFormat="false" ht="15" hidden="false" customHeight="false" outlineLevel="0" collapsed="false">
      <c r="A91" s="6" t="s">
        <v>286</v>
      </c>
      <c r="B91" s="6" t="s">
        <v>256</v>
      </c>
      <c r="C91" s="6" t="s">
        <v>289</v>
      </c>
      <c r="D91" s="6" t="s">
        <v>161</v>
      </c>
      <c r="E91" s="6" t="s">
        <v>129</v>
      </c>
      <c r="F91" s="6" t="s">
        <v>249</v>
      </c>
    </row>
    <row r="92" customFormat="false" ht="15" hidden="false" customHeight="false" outlineLevel="0" collapsed="false">
      <c r="A92" s="6" t="s">
        <v>290</v>
      </c>
      <c r="B92" s="6" t="s">
        <v>247</v>
      </c>
      <c r="C92" s="6" t="s">
        <v>248</v>
      </c>
      <c r="D92" s="6" t="s">
        <v>165</v>
      </c>
      <c r="E92" s="6" t="s">
        <v>168</v>
      </c>
      <c r="F92" s="6" t="s">
        <v>249</v>
      </c>
    </row>
    <row r="93" customFormat="false" ht="15" hidden="false" customHeight="false" outlineLevel="0" collapsed="false">
      <c r="A93" s="6" t="s">
        <v>290</v>
      </c>
      <c r="B93" s="6" t="s">
        <v>250</v>
      </c>
      <c r="C93" s="6" t="s">
        <v>49</v>
      </c>
      <c r="D93" s="6" t="s">
        <v>165</v>
      </c>
      <c r="E93" s="6" t="s">
        <v>168</v>
      </c>
      <c r="F93" s="6" t="s">
        <v>249</v>
      </c>
    </row>
    <row r="94" customFormat="false" ht="15" hidden="false" customHeight="false" outlineLevel="0" collapsed="false">
      <c r="A94" s="6" t="s">
        <v>290</v>
      </c>
      <c r="B94" s="6" t="s">
        <v>251</v>
      </c>
      <c r="C94" s="6" t="s">
        <v>104</v>
      </c>
      <c r="D94" s="6" t="s">
        <v>165</v>
      </c>
      <c r="E94" s="6" t="s">
        <v>168</v>
      </c>
      <c r="F94" s="6" t="s">
        <v>249</v>
      </c>
    </row>
    <row r="95" customFormat="false" ht="15" hidden="false" customHeight="false" outlineLevel="0" collapsed="false">
      <c r="A95" s="6" t="s">
        <v>290</v>
      </c>
      <c r="B95" s="6" t="s">
        <v>252</v>
      </c>
      <c r="C95" s="6" t="s">
        <v>291</v>
      </c>
      <c r="D95" s="6" t="s">
        <v>165</v>
      </c>
      <c r="E95" s="6" t="s">
        <v>168</v>
      </c>
      <c r="F95" s="6" t="s">
        <v>249</v>
      </c>
    </row>
    <row r="96" customFormat="false" ht="15" hidden="false" customHeight="false" outlineLevel="0" collapsed="false">
      <c r="A96" s="6" t="s">
        <v>290</v>
      </c>
      <c r="B96" s="6" t="s">
        <v>254</v>
      </c>
      <c r="C96" s="6" t="s">
        <v>292</v>
      </c>
      <c r="D96" s="6" t="s">
        <v>165</v>
      </c>
      <c r="E96" s="6" t="s">
        <v>168</v>
      </c>
      <c r="F96" s="6" t="s">
        <v>249</v>
      </c>
    </row>
    <row r="97" customFormat="false" ht="15" hidden="false" customHeight="false" outlineLevel="0" collapsed="false">
      <c r="A97" s="6" t="s">
        <v>290</v>
      </c>
      <c r="B97" s="6" t="s">
        <v>256</v>
      </c>
      <c r="C97" s="6" t="s">
        <v>293</v>
      </c>
      <c r="D97" s="6" t="s">
        <v>165</v>
      </c>
      <c r="E97" s="6" t="s">
        <v>168</v>
      </c>
      <c r="F97" s="6" t="s">
        <v>249</v>
      </c>
    </row>
    <row r="98" customFormat="false" ht="15" hidden="false" customHeight="false" outlineLevel="0" collapsed="false">
      <c r="A98" s="6" t="s">
        <v>294</v>
      </c>
      <c r="B98" s="6" t="s">
        <v>247</v>
      </c>
      <c r="C98" s="6" t="s">
        <v>248</v>
      </c>
      <c r="D98" s="6" t="s">
        <v>170</v>
      </c>
      <c r="E98" s="6" t="s">
        <v>129</v>
      </c>
      <c r="F98" s="6" t="s">
        <v>249</v>
      </c>
    </row>
    <row r="99" customFormat="false" ht="15" hidden="false" customHeight="false" outlineLevel="0" collapsed="false">
      <c r="A99" s="6" t="s">
        <v>294</v>
      </c>
      <c r="B99" s="6" t="s">
        <v>250</v>
      </c>
      <c r="C99" s="6" t="s">
        <v>295</v>
      </c>
      <c r="D99" s="6" t="s">
        <v>170</v>
      </c>
      <c r="E99" s="6" t="s">
        <v>129</v>
      </c>
      <c r="F99" s="6" t="s">
        <v>249</v>
      </c>
    </row>
    <row r="100" customFormat="false" ht="15" hidden="false" customHeight="false" outlineLevel="0" collapsed="false">
      <c r="A100" s="6" t="s">
        <v>294</v>
      </c>
      <c r="B100" s="6" t="s">
        <v>251</v>
      </c>
      <c r="C100" s="6" t="s">
        <v>296</v>
      </c>
      <c r="D100" s="6" t="s">
        <v>170</v>
      </c>
      <c r="E100" s="6" t="s">
        <v>129</v>
      </c>
      <c r="F100" s="6" t="s">
        <v>249</v>
      </c>
    </row>
    <row r="101" customFormat="false" ht="15" hidden="false" customHeight="false" outlineLevel="0" collapsed="false">
      <c r="A101" s="6" t="s">
        <v>294</v>
      </c>
      <c r="B101" s="6" t="s">
        <v>252</v>
      </c>
      <c r="C101" s="6" t="s">
        <v>297</v>
      </c>
      <c r="D101" s="6" t="s">
        <v>170</v>
      </c>
      <c r="E101" s="6" t="s">
        <v>129</v>
      </c>
      <c r="F101" s="6" t="s">
        <v>249</v>
      </c>
    </row>
    <row r="102" customFormat="false" ht="15" hidden="false" customHeight="false" outlineLevel="0" collapsed="false">
      <c r="A102" s="6" t="s">
        <v>294</v>
      </c>
      <c r="B102" s="6" t="s">
        <v>254</v>
      </c>
      <c r="C102" s="6" t="s">
        <v>298</v>
      </c>
      <c r="D102" s="6" t="s">
        <v>170</v>
      </c>
      <c r="E102" s="6" t="s">
        <v>129</v>
      </c>
      <c r="F102" s="6" t="s">
        <v>249</v>
      </c>
    </row>
    <row r="103" customFormat="false" ht="15" hidden="false" customHeight="false" outlineLevel="0" collapsed="false">
      <c r="A103" s="6" t="s">
        <v>294</v>
      </c>
      <c r="B103" s="6" t="s">
        <v>256</v>
      </c>
      <c r="C103" s="6" t="s">
        <v>299</v>
      </c>
      <c r="D103" s="6" t="s">
        <v>170</v>
      </c>
      <c r="E103" s="6" t="s">
        <v>129</v>
      </c>
      <c r="F103" s="6" t="s">
        <v>249</v>
      </c>
    </row>
    <row r="104" customFormat="false" ht="15" hidden="false" customHeight="false" outlineLevel="0" collapsed="false">
      <c r="A104" s="6" t="s">
        <v>300</v>
      </c>
      <c r="B104" s="6" t="s">
        <v>247</v>
      </c>
      <c r="C104" s="6" t="s">
        <v>248</v>
      </c>
      <c r="D104" s="6" t="s">
        <v>176</v>
      </c>
      <c r="E104" s="6" t="s">
        <v>129</v>
      </c>
      <c r="F104" s="6" t="s">
        <v>249</v>
      </c>
    </row>
    <row r="105" customFormat="false" ht="15" hidden="false" customHeight="false" outlineLevel="0" collapsed="false">
      <c r="A105" s="6" t="s">
        <v>300</v>
      </c>
      <c r="B105" s="6" t="s">
        <v>250</v>
      </c>
      <c r="C105" s="6" t="s">
        <v>66</v>
      </c>
      <c r="D105" s="6" t="s">
        <v>176</v>
      </c>
      <c r="E105" s="6" t="s">
        <v>129</v>
      </c>
      <c r="F105" s="6" t="s">
        <v>249</v>
      </c>
    </row>
    <row r="106" customFormat="false" ht="15" hidden="false" customHeight="false" outlineLevel="0" collapsed="false">
      <c r="A106" s="6" t="s">
        <v>300</v>
      </c>
      <c r="B106" s="6" t="s">
        <v>251</v>
      </c>
      <c r="C106" s="6" t="s">
        <v>93</v>
      </c>
      <c r="D106" s="6" t="s">
        <v>176</v>
      </c>
      <c r="E106" s="6" t="s">
        <v>129</v>
      </c>
      <c r="F106" s="6" t="s">
        <v>249</v>
      </c>
    </row>
    <row r="107" customFormat="false" ht="15" hidden="false" customHeight="false" outlineLevel="0" collapsed="false">
      <c r="A107" s="6" t="s">
        <v>300</v>
      </c>
      <c r="B107" s="6" t="s">
        <v>252</v>
      </c>
      <c r="C107" s="6" t="s">
        <v>301</v>
      </c>
      <c r="D107" s="6" t="s">
        <v>176</v>
      </c>
      <c r="E107" s="6" t="s">
        <v>129</v>
      </c>
      <c r="F107" s="6" t="s">
        <v>249</v>
      </c>
    </row>
    <row r="108" customFormat="false" ht="15" hidden="false" customHeight="false" outlineLevel="0" collapsed="false">
      <c r="A108" s="6" t="s">
        <v>300</v>
      </c>
      <c r="B108" s="6" t="s">
        <v>254</v>
      </c>
      <c r="C108" s="6" t="s">
        <v>302</v>
      </c>
      <c r="D108" s="6" t="s">
        <v>176</v>
      </c>
      <c r="E108" s="6" t="s">
        <v>129</v>
      </c>
      <c r="F108" s="6" t="s">
        <v>249</v>
      </c>
    </row>
    <row r="109" customFormat="false" ht="15" hidden="false" customHeight="false" outlineLevel="0" collapsed="false">
      <c r="A109" s="6" t="s">
        <v>300</v>
      </c>
      <c r="B109" s="6" t="s">
        <v>256</v>
      </c>
      <c r="C109" s="6" t="s">
        <v>303</v>
      </c>
      <c r="D109" s="6" t="s">
        <v>176</v>
      </c>
      <c r="E109" s="6" t="s">
        <v>129</v>
      </c>
      <c r="F109" s="6" t="s">
        <v>249</v>
      </c>
    </row>
    <row r="110" customFormat="false" ht="15" hidden="false" customHeight="false" outlineLevel="0" collapsed="false">
      <c r="A110" s="6" t="s">
        <v>304</v>
      </c>
      <c r="B110" s="6" t="s">
        <v>247</v>
      </c>
      <c r="C110" s="6" t="s">
        <v>248</v>
      </c>
      <c r="D110" s="6" t="s">
        <v>180</v>
      </c>
      <c r="E110" s="6" t="s">
        <v>129</v>
      </c>
      <c r="F110" s="6" t="s">
        <v>249</v>
      </c>
    </row>
    <row r="111" customFormat="false" ht="15" hidden="false" customHeight="false" outlineLevel="0" collapsed="false">
      <c r="A111" s="6" t="s">
        <v>304</v>
      </c>
      <c r="B111" s="6" t="s">
        <v>250</v>
      </c>
      <c r="C111" s="6" t="s">
        <v>66</v>
      </c>
      <c r="D111" s="6" t="s">
        <v>180</v>
      </c>
      <c r="E111" s="6" t="s">
        <v>129</v>
      </c>
      <c r="F111" s="6" t="s">
        <v>249</v>
      </c>
    </row>
    <row r="112" customFormat="false" ht="15" hidden="false" customHeight="false" outlineLevel="0" collapsed="false">
      <c r="A112" s="6" t="s">
        <v>304</v>
      </c>
      <c r="B112" s="6" t="s">
        <v>251</v>
      </c>
      <c r="C112" s="6" t="s">
        <v>96</v>
      </c>
      <c r="D112" s="6" t="s">
        <v>180</v>
      </c>
      <c r="E112" s="6" t="s">
        <v>129</v>
      </c>
      <c r="F112" s="6" t="s">
        <v>249</v>
      </c>
    </row>
    <row r="113" customFormat="false" ht="15" hidden="false" customHeight="false" outlineLevel="0" collapsed="false">
      <c r="A113" s="6" t="s">
        <v>304</v>
      </c>
      <c r="B113" s="6" t="s">
        <v>252</v>
      </c>
      <c r="C113" s="6" t="s">
        <v>305</v>
      </c>
      <c r="D113" s="6" t="s">
        <v>180</v>
      </c>
      <c r="E113" s="6" t="s">
        <v>129</v>
      </c>
      <c r="F113" s="6" t="s">
        <v>249</v>
      </c>
    </row>
    <row r="114" customFormat="false" ht="15" hidden="false" customHeight="false" outlineLevel="0" collapsed="false">
      <c r="A114" s="6" t="s">
        <v>304</v>
      </c>
      <c r="B114" s="6" t="s">
        <v>254</v>
      </c>
      <c r="C114" s="6" t="s">
        <v>306</v>
      </c>
      <c r="D114" s="6" t="s">
        <v>180</v>
      </c>
      <c r="E114" s="6" t="s">
        <v>129</v>
      </c>
      <c r="F114" s="6" t="s">
        <v>249</v>
      </c>
    </row>
    <row r="115" customFormat="false" ht="15" hidden="false" customHeight="false" outlineLevel="0" collapsed="false">
      <c r="A115" s="6" t="s">
        <v>304</v>
      </c>
      <c r="B115" s="6" t="s">
        <v>256</v>
      </c>
      <c r="C115" s="6" t="s">
        <v>307</v>
      </c>
      <c r="D115" s="6" t="s">
        <v>180</v>
      </c>
      <c r="E115" s="6" t="s">
        <v>129</v>
      </c>
      <c r="F115" s="6" t="s">
        <v>249</v>
      </c>
    </row>
    <row r="116" customFormat="false" ht="15" hidden="false" customHeight="false" outlineLevel="0" collapsed="false">
      <c r="A116" s="6" t="s">
        <v>308</v>
      </c>
      <c r="B116" s="6" t="s">
        <v>247</v>
      </c>
      <c r="C116" s="6" t="s">
        <v>248</v>
      </c>
      <c r="D116" s="6" t="s">
        <v>184</v>
      </c>
      <c r="E116" s="6" t="s">
        <v>129</v>
      </c>
      <c r="F116" s="6" t="s">
        <v>249</v>
      </c>
    </row>
    <row r="117" customFormat="false" ht="15" hidden="false" customHeight="false" outlineLevel="0" collapsed="false">
      <c r="A117" s="6" t="s">
        <v>308</v>
      </c>
      <c r="B117" s="6" t="s">
        <v>250</v>
      </c>
      <c r="C117" s="6" t="s">
        <v>309</v>
      </c>
      <c r="D117" s="6" t="s">
        <v>184</v>
      </c>
      <c r="E117" s="6" t="s">
        <v>129</v>
      </c>
      <c r="F117" s="6" t="s">
        <v>249</v>
      </c>
    </row>
    <row r="118" customFormat="false" ht="15" hidden="false" customHeight="false" outlineLevel="0" collapsed="false">
      <c r="A118" s="6" t="s">
        <v>308</v>
      </c>
      <c r="B118" s="6" t="s">
        <v>251</v>
      </c>
      <c r="C118" s="6" t="s">
        <v>310</v>
      </c>
      <c r="D118" s="6" t="s">
        <v>184</v>
      </c>
      <c r="E118" s="6" t="s">
        <v>129</v>
      </c>
      <c r="F118" s="6" t="s">
        <v>249</v>
      </c>
    </row>
    <row r="119" customFormat="false" ht="15" hidden="false" customHeight="false" outlineLevel="0" collapsed="false">
      <c r="A119" s="6" t="s">
        <v>308</v>
      </c>
      <c r="B119" s="6" t="s">
        <v>252</v>
      </c>
      <c r="C119" s="6" t="s">
        <v>311</v>
      </c>
      <c r="D119" s="6" t="s">
        <v>184</v>
      </c>
      <c r="E119" s="6" t="s">
        <v>129</v>
      </c>
      <c r="F119" s="6" t="s">
        <v>249</v>
      </c>
    </row>
    <row r="120" customFormat="false" ht="15" hidden="false" customHeight="false" outlineLevel="0" collapsed="false">
      <c r="A120" s="6" t="s">
        <v>308</v>
      </c>
      <c r="B120" s="6" t="s">
        <v>254</v>
      </c>
      <c r="C120" s="6" t="s">
        <v>312</v>
      </c>
      <c r="D120" s="6" t="s">
        <v>184</v>
      </c>
      <c r="E120" s="6" t="s">
        <v>129</v>
      </c>
      <c r="F120" s="6" t="s">
        <v>249</v>
      </c>
    </row>
    <row r="121" customFormat="false" ht="15" hidden="false" customHeight="false" outlineLevel="0" collapsed="false">
      <c r="A121" s="6" t="s">
        <v>308</v>
      </c>
      <c r="B121" s="6" t="s">
        <v>256</v>
      </c>
      <c r="C121" s="6" t="s">
        <v>313</v>
      </c>
      <c r="D121" s="6" t="s">
        <v>184</v>
      </c>
      <c r="E121" s="6" t="s">
        <v>129</v>
      </c>
      <c r="F121" s="6" t="s">
        <v>249</v>
      </c>
    </row>
    <row r="122" customFormat="false" ht="15" hidden="false" customHeight="false" outlineLevel="0" collapsed="false">
      <c r="A122" s="6" t="s">
        <v>314</v>
      </c>
      <c r="B122" s="6" t="s">
        <v>247</v>
      </c>
      <c r="C122" s="6" t="s">
        <v>248</v>
      </c>
      <c r="D122" s="6" t="s">
        <v>189</v>
      </c>
      <c r="E122" s="6" t="s">
        <v>168</v>
      </c>
      <c r="F122" s="6" t="s">
        <v>249</v>
      </c>
    </row>
    <row r="123" customFormat="false" ht="15" hidden="false" customHeight="false" outlineLevel="0" collapsed="false">
      <c r="A123" s="6" t="s">
        <v>314</v>
      </c>
      <c r="B123" s="6" t="s">
        <v>250</v>
      </c>
      <c r="C123" s="6" t="s">
        <v>309</v>
      </c>
      <c r="D123" s="6" t="s">
        <v>189</v>
      </c>
      <c r="E123" s="6" t="s">
        <v>168</v>
      </c>
      <c r="F123" s="6" t="s">
        <v>249</v>
      </c>
    </row>
    <row r="124" customFormat="false" ht="15" hidden="false" customHeight="false" outlineLevel="0" collapsed="false">
      <c r="A124" s="6" t="s">
        <v>314</v>
      </c>
      <c r="B124" s="6" t="s">
        <v>251</v>
      </c>
      <c r="C124" s="6" t="s">
        <v>73</v>
      </c>
      <c r="D124" s="6" t="s">
        <v>189</v>
      </c>
      <c r="E124" s="6" t="s">
        <v>168</v>
      </c>
      <c r="F124" s="6" t="s">
        <v>249</v>
      </c>
    </row>
    <row r="125" customFormat="false" ht="15" hidden="false" customHeight="false" outlineLevel="0" collapsed="false">
      <c r="A125" s="6" t="s">
        <v>314</v>
      </c>
      <c r="B125" s="6" t="s">
        <v>252</v>
      </c>
      <c r="C125" s="6" t="s">
        <v>315</v>
      </c>
      <c r="D125" s="6" t="s">
        <v>189</v>
      </c>
      <c r="E125" s="6" t="s">
        <v>168</v>
      </c>
      <c r="F125" s="6" t="s">
        <v>249</v>
      </c>
    </row>
    <row r="126" customFormat="false" ht="15" hidden="false" customHeight="false" outlineLevel="0" collapsed="false">
      <c r="A126" s="6" t="s">
        <v>314</v>
      </c>
      <c r="B126" s="6" t="s">
        <v>254</v>
      </c>
      <c r="C126" s="6" t="s">
        <v>316</v>
      </c>
      <c r="D126" s="6" t="s">
        <v>189</v>
      </c>
      <c r="E126" s="6" t="s">
        <v>168</v>
      </c>
      <c r="F126" s="6" t="s">
        <v>249</v>
      </c>
    </row>
    <row r="127" customFormat="false" ht="15" hidden="false" customHeight="false" outlineLevel="0" collapsed="false">
      <c r="A127" s="6" t="s">
        <v>314</v>
      </c>
      <c r="B127" s="6" t="s">
        <v>256</v>
      </c>
      <c r="C127" s="6" t="s">
        <v>317</v>
      </c>
      <c r="D127" s="6" t="s">
        <v>189</v>
      </c>
      <c r="E127" s="6" t="s">
        <v>168</v>
      </c>
      <c r="F127" s="6" t="s">
        <v>249</v>
      </c>
    </row>
    <row r="128" customFormat="false" ht="15" hidden="false" customHeight="false" outlineLevel="0" collapsed="false">
      <c r="A128" s="6" t="s">
        <v>318</v>
      </c>
      <c r="B128" s="6" t="s">
        <v>247</v>
      </c>
      <c r="C128" s="6" t="s">
        <v>248</v>
      </c>
      <c r="D128" s="6" t="s">
        <v>193</v>
      </c>
      <c r="E128" s="6" t="s">
        <v>129</v>
      </c>
      <c r="F128" s="6" t="s">
        <v>249</v>
      </c>
    </row>
    <row r="129" customFormat="false" ht="15" hidden="false" customHeight="false" outlineLevel="0" collapsed="false">
      <c r="A129" s="6" t="s">
        <v>318</v>
      </c>
      <c r="B129" s="6" t="s">
        <v>250</v>
      </c>
      <c r="C129" s="6" t="s">
        <v>83</v>
      </c>
      <c r="D129" s="6" t="s">
        <v>193</v>
      </c>
      <c r="E129" s="6" t="s">
        <v>129</v>
      </c>
      <c r="F129" s="6" t="s">
        <v>249</v>
      </c>
    </row>
    <row r="130" customFormat="false" ht="15" hidden="false" customHeight="false" outlineLevel="0" collapsed="false">
      <c r="A130" s="6" t="s">
        <v>318</v>
      </c>
      <c r="B130" s="6" t="s">
        <v>251</v>
      </c>
      <c r="C130" s="6" t="s">
        <v>86</v>
      </c>
      <c r="D130" s="6" t="s">
        <v>193</v>
      </c>
      <c r="E130" s="6" t="s">
        <v>129</v>
      </c>
      <c r="F130" s="6" t="s">
        <v>249</v>
      </c>
    </row>
    <row r="131" customFormat="false" ht="15" hidden="false" customHeight="false" outlineLevel="0" collapsed="false">
      <c r="A131" s="6" t="s">
        <v>318</v>
      </c>
      <c r="B131" s="6" t="s">
        <v>252</v>
      </c>
      <c r="C131" s="6" t="s">
        <v>319</v>
      </c>
      <c r="D131" s="6" t="s">
        <v>193</v>
      </c>
      <c r="E131" s="6" t="s">
        <v>129</v>
      </c>
      <c r="F131" s="6" t="s">
        <v>249</v>
      </c>
    </row>
    <row r="132" customFormat="false" ht="15" hidden="false" customHeight="false" outlineLevel="0" collapsed="false">
      <c r="A132" s="6" t="s">
        <v>318</v>
      </c>
      <c r="B132" s="6" t="s">
        <v>254</v>
      </c>
      <c r="C132" s="6" t="s">
        <v>320</v>
      </c>
      <c r="D132" s="6" t="s">
        <v>193</v>
      </c>
      <c r="E132" s="6" t="s">
        <v>129</v>
      </c>
      <c r="F132" s="6" t="s">
        <v>249</v>
      </c>
    </row>
    <row r="133" customFormat="false" ht="15" hidden="false" customHeight="false" outlineLevel="0" collapsed="false">
      <c r="A133" s="6" t="s">
        <v>318</v>
      </c>
      <c r="B133" s="6" t="s">
        <v>256</v>
      </c>
      <c r="C133" s="6" t="s">
        <v>321</v>
      </c>
      <c r="D133" s="6" t="s">
        <v>193</v>
      </c>
      <c r="E133" s="6" t="s">
        <v>129</v>
      </c>
      <c r="F133" s="6" t="s">
        <v>249</v>
      </c>
    </row>
    <row r="134" customFormat="false" ht="15" hidden="false" customHeight="false" outlineLevel="0" collapsed="false">
      <c r="A134" s="6" t="s">
        <v>322</v>
      </c>
      <c r="B134" s="6" t="s">
        <v>247</v>
      </c>
      <c r="C134" s="6" t="s">
        <v>248</v>
      </c>
      <c r="D134" s="6" t="s">
        <v>198</v>
      </c>
      <c r="E134" s="6" t="s">
        <v>129</v>
      </c>
      <c r="F134" s="6" t="s">
        <v>249</v>
      </c>
    </row>
    <row r="135" customFormat="false" ht="15" hidden="false" customHeight="false" outlineLevel="0" collapsed="false">
      <c r="A135" s="6" t="s">
        <v>322</v>
      </c>
      <c r="B135" s="6" t="s">
        <v>250</v>
      </c>
      <c r="C135" s="6" t="s">
        <v>79</v>
      </c>
      <c r="D135" s="6" t="s">
        <v>198</v>
      </c>
      <c r="E135" s="6" t="s">
        <v>129</v>
      </c>
      <c r="F135" s="6" t="s">
        <v>249</v>
      </c>
    </row>
    <row r="136" customFormat="false" ht="15" hidden="false" customHeight="false" outlineLevel="0" collapsed="false">
      <c r="A136" s="6" t="s">
        <v>322</v>
      </c>
      <c r="B136" s="6" t="s">
        <v>251</v>
      </c>
      <c r="C136" s="6" t="s">
        <v>86</v>
      </c>
      <c r="D136" s="6" t="s">
        <v>198</v>
      </c>
      <c r="E136" s="6" t="s">
        <v>129</v>
      </c>
      <c r="F136" s="6" t="s">
        <v>249</v>
      </c>
    </row>
    <row r="137" customFormat="false" ht="15" hidden="false" customHeight="false" outlineLevel="0" collapsed="false">
      <c r="A137" s="6" t="s">
        <v>322</v>
      </c>
      <c r="B137" s="6" t="s">
        <v>252</v>
      </c>
      <c r="C137" s="6" t="s">
        <v>323</v>
      </c>
      <c r="D137" s="6" t="s">
        <v>198</v>
      </c>
      <c r="E137" s="6" t="s">
        <v>129</v>
      </c>
      <c r="F137" s="6" t="s">
        <v>249</v>
      </c>
    </row>
    <row r="138" customFormat="false" ht="15" hidden="false" customHeight="false" outlineLevel="0" collapsed="false">
      <c r="A138" s="6" t="s">
        <v>322</v>
      </c>
      <c r="B138" s="6" t="s">
        <v>254</v>
      </c>
      <c r="C138" s="6" t="s">
        <v>324</v>
      </c>
      <c r="D138" s="6" t="s">
        <v>198</v>
      </c>
      <c r="E138" s="6" t="s">
        <v>129</v>
      </c>
      <c r="F138" s="6" t="s">
        <v>249</v>
      </c>
    </row>
    <row r="139" customFormat="false" ht="15" hidden="false" customHeight="false" outlineLevel="0" collapsed="false">
      <c r="A139" s="6" t="s">
        <v>322</v>
      </c>
      <c r="B139" s="6" t="s">
        <v>256</v>
      </c>
      <c r="C139" s="6" t="s">
        <v>325</v>
      </c>
      <c r="D139" s="6" t="s">
        <v>198</v>
      </c>
      <c r="E139" s="6" t="s">
        <v>129</v>
      </c>
      <c r="F139" s="6" t="s">
        <v>249</v>
      </c>
    </row>
    <row r="140" customFormat="false" ht="15" hidden="false" customHeight="false" outlineLevel="0" collapsed="false">
      <c r="A140" s="6" t="s">
        <v>326</v>
      </c>
      <c r="B140" s="6" t="s">
        <v>247</v>
      </c>
      <c r="C140" s="6" t="s">
        <v>248</v>
      </c>
      <c r="D140" s="6" t="s">
        <v>202</v>
      </c>
      <c r="E140" s="6" t="s">
        <v>129</v>
      </c>
      <c r="F140" s="6" t="s">
        <v>249</v>
      </c>
    </row>
    <row r="141" customFormat="false" ht="15" hidden="false" customHeight="false" outlineLevel="0" collapsed="false">
      <c r="A141" s="6" t="s">
        <v>326</v>
      </c>
      <c r="B141" s="6" t="s">
        <v>250</v>
      </c>
      <c r="C141" s="6" t="s">
        <v>76</v>
      </c>
      <c r="D141" s="6" t="s">
        <v>202</v>
      </c>
      <c r="E141" s="6" t="s">
        <v>129</v>
      </c>
      <c r="F141" s="6" t="s">
        <v>249</v>
      </c>
    </row>
    <row r="142" customFormat="false" ht="15" hidden="false" customHeight="false" outlineLevel="0" collapsed="false">
      <c r="A142" s="6" t="s">
        <v>326</v>
      </c>
      <c r="B142" s="6" t="s">
        <v>251</v>
      </c>
      <c r="C142" s="6" t="s">
        <v>86</v>
      </c>
      <c r="D142" s="6" t="s">
        <v>202</v>
      </c>
      <c r="E142" s="6" t="s">
        <v>129</v>
      </c>
      <c r="F142" s="6" t="s">
        <v>249</v>
      </c>
    </row>
    <row r="143" customFormat="false" ht="15" hidden="false" customHeight="false" outlineLevel="0" collapsed="false">
      <c r="A143" s="6" t="s">
        <v>326</v>
      </c>
      <c r="B143" s="6" t="s">
        <v>252</v>
      </c>
      <c r="C143" s="6" t="s">
        <v>327</v>
      </c>
      <c r="D143" s="6" t="s">
        <v>202</v>
      </c>
      <c r="E143" s="6" t="s">
        <v>129</v>
      </c>
      <c r="F143" s="6" t="s">
        <v>249</v>
      </c>
    </row>
    <row r="144" customFormat="false" ht="15" hidden="false" customHeight="false" outlineLevel="0" collapsed="false">
      <c r="A144" s="6" t="s">
        <v>326</v>
      </c>
      <c r="B144" s="6" t="s">
        <v>254</v>
      </c>
      <c r="C144" s="6" t="s">
        <v>328</v>
      </c>
      <c r="D144" s="6" t="s">
        <v>202</v>
      </c>
      <c r="E144" s="6" t="s">
        <v>129</v>
      </c>
      <c r="F144" s="6" t="s">
        <v>249</v>
      </c>
    </row>
    <row r="145" customFormat="false" ht="15" hidden="false" customHeight="false" outlineLevel="0" collapsed="false">
      <c r="A145" s="6" t="s">
        <v>326</v>
      </c>
      <c r="B145" s="6" t="s">
        <v>256</v>
      </c>
      <c r="C145" s="6" t="s">
        <v>329</v>
      </c>
      <c r="D145" s="6" t="s">
        <v>202</v>
      </c>
      <c r="E145" s="6" t="s">
        <v>129</v>
      </c>
      <c r="F145" s="6" t="s">
        <v>249</v>
      </c>
    </row>
    <row r="146" customFormat="false" ht="15" hidden="false" customHeight="false" outlineLevel="0" collapsed="false">
      <c r="A146" s="6" t="s">
        <v>330</v>
      </c>
      <c r="B146" s="6" t="s">
        <v>247</v>
      </c>
      <c r="C146" s="6" t="s">
        <v>248</v>
      </c>
      <c r="D146" s="6" t="s">
        <v>205</v>
      </c>
      <c r="E146" s="6" t="s">
        <v>129</v>
      </c>
      <c r="F146" s="6" t="s">
        <v>249</v>
      </c>
    </row>
    <row r="147" customFormat="false" ht="15" hidden="false" customHeight="false" outlineLevel="0" collapsed="false">
      <c r="A147" s="6" t="s">
        <v>330</v>
      </c>
      <c r="B147" s="6" t="s">
        <v>250</v>
      </c>
      <c r="C147" s="6" t="s">
        <v>331</v>
      </c>
      <c r="D147" s="6" t="s">
        <v>205</v>
      </c>
      <c r="E147" s="6" t="s">
        <v>129</v>
      </c>
      <c r="F147" s="6" t="s">
        <v>249</v>
      </c>
    </row>
    <row r="148" customFormat="false" ht="15" hidden="false" customHeight="false" outlineLevel="0" collapsed="false">
      <c r="A148" s="6" t="s">
        <v>330</v>
      </c>
      <c r="B148" s="6" t="s">
        <v>251</v>
      </c>
      <c r="C148" s="6" t="s">
        <v>332</v>
      </c>
      <c r="D148" s="6" t="s">
        <v>205</v>
      </c>
      <c r="E148" s="6" t="s">
        <v>129</v>
      </c>
      <c r="F148" s="6" t="s">
        <v>249</v>
      </c>
    </row>
    <row r="149" customFormat="false" ht="15" hidden="false" customHeight="false" outlineLevel="0" collapsed="false">
      <c r="A149" s="6" t="s">
        <v>330</v>
      </c>
      <c r="B149" s="6" t="s">
        <v>252</v>
      </c>
      <c r="C149" s="6" t="s">
        <v>333</v>
      </c>
      <c r="D149" s="6" t="s">
        <v>205</v>
      </c>
      <c r="E149" s="6" t="s">
        <v>129</v>
      </c>
      <c r="F149" s="6" t="s">
        <v>249</v>
      </c>
    </row>
    <row r="150" customFormat="false" ht="15" hidden="false" customHeight="false" outlineLevel="0" collapsed="false">
      <c r="A150" s="6" t="s">
        <v>330</v>
      </c>
      <c r="B150" s="6" t="s">
        <v>254</v>
      </c>
      <c r="C150" s="6" t="s">
        <v>334</v>
      </c>
      <c r="D150" s="6" t="s">
        <v>205</v>
      </c>
      <c r="E150" s="6" t="s">
        <v>129</v>
      </c>
      <c r="F150" s="6" t="s">
        <v>249</v>
      </c>
    </row>
    <row r="151" customFormat="false" ht="15" hidden="false" customHeight="false" outlineLevel="0" collapsed="false">
      <c r="A151" s="6" t="s">
        <v>330</v>
      </c>
      <c r="B151" s="6" t="s">
        <v>256</v>
      </c>
      <c r="C151" s="6" t="s">
        <v>335</v>
      </c>
      <c r="D151" s="6" t="s">
        <v>205</v>
      </c>
      <c r="E151" s="6" t="s">
        <v>129</v>
      </c>
      <c r="F151" s="6" t="s">
        <v>249</v>
      </c>
    </row>
    <row r="152" customFormat="false" ht="15" hidden="false" customHeight="false" outlineLevel="0" collapsed="false">
      <c r="A152" s="6" t="s">
        <v>336</v>
      </c>
      <c r="B152" s="6" t="s">
        <v>247</v>
      </c>
      <c r="C152" s="6" t="s">
        <v>248</v>
      </c>
      <c r="D152" s="6" t="s">
        <v>210</v>
      </c>
      <c r="E152" s="6" t="s">
        <v>129</v>
      </c>
      <c r="F152" s="6" t="s">
        <v>249</v>
      </c>
    </row>
    <row r="153" customFormat="false" ht="15" hidden="false" customHeight="false" outlineLevel="0" collapsed="false">
      <c r="A153" s="6" t="s">
        <v>336</v>
      </c>
      <c r="B153" s="6" t="s">
        <v>250</v>
      </c>
      <c r="C153" s="6" t="s">
        <v>90</v>
      </c>
      <c r="D153" s="6" t="s">
        <v>210</v>
      </c>
      <c r="E153" s="6" t="s">
        <v>129</v>
      </c>
      <c r="F153" s="6" t="s">
        <v>249</v>
      </c>
    </row>
    <row r="154" customFormat="false" ht="15" hidden="false" customHeight="false" outlineLevel="0" collapsed="false">
      <c r="A154" s="6" t="s">
        <v>336</v>
      </c>
      <c r="B154" s="6" t="s">
        <v>251</v>
      </c>
      <c r="C154" s="6" t="s">
        <v>100</v>
      </c>
      <c r="D154" s="6" t="s">
        <v>210</v>
      </c>
      <c r="E154" s="6" t="s">
        <v>129</v>
      </c>
      <c r="F154" s="6" t="s">
        <v>249</v>
      </c>
    </row>
    <row r="155" customFormat="false" ht="15" hidden="false" customHeight="false" outlineLevel="0" collapsed="false">
      <c r="A155" s="6" t="s">
        <v>336</v>
      </c>
      <c r="B155" s="6" t="s">
        <v>252</v>
      </c>
      <c r="C155" s="6" t="s">
        <v>337</v>
      </c>
      <c r="D155" s="6" t="s">
        <v>210</v>
      </c>
      <c r="E155" s="6" t="s">
        <v>129</v>
      </c>
      <c r="F155" s="6" t="s">
        <v>249</v>
      </c>
    </row>
    <row r="156" customFormat="false" ht="15" hidden="false" customHeight="false" outlineLevel="0" collapsed="false">
      <c r="A156" s="6" t="s">
        <v>336</v>
      </c>
      <c r="B156" s="6" t="s">
        <v>254</v>
      </c>
      <c r="C156" s="6" t="s">
        <v>338</v>
      </c>
      <c r="D156" s="6" t="s">
        <v>210</v>
      </c>
      <c r="E156" s="6" t="s">
        <v>129</v>
      </c>
      <c r="F156" s="6" t="s">
        <v>249</v>
      </c>
    </row>
    <row r="157" customFormat="false" ht="15" hidden="false" customHeight="false" outlineLevel="0" collapsed="false">
      <c r="A157" s="6" t="s">
        <v>336</v>
      </c>
      <c r="B157" s="6" t="s">
        <v>256</v>
      </c>
      <c r="C157" s="6" t="s">
        <v>339</v>
      </c>
      <c r="D157" s="6" t="s">
        <v>210</v>
      </c>
      <c r="E157" s="6" t="s">
        <v>129</v>
      </c>
      <c r="F157" s="6" t="s">
        <v>249</v>
      </c>
    </row>
    <row r="158" customFormat="false" ht="15" hidden="false" customHeight="false" outlineLevel="0" collapsed="false">
      <c r="A158" s="6" t="s">
        <v>340</v>
      </c>
      <c r="B158" s="6" t="s">
        <v>247</v>
      </c>
      <c r="C158" s="6" t="s">
        <v>248</v>
      </c>
      <c r="D158" s="6" t="s">
        <v>214</v>
      </c>
      <c r="E158" s="6" t="s">
        <v>129</v>
      </c>
      <c r="F158" s="6" t="s">
        <v>249</v>
      </c>
    </row>
    <row r="159" customFormat="false" ht="15" hidden="false" customHeight="false" outlineLevel="0" collapsed="false">
      <c r="A159" s="6" t="s">
        <v>340</v>
      </c>
      <c r="B159" s="6" t="s">
        <v>250</v>
      </c>
      <c r="C159" s="6" t="s">
        <v>341</v>
      </c>
      <c r="D159" s="6" t="s">
        <v>214</v>
      </c>
      <c r="E159" s="6" t="s">
        <v>129</v>
      </c>
      <c r="F159" s="6" t="s">
        <v>249</v>
      </c>
    </row>
    <row r="160" customFormat="false" ht="15" hidden="false" customHeight="false" outlineLevel="0" collapsed="false">
      <c r="A160" s="6" t="s">
        <v>340</v>
      </c>
      <c r="B160" s="6" t="s">
        <v>251</v>
      </c>
      <c r="C160" s="6" t="s">
        <v>342</v>
      </c>
      <c r="D160" s="6" t="s">
        <v>214</v>
      </c>
      <c r="E160" s="6" t="s">
        <v>129</v>
      </c>
      <c r="F160" s="6" t="s">
        <v>249</v>
      </c>
    </row>
    <row r="161" customFormat="false" ht="15" hidden="false" customHeight="false" outlineLevel="0" collapsed="false">
      <c r="A161" s="6" t="s">
        <v>340</v>
      </c>
      <c r="B161" s="6" t="s">
        <v>252</v>
      </c>
      <c r="C161" s="6" t="s">
        <v>343</v>
      </c>
      <c r="D161" s="6" t="s">
        <v>214</v>
      </c>
      <c r="E161" s="6" t="s">
        <v>129</v>
      </c>
      <c r="F161" s="6" t="s">
        <v>249</v>
      </c>
    </row>
    <row r="162" customFormat="false" ht="15" hidden="false" customHeight="false" outlineLevel="0" collapsed="false">
      <c r="A162" s="6" t="s">
        <v>340</v>
      </c>
      <c r="B162" s="6" t="s">
        <v>254</v>
      </c>
      <c r="C162" s="6" t="s">
        <v>344</v>
      </c>
      <c r="D162" s="6" t="s">
        <v>214</v>
      </c>
      <c r="E162" s="6" t="s">
        <v>129</v>
      </c>
      <c r="F162" s="6" t="s">
        <v>249</v>
      </c>
    </row>
    <row r="163" customFormat="false" ht="15" hidden="false" customHeight="false" outlineLevel="0" collapsed="false">
      <c r="A163" s="6" t="s">
        <v>340</v>
      </c>
      <c r="B163" s="6" t="s">
        <v>256</v>
      </c>
      <c r="C163" s="6" t="s">
        <v>345</v>
      </c>
      <c r="D163" s="6" t="s">
        <v>214</v>
      </c>
      <c r="E163" s="6" t="s">
        <v>129</v>
      </c>
      <c r="F163" s="6" t="s">
        <v>249</v>
      </c>
    </row>
    <row r="164" customFormat="false" ht="15" hidden="false" customHeight="false" outlineLevel="0" collapsed="false">
      <c r="A164" s="6" t="s">
        <v>346</v>
      </c>
      <c r="B164" s="6" t="s">
        <v>247</v>
      </c>
      <c r="C164" s="6" t="s">
        <v>248</v>
      </c>
      <c r="D164" s="6" t="s">
        <v>219</v>
      </c>
      <c r="E164" s="6" t="s">
        <v>129</v>
      </c>
      <c r="F164" s="6" t="s">
        <v>249</v>
      </c>
    </row>
    <row r="165" customFormat="false" ht="15" hidden="false" customHeight="false" outlineLevel="0" collapsed="false">
      <c r="A165" s="6" t="s">
        <v>346</v>
      </c>
      <c r="B165" s="6" t="s">
        <v>250</v>
      </c>
      <c r="C165" s="6" t="s">
        <v>245</v>
      </c>
      <c r="D165" s="6" t="s">
        <v>219</v>
      </c>
      <c r="E165" s="6" t="s">
        <v>129</v>
      </c>
      <c r="F165" s="6" t="s">
        <v>249</v>
      </c>
    </row>
    <row r="166" customFormat="false" ht="15" hidden="false" customHeight="false" outlineLevel="0" collapsed="false">
      <c r="A166" s="6" t="s">
        <v>346</v>
      </c>
      <c r="B166" s="6" t="s">
        <v>251</v>
      </c>
      <c r="C166" s="6" t="s">
        <v>107</v>
      </c>
      <c r="D166" s="6" t="s">
        <v>219</v>
      </c>
      <c r="E166" s="6" t="s">
        <v>129</v>
      </c>
      <c r="F166" s="6" t="s">
        <v>249</v>
      </c>
    </row>
    <row r="167" customFormat="false" ht="15" hidden="false" customHeight="false" outlineLevel="0" collapsed="false">
      <c r="A167" s="6" t="s">
        <v>346</v>
      </c>
      <c r="B167" s="6" t="s">
        <v>252</v>
      </c>
      <c r="C167" s="6" t="s">
        <v>347</v>
      </c>
      <c r="D167" s="6" t="s">
        <v>219</v>
      </c>
      <c r="E167" s="6" t="s">
        <v>129</v>
      </c>
      <c r="F167" s="6" t="s">
        <v>249</v>
      </c>
    </row>
    <row r="168" customFormat="false" ht="15" hidden="false" customHeight="false" outlineLevel="0" collapsed="false">
      <c r="A168" s="6" t="s">
        <v>346</v>
      </c>
      <c r="B168" s="6" t="s">
        <v>254</v>
      </c>
      <c r="C168" s="6" t="s">
        <v>348</v>
      </c>
      <c r="D168" s="6" t="s">
        <v>219</v>
      </c>
      <c r="E168" s="6" t="s">
        <v>129</v>
      </c>
      <c r="F168" s="6" t="s">
        <v>249</v>
      </c>
    </row>
    <row r="169" customFormat="false" ht="15" hidden="false" customHeight="false" outlineLevel="0" collapsed="false">
      <c r="A169" s="6" t="s">
        <v>346</v>
      </c>
      <c r="B169" s="6" t="s">
        <v>256</v>
      </c>
      <c r="C169" s="6" t="s">
        <v>349</v>
      </c>
      <c r="D169" s="6" t="s">
        <v>219</v>
      </c>
      <c r="E169" s="6" t="s">
        <v>129</v>
      </c>
      <c r="F169" s="6" t="s">
        <v>249</v>
      </c>
    </row>
    <row r="170" customFormat="false" ht="15" hidden="false" customHeight="false" outlineLevel="0" collapsed="false">
      <c r="A170" s="6" t="s">
        <v>350</v>
      </c>
      <c r="B170" s="6" t="s">
        <v>247</v>
      </c>
      <c r="C170" s="6" t="s">
        <v>248</v>
      </c>
      <c r="D170" s="6" t="s">
        <v>224</v>
      </c>
      <c r="E170" s="6" t="s">
        <v>129</v>
      </c>
      <c r="F170" s="6" t="s">
        <v>249</v>
      </c>
    </row>
    <row r="171" customFormat="false" ht="15" hidden="false" customHeight="false" outlineLevel="0" collapsed="false">
      <c r="A171" s="6" t="s">
        <v>350</v>
      </c>
      <c r="B171" s="6" t="s">
        <v>250</v>
      </c>
      <c r="C171" s="6" t="s">
        <v>107</v>
      </c>
      <c r="D171" s="6" t="s">
        <v>224</v>
      </c>
      <c r="E171" s="6" t="s">
        <v>129</v>
      </c>
      <c r="F171" s="6" t="s">
        <v>249</v>
      </c>
    </row>
    <row r="172" customFormat="false" ht="15" hidden="false" customHeight="false" outlineLevel="0" collapsed="false">
      <c r="A172" s="6" t="s">
        <v>350</v>
      </c>
      <c r="B172" s="6" t="s">
        <v>251</v>
      </c>
      <c r="C172" s="6" t="s">
        <v>35</v>
      </c>
      <c r="D172" s="6" t="s">
        <v>224</v>
      </c>
      <c r="E172" s="6" t="s">
        <v>129</v>
      </c>
      <c r="F172" s="6" t="s">
        <v>249</v>
      </c>
    </row>
    <row r="173" customFormat="false" ht="15" hidden="false" customHeight="false" outlineLevel="0" collapsed="false">
      <c r="A173" s="6" t="s">
        <v>350</v>
      </c>
      <c r="B173" s="6" t="s">
        <v>252</v>
      </c>
      <c r="C173" s="6" t="s">
        <v>351</v>
      </c>
      <c r="D173" s="6" t="s">
        <v>224</v>
      </c>
      <c r="E173" s="6" t="s">
        <v>129</v>
      </c>
      <c r="F173" s="6" t="s">
        <v>249</v>
      </c>
    </row>
    <row r="174" customFormat="false" ht="15" hidden="false" customHeight="false" outlineLevel="0" collapsed="false">
      <c r="A174" s="6" t="s">
        <v>350</v>
      </c>
      <c r="B174" s="6" t="s">
        <v>254</v>
      </c>
      <c r="C174" s="6" t="s">
        <v>352</v>
      </c>
      <c r="D174" s="6" t="s">
        <v>224</v>
      </c>
      <c r="E174" s="6" t="s">
        <v>129</v>
      </c>
      <c r="F174" s="6" t="s">
        <v>249</v>
      </c>
    </row>
    <row r="175" customFormat="false" ht="15" hidden="false" customHeight="false" outlineLevel="0" collapsed="false">
      <c r="A175" s="6" t="s">
        <v>350</v>
      </c>
      <c r="B175" s="6" t="s">
        <v>256</v>
      </c>
      <c r="C175" s="6" t="s">
        <v>353</v>
      </c>
      <c r="D175" s="6" t="s">
        <v>224</v>
      </c>
      <c r="E175" s="6" t="s">
        <v>129</v>
      </c>
      <c r="F175" s="6" t="s">
        <v>249</v>
      </c>
    </row>
    <row r="176" customFormat="false" ht="15" hidden="false" customHeight="false" outlineLevel="0" collapsed="false">
      <c r="A176" s="6" t="s">
        <v>354</v>
      </c>
      <c r="B176" s="6" t="s">
        <v>247</v>
      </c>
      <c r="C176" s="6" t="s">
        <v>248</v>
      </c>
      <c r="D176" s="6" t="s">
        <v>228</v>
      </c>
      <c r="E176" s="6" t="s">
        <v>168</v>
      </c>
      <c r="F176" s="6" t="s">
        <v>249</v>
      </c>
    </row>
    <row r="177" customFormat="false" ht="15" hidden="false" customHeight="false" outlineLevel="0" collapsed="false">
      <c r="A177" s="6" t="s">
        <v>354</v>
      </c>
      <c r="B177" s="6" t="s">
        <v>250</v>
      </c>
      <c r="C177" s="6" t="s">
        <v>35</v>
      </c>
      <c r="D177" s="6" t="s">
        <v>228</v>
      </c>
      <c r="E177" s="6" t="s">
        <v>168</v>
      </c>
      <c r="F177" s="6" t="s">
        <v>249</v>
      </c>
    </row>
    <row r="178" customFormat="false" ht="15" hidden="false" customHeight="false" outlineLevel="0" collapsed="false">
      <c r="A178" s="6" t="s">
        <v>354</v>
      </c>
      <c r="B178" s="6" t="s">
        <v>251</v>
      </c>
      <c r="C178" s="6" t="s">
        <v>40</v>
      </c>
      <c r="D178" s="6" t="s">
        <v>228</v>
      </c>
      <c r="E178" s="6" t="s">
        <v>168</v>
      </c>
      <c r="F178" s="6" t="s">
        <v>249</v>
      </c>
    </row>
    <row r="179" customFormat="false" ht="15" hidden="false" customHeight="false" outlineLevel="0" collapsed="false">
      <c r="A179" s="6" t="s">
        <v>354</v>
      </c>
      <c r="B179" s="6" t="s">
        <v>252</v>
      </c>
      <c r="C179" s="6" t="s">
        <v>355</v>
      </c>
      <c r="D179" s="6" t="s">
        <v>228</v>
      </c>
      <c r="E179" s="6" t="s">
        <v>168</v>
      </c>
      <c r="F179" s="6" t="s">
        <v>249</v>
      </c>
    </row>
    <row r="180" customFormat="false" ht="15" hidden="false" customHeight="false" outlineLevel="0" collapsed="false">
      <c r="A180" s="6" t="s">
        <v>354</v>
      </c>
      <c r="B180" s="6" t="s">
        <v>254</v>
      </c>
      <c r="C180" s="6" t="s">
        <v>356</v>
      </c>
      <c r="D180" s="6" t="s">
        <v>228</v>
      </c>
      <c r="E180" s="6" t="s">
        <v>168</v>
      </c>
      <c r="F180" s="6" t="s">
        <v>249</v>
      </c>
    </row>
    <row r="181" customFormat="false" ht="15" hidden="false" customHeight="false" outlineLevel="0" collapsed="false">
      <c r="A181" s="6" t="s">
        <v>354</v>
      </c>
      <c r="B181" s="6" t="s">
        <v>256</v>
      </c>
      <c r="C181" s="6" t="s">
        <v>357</v>
      </c>
      <c r="D181" s="6" t="s">
        <v>228</v>
      </c>
      <c r="E181" s="6" t="s">
        <v>168</v>
      </c>
      <c r="F181" s="6" t="s">
        <v>249</v>
      </c>
    </row>
    <row r="182" customFormat="false" ht="15" hidden="false" customHeight="false" outlineLevel="0" collapsed="false">
      <c r="A182" s="6" t="s">
        <v>358</v>
      </c>
      <c r="B182" s="6" t="s">
        <v>247</v>
      </c>
      <c r="C182" s="6" t="s">
        <v>248</v>
      </c>
      <c r="D182" s="6" t="s">
        <v>232</v>
      </c>
      <c r="E182" s="6" t="s">
        <v>129</v>
      </c>
      <c r="F182" s="6" t="s">
        <v>249</v>
      </c>
    </row>
    <row r="183" customFormat="false" ht="15" hidden="false" customHeight="false" outlineLevel="0" collapsed="false">
      <c r="A183" s="6" t="s">
        <v>358</v>
      </c>
      <c r="B183" s="6" t="s">
        <v>250</v>
      </c>
      <c r="C183" s="6" t="s">
        <v>104</v>
      </c>
      <c r="D183" s="6" t="s">
        <v>232</v>
      </c>
      <c r="E183" s="6" t="s">
        <v>129</v>
      </c>
      <c r="F183" s="6" t="s">
        <v>249</v>
      </c>
    </row>
    <row r="184" customFormat="false" ht="15" hidden="false" customHeight="false" outlineLevel="0" collapsed="false">
      <c r="A184" s="6" t="s">
        <v>358</v>
      </c>
      <c r="B184" s="6" t="s">
        <v>251</v>
      </c>
      <c r="C184" s="6" t="s">
        <v>359</v>
      </c>
      <c r="D184" s="6" t="s">
        <v>232</v>
      </c>
      <c r="E184" s="6" t="s">
        <v>129</v>
      </c>
      <c r="F184" s="6" t="s">
        <v>249</v>
      </c>
    </row>
    <row r="185" customFormat="false" ht="15" hidden="false" customHeight="false" outlineLevel="0" collapsed="false">
      <c r="A185" s="6" t="s">
        <v>358</v>
      </c>
      <c r="B185" s="6" t="s">
        <v>252</v>
      </c>
      <c r="C185" s="6" t="s">
        <v>360</v>
      </c>
      <c r="D185" s="6" t="s">
        <v>232</v>
      </c>
      <c r="E185" s="6" t="s">
        <v>129</v>
      </c>
      <c r="F185" s="6" t="s">
        <v>249</v>
      </c>
    </row>
    <row r="186" customFormat="false" ht="15" hidden="false" customHeight="false" outlineLevel="0" collapsed="false">
      <c r="A186" s="6" t="s">
        <v>358</v>
      </c>
      <c r="B186" s="6" t="s">
        <v>254</v>
      </c>
      <c r="C186" s="6" t="s">
        <v>361</v>
      </c>
      <c r="D186" s="6" t="s">
        <v>232</v>
      </c>
      <c r="E186" s="6" t="s">
        <v>129</v>
      </c>
      <c r="F186" s="6" t="s">
        <v>249</v>
      </c>
    </row>
    <row r="187" customFormat="false" ht="15" hidden="false" customHeight="false" outlineLevel="0" collapsed="false">
      <c r="A187" s="6" t="s">
        <v>358</v>
      </c>
      <c r="B187" s="6" t="s">
        <v>256</v>
      </c>
      <c r="C187" s="6" t="s">
        <v>362</v>
      </c>
      <c r="D187" s="6" t="s">
        <v>232</v>
      </c>
      <c r="E187" s="6" t="s">
        <v>129</v>
      </c>
      <c r="F187" s="6" t="s">
        <v>249</v>
      </c>
    </row>
  </sheetData>
  <autoFilter ref="A4:F1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4" min="2" style="0" width="7.5"/>
  </cols>
  <sheetData>
    <row r="1" customFormat="false" ht="19.4" hidden="false" customHeight="false" outlineLevel="0" collapsed="false">
      <c r="A1" s="7" t="s">
        <v>363</v>
      </c>
    </row>
    <row r="2" customFormat="false" ht="15" hidden="false" customHeight="false" outlineLevel="0" collapsed="false">
      <c r="A2" s="2" t="s">
        <v>364</v>
      </c>
    </row>
    <row r="4" customFormat="false" ht="15" hidden="false" customHeight="false" outlineLevel="0" collapsed="false">
      <c r="B4" s="8" t="s">
        <v>35</v>
      </c>
      <c r="C4" s="8" t="s">
        <v>40</v>
      </c>
      <c r="D4" s="8" t="s">
        <v>46</v>
      </c>
      <c r="E4" s="8" t="s">
        <v>49</v>
      </c>
      <c r="F4" s="8" t="s">
        <v>52</v>
      </c>
      <c r="G4" s="8" t="s">
        <v>55</v>
      </c>
      <c r="H4" s="8" t="s">
        <v>58</v>
      </c>
      <c r="I4" s="8" t="s">
        <v>61</v>
      </c>
      <c r="J4" s="8" t="s">
        <v>66</v>
      </c>
      <c r="K4" s="8" t="s">
        <v>70</v>
      </c>
      <c r="L4" s="8" t="s">
        <v>73</v>
      </c>
      <c r="M4" s="8" t="s">
        <v>76</v>
      </c>
      <c r="N4" s="8" t="s">
        <v>79</v>
      </c>
      <c r="O4" s="8" t="s">
        <v>83</v>
      </c>
      <c r="P4" s="8" t="s">
        <v>86</v>
      </c>
      <c r="Q4" s="8" t="s">
        <v>90</v>
      </c>
      <c r="R4" s="8" t="s">
        <v>93</v>
      </c>
      <c r="S4" s="8" t="s">
        <v>96</v>
      </c>
      <c r="T4" s="8" t="s">
        <v>100</v>
      </c>
      <c r="U4" s="8" t="s">
        <v>104</v>
      </c>
      <c r="V4" s="8" t="s">
        <v>107</v>
      </c>
      <c r="W4" s="8" t="s">
        <v>110</v>
      </c>
      <c r="X4" s="8" t="s">
        <v>245</v>
      </c>
    </row>
    <row r="5" customFormat="false" ht="15" hidden="false" customHeight="false" outlineLevel="0" collapsed="false">
      <c r="A5" s="8" t="s">
        <v>35</v>
      </c>
      <c r="B5" s="12"/>
      <c r="C5" s="13" t="s">
        <v>228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customFormat="false" ht="15" hidden="false" customHeight="false" outlineLevel="0" collapsed="false">
      <c r="A6" s="8" t="s">
        <v>40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customFormat="false" ht="15" hidden="false" customHeight="false" outlineLevel="0" collapsed="false">
      <c r="A7" s="8" t="s">
        <v>46</v>
      </c>
      <c r="B7" s="12"/>
      <c r="C7" s="12"/>
      <c r="D7" s="12"/>
      <c r="E7" s="13" t="s">
        <v>124</v>
      </c>
      <c r="F7" s="13" t="s">
        <v>131</v>
      </c>
      <c r="G7" s="12"/>
      <c r="H7" s="12"/>
      <c r="I7" s="12"/>
      <c r="J7" s="12"/>
      <c r="K7" s="12"/>
      <c r="L7" s="12"/>
      <c r="M7" s="13" t="s">
        <v>143</v>
      </c>
      <c r="N7" s="13" t="s">
        <v>139</v>
      </c>
      <c r="O7" s="12"/>
      <c r="P7" s="12"/>
      <c r="Q7" s="12"/>
      <c r="R7" s="12"/>
      <c r="S7" s="12"/>
      <c r="T7" s="12"/>
      <c r="U7" s="12"/>
      <c r="V7" s="12"/>
      <c r="W7" s="12"/>
      <c r="X7" s="12"/>
    </row>
    <row r="8" customFormat="false" ht="15" hidden="false" customHeight="false" outlineLevel="0" collapsed="false">
      <c r="A8" s="8" t="s">
        <v>49</v>
      </c>
      <c r="B8" s="12"/>
      <c r="C8" s="12"/>
      <c r="D8" s="12"/>
      <c r="E8" s="12"/>
      <c r="F8" s="13" t="s">
        <v>135</v>
      </c>
      <c r="G8" s="13" t="s">
        <v>147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 t="s">
        <v>165</v>
      </c>
      <c r="V8" s="12"/>
      <c r="W8" s="12"/>
      <c r="X8" s="12"/>
    </row>
    <row r="9" customFormat="false" ht="15" hidden="false" customHeight="false" outlineLevel="0" collapsed="false">
      <c r="A9" s="8" t="s">
        <v>52</v>
      </c>
      <c r="B9" s="12"/>
      <c r="C9" s="12"/>
      <c r="D9" s="12"/>
      <c r="E9" s="12"/>
      <c r="F9" s="12"/>
      <c r="G9" s="12"/>
      <c r="H9" s="13" t="s">
        <v>161</v>
      </c>
      <c r="I9" s="12"/>
      <c r="J9" s="12"/>
      <c r="K9" s="12"/>
      <c r="L9" s="12"/>
      <c r="M9" s="12"/>
      <c r="N9" s="12"/>
      <c r="O9" s="12"/>
      <c r="P9" s="12"/>
      <c r="Q9" s="13" t="s">
        <v>205</v>
      </c>
      <c r="R9" s="12"/>
      <c r="S9" s="12"/>
      <c r="T9" s="12"/>
      <c r="U9" s="12"/>
      <c r="V9" s="12"/>
      <c r="W9" s="12"/>
      <c r="X9" s="12"/>
    </row>
    <row r="10" customFormat="false" ht="15" hidden="false" customHeight="false" outlineLevel="0" collapsed="false">
      <c r="A10" s="8" t="s">
        <v>55</v>
      </c>
      <c r="B10" s="12"/>
      <c r="C10" s="12"/>
      <c r="D10" s="12"/>
      <c r="E10" s="12"/>
      <c r="F10" s="12"/>
      <c r="G10" s="12"/>
      <c r="H10" s="13" t="s">
        <v>157</v>
      </c>
      <c r="I10" s="13" t="s">
        <v>152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customFormat="false" ht="15" hidden="false" customHeight="false" outlineLevel="0" collapsed="false">
      <c r="A11" s="8" t="s">
        <v>58</v>
      </c>
      <c r="B11" s="12"/>
      <c r="C11" s="12"/>
      <c r="D11" s="12"/>
      <c r="E11" s="12"/>
      <c r="F11" s="12"/>
      <c r="G11" s="12"/>
      <c r="H11" s="12"/>
      <c r="I11" s="12"/>
      <c r="J11" s="13" t="s">
        <v>170</v>
      </c>
      <c r="K11" s="13" t="s">
        <v>184</v>
      </c>
      <c r="L11" s="13" t="s">
        <v>189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customFormat="false" ht="15" hidden="false" customHeight="false" outlineLevel="0" collapsed="false">
      <c r="A12" s="8" t="s">
        <v>61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customFormat="false" ht="15" hidden="false" customHeight="false" outlineLevel="0" collapsed="false">
      <c r="A13" s="8" t="s">
        <v>66</v>
      </c>
      <c r="B13" s="12"/>
      <c r="C13" s="12"/>
      <c r="D13" s="12"/>
      <c r="E13" s="12"/>
      <c r="F13" s="12"/>
      <c r="G13" s="12"/>
      <c r="H13" s="13" t="s">
        <v>170</v>
      </c>
      <c r="I13" s="12"/>
      <c r="J13" s="12"/>
      <c r="K13" s="12"/>
      <c r="L13" s="12"/>
      <c r="M13" s="12"/>
      <c r="N13" s="12"/>
      <c r="O13" s="12"/>
      <c r="P13" s="12"/>
      <c r="Q13" s="13" t="s">
        <v>214</v>
      </c>
      <c r="R13" s="13" t="s">
        <v>176</v>
      </c>
      <c r="S13" s="13" t="s">
        <v>180</v>
      </c>
      <c r="T13" s="12"/>
      <c r="U13" s="12"/>
      <c r="V13" s="12"/>
      <c r="W13" s="12"/>
      <c r="X13" s="12"/>
    </row>
    <row r="14" customFormat="false" ht="15" hidden="false" customHeight="false" outlineLevel="0" collapsed="false">
      <c r="A14" s="8" t="s">
        <v>70</v>
      </c>
      <c r="B14" s="12"/>
      <c r="C14" s="12"/>
      <c r="D14" s="12"/>
      <c r="E14" s="12"/>
      <c r="F14" s="12"/>
      <c r="G14" s="12"/>
      <c r="H14" s="13" t="s">
        <v>184</v>
      </c>
      <c r="I14" s="12"/>
      <c r="J14" s="12"/>
      <c r="K14" s="12"/>
      <c r="L14" s="13" t="s">
        <v>189</v>
      </c>
      <c r="M14" s="12"/>
      <c r="N14" s="12"/>
      <c r="O14" s="12"/>
      <c r="P14" s="12"/>
      <c r="Q14" s="13" t="s">
        <v>214</v>
      </c>
      <c r="R14" s="12"/>
      <c r="S14" s="12"/>
      <c r="T14" s="12"/>
      <c r="U14" s="12"/>
      <c r="V14" s="12"/>
      <c r="W14" s="12"/>
      <c r="X14" s="12"/>
    </row>
    <row r="15" customFormat="false" ht="15" hidden="false" customHeight="false" outlineLevel="0" collapsed="false">
      <c r="A15" s="8" t="s">
        <v>73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customFormat="false" ht="15" hidden="false" customHeight="false" outlineLevel="0" collapsed="false">
      <c r="A16" s="8" t="s">
        <v>76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 t="s">
        <v>202</v>
      </c>
      <c r="Q16" s="12"/>
      <c r="R16" s="12"/>
      <c r="S16" s="12"/>
      <c r="T16" s="12"/>
      <c r="U16" s="12"/>
      <c r="V16" s="12"/>
      <c r="W16" s="12"/>
      <c r="X16" s="12"/>
    </row>
    <row r="17" customFormat="false" ht="15" hidden="false" customHeight="false" outlineLevel="0" collapsed="false">
      <c r="A17" s="8" t="s">
        <v>79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 t="s">
        <v>198</v>
      </c>
      <c r="Q17" s="12"/>
      <c r="R17" s="12"/>
      <c r="S17" s="12"/>
      <c r="T17" s="12"/>
      <c r="U17" s="12"/>
      <c r="V17" s="12"/>
      <c r="W17" s="12"/>
      <c r="X17" s="12"/>
    </row>
    <row r="18" customFormat="false" ht="15" hidden="false" customHeight="false" outlineLevel="0" collapsed="false">
      <c r="A18" s="8" t="s">
        <v>83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 t="s">
        <v>193</v>
      </c>
      <c r="Q18" s="12"/>
      <c r="R18" s="12"/>
      <c r="S18" s="12"/>
      <c r="T18" s="12"/>
      <c r="U18" s="12"/>
      <c r="V18" s="12"/>
      <c r="W18" s="12"/>
      <c r="X18" s="12"/>
    </row>
    <row r="19" customFormat="false" ht="15" hidden="false" customHeight="false" outlineLevel="0" collapsed="false">
      <c r="A19" s="8" t="s">
        <v>86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customFormat="false" ht="15" hidden="false" customHeight="false" outlineLevel="0" collapsed="false">
      <c r="A20" s="8" t="s">
        <v>90</v>
      </c>
      <c r="B20" s="12"/>
      <c r="C20" s="12"/>
      <c r="D20" s="12"/>
      <c r="E20" s="12"/>
      <c r="F20" s="13" t="s">
        <v>205</v>
      </c>
      <c r="G20" s="12"/>
      <c r="H20" s="12"/>
      <c r="I20" s="12"/>
      <c r="J20" s="13" t="s">
        <v>214</v>
      </c>
      <c r="K20" s="13" t="s">
        <v>214</v>
      </c>
      <c r="L20" s="12"/>
      <c r="M20" s="12"/>
      <c r="N20" s="12"/>
      <c r="O20" s="12"/>
      <c r="P20" s="12"/>
      <c r="Q20" s="12"/>
      <c r="R20" s="12"/>
      <c r="S20" s="12"/>
      <c r="T20" s="13" t="s">
        <v>210</v>
      </c>
      <c r="U20" s="12"/>
      <c r="V20" s="12"/>
      <c r="W20" s="12"/>
      <c r="X20" s="12"/>
    </row>
    <row r="21" customFormat="false" ht="15" hidden="false" customHeight="false" outlineLevel="0" collapsed="false">
      <c r="A21" s="8" t="s">
        <v>93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customFormat="false" ht="15" hidden="false" customHeight="false" outlineLevel="0" collapsed="false">
      <c r="A22" s="8" t="s">
        <v>96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customFormat="false" ht="15" hidden="false" customHeight="false" outlineLevel="0" collapsed="false">
      <c r="A23" s="8" t="s">
        <v>100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customFormat="false" ht="15" hidden="false" customHeight="false" outlineLevel="0" collapsed="false">
      <c r="A24" s="8" t="s">
        <v>104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 t="s">
        <v>232</v>
      </c>
      <c r="X24" s="13" t="s">
        <v>232</v>
      </c>
    </row>
    <row r="25" customFormat="false" ht="15" hidden="false" customHeight="false" outlineLevel="0" collapsed="false">
      <c r="A25" s="8" t="s">
        <v>107</v>
      </c>
      <c r="B25" s="13" t="s">
        <v>224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customFormat="false" ht="15" hidden="false" customHeight="false" outlineLevel="0" collapsed="false">
      <c r="A26" s="8" t="s">
        <v>110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customFormat="false" ht="15" hidden="false" customHeight="false" outlineLevel="0" collapsed="false">
      <c r="A27" s="8" t="s">
        <v>245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 t="s">
        <v>219</v>
      </c>
      <c r="W27" s="12"/>
      <c r="X2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70"/>
    <col collapsed="false" customWidth="true" hidden="false" outlineLevel="0" max="8" min="8" style="0" width="8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7" min="12" style="0" width="8"/>
    <col collapsed="false" customWidth="true" hidden="false" outlineLevel="0" max="18" min="18" style="0" width="9"/>
    <col collapsed="false" customWidth="true" hidden="false" outlineLevel="0" max="19" min="19" style="0" width="12"/>
  </cols>
  <sheetData>
    <row r="1" customFormat="false" ht="19.4" hidden="false" customHeight="false" outlineLevel="0" collapsed="false">
      <c r="A1" s="7" t="s">
        <v>365</v>
      </c>
    </row>
    <row r="2" customFormat="false" ht="15" hidden="false" customHeight="false" outlineLevel="0" collapsed="false">
      <c r="A2" s="2" t="s">
        <v>366</v>
      </c>
    </row>
    <row r="4" customFormat="false" ht="26.85" hidden="false" customHeight="false" outlineLevel="0" collapsed="false">
      <c r="A4" s="9" t="s">
        <v>367</v>
      </c>
      <c r="B4" s="9" t="s">
        <v>368</v>
      </c>
      <c r="C4" s="9" t="s">
        <v>116</v>
      </c>
      <c r="D4" s="9" t="s">
        <v>241</v>
      </c>
      <c r="E4" s="9" t="s">
        <v>117</v>
      </c>
      <c r="F4" s="9" t="s">
        <v>369</v>
      </c>
      <c r="G4" s="9" t="s">
        <v>370</v>
      </c>
      <c r="H4" s="9" t="s">
        <v>371</v>
      </c>
      <c r="I4" s="9" t="s">
        <v>372</v>
      </c>
      <c r="J4" s="9" t="s">
        <v>373</v>
      </c>
      <c r="K4" s="9" t="s">
        <v>374</v>
      </c>
      <c r="L4" s="9" t="s">
        <v>375</v>
      </c>
      <c r="M4" s="9" t="s">
        <v>376</v>
      </c>
      <c r="N4" s="9" t="s">
        <v>377</v>
      </c>
      <c r="O4" s="9" t="s">
        <v>378</v>
      </c>
      <c r="P4" s="9" t="s">
        <v>379</v>
      </c>
      <c r="Q4" s="9" t="s">
        <v>380</v>
      </c>
      <c r="R4" s="8" t="s">
        <v>381</v>
      </c>
      <c r="S4" s="9" t="s">
        <v>382</v>
      </c>
    </row>
    <row r="5" customFormat="false" ht="30" hidden="false" customHeight="true" outlineLevel="0" collapsed="false">
      <c r="A5" s="6" t="s">
        <v>253</v>
      </c>
      <c r="B5" s="6" t="s">
        <v>383</v>
      </c>
      <c r="C5" s="4" t="s">
        <v>125</v>
      </c>
      <c r="D5" s="6" t="s">
        <v>124</v>
      </c>
      <c r="E5" s="4" t="str">
        <f aca="false">IFERROR(INDEX(연결!$C$5:$C$29,MATCH(D5,연결!$A$5:$A$29,0)),"")</f>
        <v>REQ → BIA</v>
      </c>
      <c r="F5" s="4" t="s">
        <v>384</v>
      </c>
      <c r="G5" s="4" t="s">
        <v>385</v>
      </c>
      <c r="H5" s="4" t="str">
        <f aca="false">IFERROR(INDEX(연결!$F$5:$F$29,MATCH(D5,연결!$A$5:$A$29,0)),"")</f>
        <v>A</v>
      </c>
      <c r="I5" s="6" t="s">
        <v>386</v>
      </c>
      <c r="J5" s="6" t="s">
        <v>387</v>
      </c>
      <c r="K5" s="4" t="str">
        <f aca="false">IF(COUNTIF($A$5:$A$94,A5)&lt;&gt;1,"ID 중복",IF(B5="C 연결",IF(COUNTIF(연결!$A$5:$A$29,D5)=1,"OK","연결 없음"),"OK"))</f>
        <v>OK</v>
      </c>
      <c r="L5" s="14"/>
      <c r="M5" s="14"/>
      <c r="N5" s="14"/>
      <c r="O5" s="14"/>
      <c r="P5" s="14"/>
      <c r="Q5" s="14"/>
      <c r="R5" s="15" t="str">
        <f aca="false">IFERROR(COUNTIF(L5:Q5,"&gt;=3")/COUNT(L5:Q5),"")</f>
        <v/>
      </c>
      <c r="S5" s="16" t="str">
        <f aca="false">IF(R5="","",IF(R5&gt;=검증!$B$4,"채택","수정·토론"))</f>
        <v/>
      </c>
    </row>
    <row r="6" customFormat="false" ht="30" hidden="false" customHeight="true" outlineLevel="0" collapsed="false">
      <c r="A6" s="6" t="s">
        <v>255</v>
      </c>
      <c r="B6" s="6" t="s">
        <v>383</v>
      </c>
      <c r="C6" s="4" t="s">
        <v>125</v>
      </c>
      <c r="D6" s="6" t="s">
        <v>124</v>
      </c>
      <c r="E6" s="4" t="str">
        <f aca="false">IFERROR(INDEX(연결!$C$5:$C$29,MATCH(D6,연결!$A$5:$A$29,0)),"")</f>
        <v>REQ → BIA</v>
      </c>
      <c r="F6" s="4" t="s">
        <v>388</v>
      </c>
      <c r="G6" s="4" t="s">
        <v>389</v>
      </c>
      <c r="H6" s="4" t="str">
        <f aca="false">IFERROR(INDEX(연결!$F$5:$F$29,MATCH(D6,연결!$A$5:$A$29,0)),"")</f>
        <v>A</v>
      </c>
      <c r="I6" s="6" t="s">
        <v>386</v>
      </c>
      <c r="J6" s="6" t="s">
        <v>390</v>
      </c>
      <c r="K6" s="4" t="str">
        <f aca="false">IF(COUNTIF($A$5:$A$94,A6)&lt;&gt;1,"ID 중복",IF(B6="C 연결",IF(COUNTIF(연결!$A$5:$A$29,D6)=1,"OK","연결 없음"),"OK"))</f>
        <v>OK</v>
      </c>
      <c r="L6" s="14"/>
      <c r="M6" s="14"/>
      <c r="N6" s="14"/>
      <c r="O6" s="14"/>
      <c r="P6" s="14"/>
      <c r="Q6" s="14"/>
      <c r="R6" s="15" t="str">
        <f aca="false">IFERROR(COUNTIF(L6:Q6,"&gt;=3")/COUNT(L6:Q6),"")</f>
        <v/>
      </c>
      <c r="S6" s="16" t="str">
        <f aca="false">IF(R6="","",IF(R6&gt;=검증!$B$4,"채택","수정·토론"))</f>
        <v/>
      </c>
    </row>
    <row r="7" customFormat="false" ht="30" hidden="false" customHeight="true" outlineLevel="0" collapsed="false">
      <c r="A7" s="6" t="s">
        <v>257</v>
      </c>
      <c r="B7" s="6" t="s">
        <v>383</v>
      </c>
      <c r="C7" s="4" t="s">
        <v>125</v>
      </c>
      <c r="D7" s="6" t="s">
        <v>124</v>
      </c>
      <c r="E7" s="4" t="str">
        <f aca="false">IFERROR(INDEX(연결!$C$5:$C$29,MATCH(D7,연결!$A$5:$A$29,0)),"")</f>
        <v>REQ → BIA</v>
      </c>
      <c r="F7" s="4" t="s">
        <v>391</v>
      </c>
      <c r="G7" s="4" t="s">
        <v>392</v>
      </c>
      <c r="H7" s="4" t="str">
        <f aca="false">IFERROR(INDEX(연결!$F$5:$F$29,MATCH(D7,연결!$A$5:$A$29,0)),"")</f>
        <v>A</v>
      </c>
      <c r="I7" s="6" t="s">
        <v>386</v>
      </c>
      <c r="J7" s="6" t="s">
        <v>393</v>
      </c>
      <c r="K7" s="4" t="str">
        <f aca="false">IF(COUNTIF($A$5:$A$94,A7)&lt;&gt;1,"ID 중복",IF(B7="C 연결",IF(COUNTIF(연결!$A$5:$A$29,D7)=1,"OK","연결 없음"),"OK"))</f>
        <v>OK</v>
      </c>
      <c r="L7" s="14"/>
      <c r="M7" s="14"/>
      <c r="N7" s="14"/>
      <c r="O7" s="14"/>
      <c r="P7" s="14"/>
      <c r="Q7" s="14"/>
      <c r="R7" s="15" t="str">
        <f aca="false">IFERROR(COUNTIF(L7:Q7,"&gt;=3")/COUNT(L7:Q7),"")</f>
        <v/>
      </c>
      <c r="S7" s="16" t="str">
        <f aca="false">IF(R7="","",IF(R7&gt;=검증!$B$4,"채택","수정·토론"))</f>
        <v/>
      </c>
    </row>
    <row r="8" customFormat="false" ht="30" hidden="false" customHeight="true" outlineLevel="0" collapsed="false">
      <c r="A8" s="6" t="s">
        <v>259</v>
      </c>
      <c r="B8" s="6" t="s">
        <v>383</v>
      </c>
      <c r="C8" s="4" t="s">
        <v>125</v>
      </c>
      <c r="D8" s="6" t="s">
        <v>131</v>
      </c>
      <c r="E8" s="4" t="str">
        <f aca="false">IFERROR(INDEX(연결!$C$5:$C$29,MATCH(D8,연결!$A$5:$A$29,0)),"")</f>
        <v>REQ → RA</v>
      </c>
      <c r="F8" s="4" t="s">
        <v>384</v>
      </c>
      <c r="G8" s="4" t="s">
        <v>394</v>
      </c>
      <c r="H8" s="4" t="str">
        <f aca="false">IFERROR(INDEX(연결!$F$5:$F$29,MATCH(D8,연결!$A$5:$A$29,0)),"")</f>
        <v>A</v>
      </c>
      <c r="I8" s="6" t="s">
        <v>386</v>
      </c>
      <c r="J8" s="6" t="s">
        <v>395</v>
      </c>
      <c r="K8" s="4" t="str">
        <f aca="false">IF(COUNTIF($A$5:$A$94,A8)&lt;&gt;1,"ID 중복",IF(B8="C 연결",IF(COUNTIF(연결!$A$5:$A$29,D8)=1,"OK","연결 없음"),"OK"))</f>
        <v>OK</v>
      </c>
      <c r="L8" s="14"/>
      <c r="M8" s="14"/>
      <c r="N8" s="14"/>
      <c r="O8" s="14"/>
      <c r="P8" s="14"/>
      <c r="Q8" s="14"/>
      <c r="R8" s="15" t="str">
        <f aca="false">IFERROR(COUNTIF(L8:Q8,"&gt;=3")/COUNT(L8:Q8),"")</f>
        <v/>
      </c>
      <c r="S8" s="16" t="str">
        <f aca="false">IF(R8="","",IF(R8&gt;=검증!$B$4,"채택","수정·토론"))</f>
        <v/>
      </c>
    </row>
    <row r="9" customFormat="false" ht="30" hidden="false" customHeight="true" outlineLevel="0" collapsed="false">
      <c r="A9" s="6" t="s">
        <v>260</v>
      </c>
      <c r="B9" s="6" t="s">
        <v>383</v>
      </c>
      <c r="C9" s="4" t="s">
        <v>125</v>
      </c>
      <c r="D9" s="6" t="s">
        <v>131</v>
      </c>
      <c r="E9" s="4" t="str">
        <f aca="false">IFERROR(INDEX(연결!$C$5:$C$29,MATCH(D9,연결!$A$5:$A$29,0)),"")</f>
        <v>REQ → RA</v>
      </c>
      <c r="F9" s="4" t="s">
        <v>388</v>
      </c>
      <c r="G9" s="4" t="s">
        <v>396</v>
      </c>
      <c r="H9" s="4" t="str">
        <f aca="false">IFERROR(INDEX(연결!$F$5:$F$29,MATCH(D9,연결!$A$5:$A$29,0)),"")</f>
        <v>A</v>
      </c>
      <c r="I9" s="6" t="s">
        <v>386</v>
      </c>
      <c r="J9" s="6" t="s">
        <v>397</v>
      </c>
      <c r="K9" s="4" t="str">
        <f aca="false">IF(COUNTIF($A$5:$A$94,A9)&lt;&gt;1,"ID 중복",IF(B9="C 연결",IF(COUNTIF(연결!$A$5:$A$29,D9)=1,"OK","연결 없음"),"OK"))</f>
        <v>OK</v>
      </c>
      <c r="L9" s="14"/>
      <c r="M9" s="14"/>
      <c r="N9" s="14"/>
      <c r="O9" s="14"/>
      <c r="P9" s="14"/>
      <c r="Q9" s="14"/>
      <c r="R9" s="15" t="str">
        <f aca="false">IFERROR(COUNTIF(L9:Q9,"&gt;=3")/COUNT(L9:Q9),"")</f>
        <v/>
      </c>
      <c r="S9" s="16" t="str">
        <f aca="false">IF(R9="","",IF(R9&gt;=검증!$B$4,"채택","수정·토론"))</f>
        <v/>
      </c>
    </row>
    <row r="10" customFormat="false" ht="30" hidden="false" customHeight="true" outlineLevel="0" collapsed="false">
      <c r="A10" s="6" t="s">
        <v>261</v>
      </c>
      <c r="B10" s="6" t="s">
        <v>383</v>
      </c>
      <c r="C10" s="4" t="s">
        <v>125</v>
      </c>
      <c r="D10" s="6" t="s">
        <v>131</v>
      </c>
      <c r="E10" s="4" t="str">
        <f aca="false">IFERROR(INDEX(연결!$C$5:$C$29,MATCH(D10,연결!$A$5:$A$29,0)),"")</f>
        <v>REQ → RA</v>
      </c>
      <c r="F10" s="4" t="s">
        <v>391</v>
      </c>
      <c r="G10" s="4" t="s">
        <v>398</v>
      </c>
      <c r="H10" s="4" t="str">
        <f aca="false">IFERROR(INDEX(연결!$F$5:$F$29,MATCH(D10,연결!$A$5:$A$29,0)),"")</f>
        <v>A</v>
      </c>
      <c r="I10" s="6" t="s">
        <v>386</v>
      </c>
      <c r="J10" s="6" t="s">
        <v>399</v>
      </c>
      <c r="K10" s="4" t="str">
        <f aca="false">IF(COUNTIF($A$5:$A$94,A10)&lt;&gt;1,"ID 중복",IF(B10="C 연결",IF(COUNTIF(연결!$A$5:$A$29,D10)=1,"OK","연결 없음"),"OK"))</f>
        <v>OK</v>
      </c>
      <c r="L10" s="14"/>
      <c r="M10" s="14"/>
      <c r="N10" s="14"/>
      <c r="O10" s="14"/>
      <c r="P10" s="14"/>
      <c r="Q10" s="14"/>
      <c r="R10" s="15" t="str">
        <f aca="false">IFERROR(COUNTIF(L10:Q10,"&gt;=3")/COUNT(L10:Q10),"")</f>
        <v/>
      </c>
      <c r="S10" s="16" t="str">
        <f aca="false">IF(R10="","",IF(R10&gt;=검증!$B$4,"채택","수정·토론"))</f>
        <v/>
      </c>
    </row>
    <row r="11" customFormat="false" ht="30" hidden="false" customHeight="true" outlineLevel="0" collapsed="false">
      <c r="A11" s="6" t="s">
        <v>263</v>
      </c>
      <c r="B11" s="6" t="s">
        <v>383</v>
      </c>
      <c r="C11" s="4" t="s">
        <v>125</v>
      </c>
      <c r="D11" s="6" t="s">
        <v>135</v>
      </c>
      <c r="E11" s="4" t="str">
        <f aca="false">IFERROR(INDEX(연결!$C$5:$C$29,MATCH(D11,연결!$A$5:$A$29,0)),"")</f>
        <v>BIA → RA</v>
      </c>
      <c r="F11" s="4" t="s">
        <v>384</v>
      </c>
      <c r="G11" s="4" t="s">
        <v>400</v>
      </c>
      <c r="H11" s="4" t="str">
        <f aca="false">IFERROR(INDEX(연결!$F$5:$F$29,MATCH(D11,연결!$A$5:$A$29,0)),"")</f>
        <v>A</v>
      </c>
      <c r="I11" s="6" t="s">
        <v>386</v>
      </c>
      <c r="J11" s="6" t="s">
        <v>401</v>
      </c>
      <c r="K11" s="4" t="str">
        <f aca="false">IF(COUNTIF($A$5:$A$94,A11)&lt;&gt;1,"ID 중복",IF(B11="C 연결",IF(COUNTIF(연결!$A$5:$A$29,D11)=1,"OK","연결 없음"),"OK"))</f>
        <v>OK</v>
      </c>
      <c r="L11" s="14"/>
      <c r="M11" s="14"/>
      <c r="N11" s="14"/>
      <c r="O11" s="14"/>
      <c r="P11" s="14"/>
      <c r="Q11" s="14"/>
      <c r="R11" s="15" t="str">
        <f aca="false">IFERROR(COUNTIF(L11:Q11,"&gt;=3")/COUNT(L11:Q11),"")</f>
        <v/>
      </c>
      <c r="S11" s="16" t="str">
        <f aca="false">IF(R11="","",IF(R11&gt;=검증!$B$4,"채택","수정·토론"))</f>
        <v/>
      </c>
    </row>
    <row r="12" customFormat="false" ht="30" hidden="false" customHeight="true" outlineLevel="0" collapsed="false">
      <c r="A12" s="6" t="s">
        <v>264</v>
      </c>
      <c r="B12" s="6" t="s">
        <v>383</v>
      </c>
      <c r="C12" s="4" t="s">
        <v>125</v>
      </c>
      <c r="D12" s="6" t="s">
        <v>135</v>
      </c>
      <c r="E12" s="4" t="str">
        <f aca="false">IFERROR(INDEX(연결!$C$5:$C$29,MATCH(D12,연결!$A$5:$A$29,0)),"")</f>
        <v>BIA → RA</v>
      </c>
      <c r="F12" s="4" t="s">
        <v>388</v>
      </c>
      <c r="G12" s="4" t="s">
        <v>402</v>
      </c>
      <c r="H12" s="4" t="str">
        <f aca="false">IFERROR(INDEX(연결!$F$5:$F$29,MATCH(D12,연결!$A$5:$A$29,0)),"")</f>
        <v>A</v>
      </c>
      <c r="I12" s="6" t="s">
        <v>386</v>
      </c>
      <c r="J12" s="6" t="s">
        <v>403</v>
      </c>
      <c r="K12" s="4" t="str">
        <f aca="false">IF(COUNTIF($A$5:$A$94,A12)&lt;&gt;1,"ID 중복",IF(B12="C 연결",IF(COUNTIF(연결!$A$5:$A$29,D12)=1,"OK","연결 없음"),"OK"))</f>
        <v>OK</v>
      </c>
      <c r="L12" s="14"/>
      <c r="M12" s="14"/>
      <c r="N12" s="14"/>
      <c r="O12" s="14"/>
      <c r="P12" s="14"/>
      <c r="Q12" s="14"/>
      <c r="R12" s="15" t="str">
        <f aca="false">IFERROR(COUNTIF(L12:Q12,"&gt;=3")/COUNT(L12:Q12),"")</f>
        <v/>
      </c>
      <c r="S12" s="16" t="str">
        <f aca="false">IF(R12="","",IF(R12&gt;=검증!$B$4,"채택","수정·토론"))</f>
        <v/>
      </c>
    </row>
    <row r="13" customFormat="false" ht="30" hidden="false" customHeight="true" outlineLevel="0" collapsed="false">
      <c r="A13" s="6" t="s">
        <v>265</v>
      </c>
      <c r="B13" s="6" t="s">
        <v>383</v>
      </c>
      <c r="C13" s="4" t="s">
        <v>125</v>
      </c>
      <c r="D13" s="6" t="s">
        <v>135</v>
      </c>
      <c r="E13" s="4" t="str">
        <f aca="false">IFERROR(INDEX(연결!$C$5:$C$29,MATCH(D13,연결!$A$5:$A$29,0)),"")</f>
        <v>BIA → RA</v>
      </c>
      <c r="F13" s="4" t="s">
        <v>391</v>
      </c>
      <c r="G13" s="4" t="s">
        <v>404</v>
      </c>
      <c r="H13" s="4" t="str">
        <f aca="false">IFERROR(INDEX(연결!$F$5:$F$29,MATCH(D13,연결!$A$5:$A$29,0)),"")</f>
        <v>A</v>
      </c>
      <c r="I13" s="6" t="s">
        <v>386</v>
      </c>
      <c r="J13" s="6" t="s">
        <v>405</v>
      </c>
      <c r="K13" s="4" t="str">
        <f aca="false">IF(COUNTIF($A$5:$A$94,A13)&lt;&gt;1,"ID 중복",IF(B13="C 연결",IF(COUNTIF(연결!$A$5:$A$29,D13)=1,"OK","연결 없음"),"OK"))</f>
        <v>OK</v>
      </c>
      <c r="L13" s="14"/>
      <c r="M13" s="14"/>
      <c r="N13" s="14"/>
      <c r="O13" s="14"/>
      <c r="P13" s="14"/>
      <c r="Q13" s="14"/>
      <c r="R13" s="15" t="str">
        <f aca="false">IFERROR(COUNTIF(L13:Q13,"&gt;=3")/COUNT(L13:Q13),"")</f>
        <v/>
      </c>
      <c r="S13" s="16" t="str">
        <f aca="false">IF(R13="","",IF(R13&gt;=검증!$B$4,"채택","수정·토론"))</f>
        <v/>
      </c>
    </row>
    <row r="14" customFormat="false" ht="30" hidden="false" customHeight="true" outlineLevel="0" collapsed="false">
      <c r="A14" s="6" t="s">
        <v>267</v>
      </c>
      <c r="B14" s="6" t="s">
        <v>383</v>
      </c>
      <c r="C14" s="4" t="s">
        <v>125</v>
      </c>
      <c r="D14" s="6" t="s">
        <v>139</v>
      </c>
      <c r="E14" s="4" t="str">
        <f aca="false">IFERROR(INDEX(연결!$C$5:$C$29,MATCH(D14,연결!$A$5:$A$29,0)),"")</f>
        <v>REQ → AUD</v>
      </c>
      <c r="F14" s="4" t="s">
        <v>384</v>
      </c>
      <c r="G14" s="4" t="s">
        <v>406</v>
      </c>
      <c r="H14" s="4" t="str">
        <f aca="false">IFERROR(INDEX(연결!$F$5:$F$29,MATCH(D14,연결!$A$5:$A$29,0)),"")</f>
        <v>A</v>
      </c>
      <c r="I14" s="6" t="s">
        <v>386</v>
      </c>
      <c r="J14" s="6" t="s">
        <v>407</v>
      </c>
      <c r="K14" s="4" t="str">
        <f aca="false">IF(COUNTIF($A$5:$A$94,A14)&lt;&gt;1,"ID 중복",IF(B14="C 연결",IF(COUNTIF(연결!$A$5:$A$29,D14)=1,"OK","연결 없음"),"OK"))</f>
        <v>OK</v>
      </c>
      <c r="L14" s="14"/>
      <c r="M14" s="14"/>
      <c r="N14" s="14"/>
      <c r="O14" s="14"/>
      <c r="P14" s="14"/>
      <c r="Q14" s="14"/>
      <c r="R14" s="15" t="str">
        <f aca="false">IFERROR(COUNTIF(L14:Q14,"&gt;=3")/COUNT(L14:Q14),"")</f>
        <v/>
      </c>
      <c r="S14" s="16" t="str">
        <f aca="false">IF(R14="","",IF(R14&gt;=검증!$B$4,"채택","수정·토론"))</f>
        <v/>
      </c>
    </row>
    <row r="15" customFormat="false" ht="30" hidden="false" customHeight="true" outlineLevel="0" collapsed="false">
      <c r="A15" s="6" t="s">
        <v>268</v>
      </c>
      <c r="B15" s="6" t="s">
        <v>383</v>
      </c>
      <c r="C15" s="4" t="s">
        <v>125</v>
      </c>
      <c r="D15" s="6" t="s">
        <v>139</v>
      </c>
      <c r="E15" s="4" t="str">
        <f aca="false">IFERROR(INDEX(연결!$C$5:$C$29,MATCH(D15,연결!$A$5:$A$29,0)),"")</f>
        <v>REQ → AUD</v>
      </c>
      <c r="F15" s="4" t="s">
        <v>388</v>
      </c>
      <c r="G15" s="4" t="s">
        <v>408</v>
      </c>
      <c r="H15" s="4" t="str">
        <f aca="false">IFERROR(INDEX(연결!$F$5:$F$29,MATCH(D15,연결!$A$5:$A$29,0)),"")</f>
        <v>A</v>
      </c>
      <c r="I15" s="6" t="s">
        <v>386</v>
      </c>
      <c r="J15" s="6" t="s">
        <v>409</v>
      </c>
      <c r="K15" s="4" t="str">
        <f aca="false">IF(COUNTIF($A$5:$A$94,A15)&lt;&gt;1,"ID 중복",IF(B15="C 연결",IF(COUNTIF(연결!$A$5:$A$29,D15)=1,"OK","연결 없음"),"OK"))</f>
        <v>OK</v>
      </c>
      <c r="L15" s="14"/>
      <c r="M15" s="14"/>
      <c r="N15" s="14"/>
      <c r="O15" s="14"/>
      <c r="P15" s="14"/>
      <c r="Q15" s="14"/>
      <c r="R15" s="15" t="str">
        <f aca="false">IFERROR(COUNTIF(L15:Q15,"&gt;=3")/COUNT(L15:Q15),"")</f>
        <v/>
      </c>
      <c r="S15" s="16" t="str">
        <f aca="false">IF(R15="","",IF(R15&gt;=검증!$B$4,"채택","수정·토론"))</f>
        <v/>
      </c>
    </row>
    <row r="16" customFormat="false" ht="30" hidden="false" customHeight="true" outlineLevel="0" collapsed="false">
      <c r="A16" s="6" t="s">
        <v>269</v>
      </c>
      <c r="B16" s="6" t="s">
        <v>383</v>
      </c>
      <c r="C16" s="4" t="s">
        <v>125</v>
      </c>
      <c r="D16" s="6" t="s">
        <v>139</v>
      </c>
      <c r="E16" s="4" t="str">
        <f aca="false">IFERROR(INDEX(연결!$C$5:$C$29,MATCH(D16,연결!$A$5:$A$29,0)),"")</f>
        <v>REQ → AUD</v>
      </c>
      <c r="F16" s="4" t="s">
        <v>391</v>
      </c>
      <c r="G16" s="4" t="s">
        <v>410</v>
      </c>
      <c r="H16" s="4" t="str">
        <f aca="false">IFERROR(INDEX(연결!$F$5:$F$29,MATCH(D16,연결!$A$5:$A$29,0)),"")</f>
        <v>A</v>
      </c>
      <c r="I16" s="6" t="s">
        <v>386</v>
      </c>
      <c r="J16" s="6" t="s">
        <v>411</v>
      </c>
      <c r="K16" s="4" t="str">
        <f aca="false">IF(COUNTIF($A$5:$A$94,A16)&lt;&gt;1,"ID 중복",IF(B16="C 연결",IF(COUNTIF(연결!$A$5:$A$29,D16)=1,"OK","연결 없음"),"OK"))</f>
        <v>OK</v>
      </c>
      <c r="L16" s="14"/>
      <c r="M16" s="14"/>
      <c r="N16" s="14"/>
      <c r="O16" s="14"/>
      <c r="P16" s="14"/>
      <c r="Q16" s="14"/>
      <c r="R16" s="15" t="str">
        <f aca="false">IFERROR(COUNTIF(L16:Q16,"&gt;=3")/COUNT(L16:Q16),"")</f>
        <v/>
      </c>
      <c r="S16" s="16" t="str">
        <f aca="false">IF(R16="","",IF(R16&gt;=검증!$B$4,"채택","수정·토론"))</f>
        <v/>
      </c>
    </row>
    <row r="17" customFormat="false" ht="30" hidden="false" customHeight="true" outlineLevel="0" collapsed="false">
      <c r="A17" s="6" t="s">
        <v>271</v>
      </c>
      <c r="B17" s="6" t="s">
        <v>383</v>
      </c>
      <c r="C17" s="4" t="s">
        <v>125</v>
      </c>
      <c r="D17" s="6" t="s">
        <v>143</v>
      </c>
      <c r="E17" s="4" t="str">
        <f aca="false">IFERROR(INDEX(연결!$C$5:$C$29,MATCH(D17,연결!$A$5:$A$29,0)),"")</f>
        <v>REQ → SUP</v>
      </c>
      <c r="F17" s="4" t="s">
        <v>384</v>
      </c>
      <c r="G17" s="4" t="s">
        <v>412</v>
      </c>
      <c r="H17" s="4" t="str">
        <f aca="false">IFERROR(INDEX(연결!$F$5:$F$29,MATCH(D17,연결!$A$5:$A$29,0)),"")</f>
        <v>A</v>
      </c>
      <c r="I17" s="6" t="s">
        <v>386</v>
      </c>
      <c r="J17" s="6" t="s">
        <v>413</v>
      </c>
      <c r="K17" s="4" t="str">
        <f aca="false">IF(COUNTIF($A$5:$A$94,A17)&lt;&gt;1,"ID 중복",IF(B17="C 연결",IF(COUNTIF(연결!$A$5:$A$29,D17)=1,"OK","연결 없음"),"OK"))</f>
        <v>OK</v>
      </c>
      <c r="L17" s="14"/>
      <c r="M17" s="14"/>
      <c r="N17" s="14"/>
      <c r="O17" s="14"/>
      <c r="P17" s="14"/>
      <c r="Q17" s="14"/>
      <c r="R17" s="15" t="str">
        <f aca="false">IFERROR(COUNTIF(L17:Q17,"&gt;=3")/COUNT(L17:Q17),"")</f>
        <v/>
      </c>
      <c r="S17" s="16" t="str">
        <f aca="false">IF(R17="","",IF(R17&gt;=검증!$B$4,"채택","수정·토론"))</f>
        <v/>
      </c>
    </row>
    <row r="18" customFormat="false" ht="30" hidden="false" customHeight="true" outlineLevel="0" collapsed="false">
      <c r="A18" s="6" t="s">
        <v>272</v>
      </c>
      <c r="B18" s="6" t="s">
        <v>383</v>
      </c>
      <c r="C18" s="4" t="s">
        <v>125</v>
      </c>
      <c r="D18" s="6" t="s">
        <v>143</v>
      </c>
      <c r="E18" s="4" t="str">
        <f aca="false">IFERROR(INDEX(연결!$C$5:$C$29,MATCH(D18,연결!$A$5:$A$29,0)),"")</f>
        <v>REQ → SUP</v>
      </c>
      <c r="F18" s="4" t="s">
        <v>388</v>
      </c>
      <c r="G18" s="4" t="s">
        <v>414</v>
      </c>
      <c r="H18" s="4" t="str">
        <f aca="false">IFERROR(INDEX(연결!$F$5:$F$29,MATCH(D18,연결!$A$5:$A$29,0)),"")</f>
        <v>A</v>
      </c>
      <c r="I18" s="6" t="s">
        <v>386</v>
      </c>
      <c r="J18" s="6" t="s">
        <v>415</v>
      </c>
      <c r="K18" s="4" t="str">
        <f aca="false">IF(COUNTIF($A$5:$A$94,A18)&lt;&gt;1,"ID 중복",IF(B18="C 연결",IF(COUNTIF(연결!$A$5:$A$29,D18)=1,"OK","연결 없음"),"OK"))</f>
        <v>OK</v>
      </c>
      <c r="L18" s="14"/>
      <c r="M18" s="14"/>
      <c r="N18" s="14"/>
      <c r="O18" s="14"/>
      <c r="P18" s="14"/>
      <c r="Q18" s="14"/>
      <c r="R18" s="15" t="str">
        <f aca="false">IFERROR(COUNTIF(L18:Q18,"&gt;=3")/COUNT(L18:Q18),"")</f>
        <v/>
      </c>
      <c r="S18" s="16" t="str">
        <f aca="false">IF(R18="","",IF(R18&gt;=검증!$B$4,"채택","수정·토론"))</f>
        <v/>
      </c>
    </row>
    <row r="19" customFormat="false" ht="30" hidden="false" customHeight="true" outlineLevel="0" collapsed="false">
      <c r="A19" s="6" t="s">
        <v>273</v>
      </c>
      <c r="B19" s="6" t="s">
        <v>383</v>
      </c>
      <c r="C19" s="4" t="s">
        <v>125</v>
      </c>
      <c r="D19" s="6" t="s">
        <v>143</v>
      </c>
      <c r="E19" s="4" t="str">
        <f aca="false">IFERROR(INDEX(연결!$C$5:$C$29,MATCH(D19,연결!$A$5:$A$29,0)),"")</f>
        <v>REQ → SUP</v>
      </c>
      <c r="F19" s="4" t="s">
        <v>391</v>
      </c>
      <c r="G19" s="4" t="s">
        <v>416</v>
      </c>
      <c r="H19" s="4" t="str">
        <f aca="false">IFERROR(INDEX(연결!$F$5:$F$29,MATCH(D19,연결!$A$5:$A$29,0)),"")</f>
        <v>A</v>
      </c>
      <c r="I19" s="6" t="s">
        <v>386</v>
      </c>
      <c r="J19" s="6" t="s">
        <v>417</v>
      </c>
      <c r="K19" s="4" t="str">
        <f aca="false">IF(COUNTIF($A$5:$A$94,A19)&lt;&gt;1,"ID 중복",IF(B19="C 연결",IF(COUNTIF(연결!$A$5:$A$29,D19)=1,"OK","연결 없음"),"OK"))</f>
        <v>OK</v>
      </c>
      <c r="L19" s="14"/>
      <c r="M19" s="14"/>
      <c r="N19" s="14"/>
      <c r="O19" s="14"/>
      <c r="P19" s="14"/>
      <c r="Q19" s="14"/>
      <c r="R19" s="15" t="str">
        <f aca="false">IFERROR(COUNTIF(L19:Q19,"&gt;=3")/COUNT(L19:Q19),"")</f>
        <v/>
      </c>
      <c r="S19" s="16" t="str">
        <f aca="false">IF(R19="","",IF(R19&gt;=검증!$B$4,"채택","수정·토론"))</f>
        <v/>
      </c>
    </row>
    <row r="20" customFormat="false" ht="30" hidden="false" customHeight="true" outlineLevel="0" collapsed="false">
      <c r="A20" s="6" t="s">
        <v>275</v>
      </c>
      <c r="B20" s="6" t="s">
        <v>383</v>
      </c>
      <c r="C20" s="4" t="s">
        <v>148</v>
      </c>
      <c r="D20" s="6" t="s">
        <v>147</v>
      </c>
      <c r="E20" s="4" t="str">
        <f aca="false">IFERROR(INDEX(연결!$C$5:$C$29,MATCH(D20,연결!$A$5:$A$29,0)),"")</f>
        <v>BIA → STR</v>
      </c>
      <c r="F20" s="4" t="s">
        <v>384</v>
      </c>
      <c r="G20" s="4" t="s">
        <v>418</v>
      </c>
      <c r="H20" s="4" t="str">
        <f aca="false">IFERROR(INDEX(연결!$F$5:$F$29,MATCH(D20,연결!$A$5:$A$29,0)),"")</f>
        <v>A</v>
      </c>
      <c r="I20" s="6" t="s">
        <v>386</v>
      </c>
      <c r="J20" s="6" t="s">
        <v>419</v>
      </c>
      <c r="K20" s="4" t="str">
        <f aca="false">IF(COUNTIF($A$5:$A$94,A20)&lt;&gt;1,"ID 중복",IF(B20="C 연결",IF(COUNTIF(연결!$A$5:$A$29,D20)=1,"OK","연결 없음"),"OK"))</f>
        <v>OK</v>
      </c>
      <c r="L20" s="14"/>
      <c r="M20" s="14"/>
      <c r="N20" s="14"/>
      <c r="O20" s="14"/>
      <c r="P20" s="14"/>
      <c r="Q20" s="14"/>
      <c r="R20" s="15" t="str">
        <f aca="false">IFERROR(COUNTIF(L20:Q20,"&gt;=3")/COUNT(L20:Q20),"")</f>
        <v/>
      </c>
      <c r="S20" s="16" t="str">
        <f aca="false">IF(R20="","",IF(R20&gt;=검증!$B$4,"채택","수정·토론"))</f>
        <v/>
      </c>
    </row>
    <row r="21" customFormat="false" ht="30" hidden="false" customHeight="true" outlineLevel="0" collapsed="false">
      <c r="A21" s="6" t="s">
        <v>276</v>
      </c>
      <c r="B21" s="6" t="s">
        <v>383</v>
      </c>
      <c r="C21" s="4" t="s">
        <v>148</v>
      </c>
      <c r="D21" s="6" t="s">
        <v>147</v>
      </c>
      <c r="E21" s="4" t="str">
        <f aca="false">IFERROR(INDEX(연결!$C$5:$C$29,MATCH(D21,연결!$A$5:$A$29,0)),"")</f>
        <v>BIA → STR</v>
      </c>
      <c r="F21" s="4" t="s">
        <v>388</v>
      </c>
      <c r="G21" s="4" t="s">
        <v>420</v>
      </c>
      <c r="H21" s="4" t="str">
        <f aca="false">IFERROR(INDEX(연결!$F$5:$F$29,MATCH(D21,연결!$A$5:$A$29,0)),"")</f>
        <v>A</v>
      </c>
      <c r="I21" s="6" t="s">
        <v>386</v>
      </c>
      <c r="J21" s="6" t="s">
        <v>421</v>
      </c>
      <c r="K21" s="4" t="str">
        <f aca="false">IF(COUNTIF($A$5:$A$94,A21)&lt;&gt;1,"ID 중복",IF(B21="C 연결",IF(COUNTIF(연결!$A$5:$A$29,D21)=1,"OK","연결 없음"),"OK"))</f>
        <v>OK</v>
      </c>
      <c r="L21" s="14"/>
      <c r="M21" s="14"/>
      <c r="N21" s="14"/>
      <c r="O21" s="14"/>
      <c r="P21" s="14"/>
      <c r="Q21" s="14"/>
      <c r="R21" s="15" t="str">
        <f aca="false">IFERROR(COUNTIF(L21:Q21,"&gt;=3")/COUNT(L21:Q21),"")</f>
        <v/>
      </c>
      <c r="S21" s="16" t="str">
        <f aca="false">IF(R21="","",IF(R21&gt;=검증!$B$4,"채택","수정·토론"))</f>
        <v/>
      </c>
    </row>
    <row r="22" customFormat="false" ht="30" hidden="false" customHeight="true" outlineLevel="0" collapsed="false">
      <c r="A22" s="6" t="s">
        <v>277</v>
      </c>
      <c r="B22" s="6" t="s">
        <v>383</v>
      </c>
      <c r="C22" s="4" t="s">
        <v>148</v>
      </c>
      <c r="D22" s="6" t="s">
        <v>147</v>
      </c>
      <c r="E22" s="4" t="str">
        <f aca="false">IFERROR(INDEX(연결!$C$5:$C$29,MATCH(D22,연결!$A$5:$A$29,0)),"")</f>
        <v>BIA → STR</v>
      </c>
      <c r="F22" s="4" t="s">
        <v>391</v>
      </c>
      <c r="G22" s="4" t="s">
        <v>422</v>
      </c>
      <c r="H22" s="4" t="str">
        <f aca="false">IFERROR(INDEX(연결!$F$5:$F$29,MATCH(D22,연결!$A$5:$A$29,0)),"")</f>
        <v>A</v>
      </c>
      <c r="I22" s="6" t="s">
        <v>386</v>
      </c>
      <c r="J22" s="6" t="s">
        <v>423</v>
      </c>
      <c r="K22" s="4" t="str">
        <f aca="false">IF(COUNTIF($A$5:$A$94,A22)&lt;&gt;1,"ID 중복",IF(B22="C 연결",IF(COUNTIF(연결!$A$5:$A$29,D22)=1,"OK","연결 없음"),"OK"))</f>
        <v>OK</v>
      </c>
      <c r="L22" s="14"/>
      <c r="M22" s="14"/>
      <c r="N22" s="14"/>
      <c r="O22" s="14"/>
      <c r="P22" s="14"/>
      <c r="Q22" s="14"/>
      <c r="R22" s="15" t="str">
        <f aca="false">IFERROR(COUNTIF(L22:Q22,"&gt;=3")/COUNT(L22:Q22),"")</f>
        <v/>
      </c>
      <c r="S22" s="16" t="str">
        <f aca="false">IF(R22="","",IF(R22&gt;=검증!$B$4,"채택","수정·토론"))</f>
        <v/>
      </c>
    </row>
    <row r="23" customFormat="false" ht="30" hidden="false" customHeight="true" outlineLevel="0" collapsed="false">
      <c r="A23" s="6" t="s">
        <v>279</v>
      </c>
      <c r="B23" s="6" t="s">
        <v>383</v>
      </c>
      <c r="C23" s="4" t="s">
        <v>148</v>
      </c>
      <c r="D23" s="6" t="s">
        <v>152</v>
      </c>
      <c r="E23" s="4" t="str">
        <f aca="false">IFERROR(INDEX(연결!$C$5:$C$29,MATCH(D23,연결!$A$5:$A$29,0)),"")</f>
        <v>STR → IMP</v>
      </c>
      <c r="F23" s="4" t="s">
        <v>384</v>
      </c>
      <c r="G23" s="4" t="s">
        <v>424</v>
      </c>
      <c r="H23" s="4" t="str">
        <f aca="false">IFERROR(INDEX(연결!$F$5:$F$29,MATCH(D23,연결!$A$5:$A$29,0)),"")</f>
        <v>A</v>
      </c>
      <c r="I23" s="6" t="s">
        <v>386</v>
      </c>
      <c r="J23" s="6" t="s">
        <v>425</v>
      </c>
      <c r="K23" s="4" t="str">
        <f aca="false">IF(COUNTIF($A$5:$A$94,A23)&lt;&gt;1,"ID 중복",IF(B23="C 연결",IF(COUNTIF(연결!$A$5:$A$29,D23)=1,"OK","연결 없음"),"OK"))</f>
        <v>OK</v>
      </c>
      <c r="L23" s="14"/>
      <c r="M23" s="14"/>
      <c r="N23" s="14"/>
      <c r="O23" s="14"/>
      <c r="P23" s="14"/>
      <c r="Q23" s="14"/>
      <c r="R23" s="15" t="str">
        <f aca="false">IFERROR(COUNTIF(L23:Q23,"&gt;=3")/COUNT(L23:Q23),"")</f>
        <v/>
      </c>
      <c r="S23" s="16" t="str">
        <f aca="false">IF(R23="","",IF(R23&gt;=검증!$B$4,"채택","수정·토론"))</f>
        <v/>
      </c>
    </row>
    <row r="24" customFormat="false" ht="30" hidden="false" customHeight="true" outlineLevel="0" collapsed="false">
      <c r="A24" s="6" t="s">
        <v>280</v>
      </c>
      <c r="B24" s="6" t="s">
        <v>383</v>
      </c>
      <c r="C24" s="4" t="s">
        <v>148</v>
      </c>
      <c r="D24" s="6" t="s">
        <v>152</v>
      </c>
      <c r="E24" s="4" t="str">
        <f aca="false">IFERROR(INDEX(연결!$C$5:$C$29,MATCH(D24,연결!$A$5:$A$29,0)),"")</f>
        <v>STR → IMP</v>
      </c>
      <c r="F24" s="4" t="s">
        <v>388</v>
      </c>
      <c r="G24" s="4" t="s">
        <v>426</v>
      </c>
      <c r="H24" s="4" t="str">
        <f aca="false">IFERROR(INDEX(연결!$F$5:$F$29,MATCH(D24,연결!$A$5:$A$29,0)),"")</f>
        <v>A</v>
      </c>
      <c r="I24" s="6" t="s">
        <v>386</v>
      </c>
      <c r="J24" s="6" t="s">
        <v>427</v>
      </c>
      <c r="K24" s="4" t="str">
        <f aca="false">IF(COUNTIF($A$5:$A$94,A24)&lt;&gt;1,"ID 중복",IF(B24="C 연결",IF(COUNTIF(연결!$A$5:$A$29,D24)=1,"OK","연결 없음"),"OK"))</f>
        <v>OK</v>
      </c>
      <c r="L24" s="14"/>
      <c r="M24" s="14"/>
      <c r="N24" s="14"/>
      <c r="O24" s="14"/>
      <c r="P24" s="14"/>
      <c r="Q24" s="14"/>
      <c r="R24" s="15" t="str">
        <f aca="false">IFERROR(COUNTIF(L24:Q24,"&gt;=3")/COUNT(L24:Q24),"")</f>
        <v/>
      </c>
      <c r="S24" s="16" t="str">
        <f aca="false">IF(R24="","",IF(R24&gt;=검증!$B$4,"채택","수정·토론"))</f>
        <v/>
      </c>
    </row>
    <row r="25" customFormat="false" ht="30" hidden="false" customHeight="true" outlineLevel="0" collapsed="false">
      <c r="A25" s="6" t="s">
        <v>281</v>
      </c>
      <c r="B25" s="6" t="s">
        <v>383</v>
      </c>
      <c r="C25" s="4" t="s">
        <v>148</v>
      </c>
      <c r="D25" s="6" t="s">
        <v>152</v>
      </c>
      <c r="E25" s="4" t="str">
        <f aca="false">IFERROR(INDEX(연결!$C$5:$C$29,MATCH(D25,연결!$A$5:$A$29,0)),"")</f>
        <v>STR → IMP</v>
      </c>
      <c r="F25" s="4" t="s">
        <v>391</v>
      </c>
      <c r="G25" s="4" t="s">
        <v>428</v>
      </c>
      <c r="H25" s="4" t="str">
        <f aca="false">IFERROR(INDEX(연결!$F$5:$F$29,MATCH(D25,연결!$A$5:$A$29,0)),"")</f>
        <v>A</v>
      </c>
      <c r="I25" s="6" t="s">
        <v>386</v>
      </c>
      <c r="J25" s="6" t="s">
        <v>429</v>
      </c>
      <c r="K25" s="4" t="str">
        <f aca="false">IF(COUNTIF($A$5:$A$94,A25)&lt;&gt;1,"ID 중복",IF(B25="C 연결",IF(COUNTIF(연결!$A$5:$A$29,D25)=1,"OK","연결 없음"),"OK"))</f>
        <v>OK</v>
      </c>
      <c r="L25" s="14"/>
      <c r="M25" s="14"/>
      <c r="N25" s="14"/>
      <c r="O25" s="14"/>
      <c r="P25" s="14"/>
      <c r="Q25" s="14"/>
      <c r="R25" s="15" t="str">
        <f aca="false">IFERROR(COUNTIF(L25:Q25,"&gt;=3")/COUNT(L25:Q25),"")</f>
        <v/>
      </c>
      <c r="S25" s="16" t="str">
        <f aca="false">IF(R25="","",IF(R25&gt;=검증!$B$4,"채택","수정·토론"))</f>
        <v/>
      </c>
    </row>
    <row r="26" customFormat="false" ht="30" hidden="false" customHeight="true" outlineLevel="0" collapsed="false">
      <c r="A26" s="6" t="s">
        <v>283</v>
      </c>
      <c r="B26" s="6" t="s">
        <v>383</v>
      </c>
      <c r="C26" s="4" t="s">
        <v>148</v>
      </c>
      <c r="D26" s="6" t="s">
        <v>157</v>
      </c>
      <c r="E26" s="4" t="str">
        <f aca="false">IFERROR(INDEX(연결!$C$5:$C$29,MATCH(D26,연결!$A$5:$A$29,0)),"")</f>
        <v>STR → PLAN</v>
      </c>
      <c r="F26" s="4" t="s">
        <v>384</v>
      </c>
      <c r="G26" s="4" t="s">
        <v>430</v>
      </c>
      <c r="H26" s="4" t="str">
        <f aca="false">IFERROR(INDEX(연결!$F$5:$F$29,MATCH(D26,연결!$A$5:$A$29,0)),"")</f>
        <v>A</v>
      </c>
      <c r="I26" s="6" t="s">
        <v>386</v>
      </c>
      <c r="J26" s="6" t="s">
        <v>431</v>
      </c>
      <c r="K26" s="4" t="str">
        <f aca="false">IF(COUNTIF($A$5:$A$94,A26)&lt;&gt;1,"ID 중복",IF(B26="C 연결",IF(COUNTIF(연결!$A$5:$A$29,D26)=1,"OK","연결 없음"),"OK"))</f>
        <v>OK</v>
      </c>
      <c r="L26" s="14"/>
      <c r="M26" s="14"/>
      <c r="N26" s="14"/>
      <c r="O26" s="14"/>
      <c r="P26" s="14"/>
      <c r="Q26" s="14"/>
      <c r="R26" s="15" t="str">
        <f aca="false">IFERROR(COUNTIF(L26:Q26,"&gt;=3")/COUNT(L26:Q26),"")</f>
        <v/>
      </c>
      <c r="S26" s="16" t="str">
        <f aca="false">IF(R26="","",IF(R26&gt;=검증!$B$4,"채택","수정·토론"))</f>
        <v/>
      </c>
    </row>
    <row r="27" customFormat="false" ht="30" hidden="false" customHeight="true" outlineLevel="0" collapsed="false">
      <c r="A27" s="6" t="s">
        <v>284</v>
      </c>
      <c r="B27" s="6" t="s">
        <v>383</v>
      </c>
      <c r="C27" s="4" t="s">
        <v>148</v>
      </c>
      <c r="D27" s="6" t="s">
        <v>157</v>
      </c>
      <c r="E27" s="4" t="str">
        <f aca="false">IFERROR(INDEX(연결!$C$5:$C$29,MATCH(D27,연결!$A$5:$A$29,0)),"")</f>
        <v>STR → PLAN</v>
      </c>
      <c r="F27" s="4" t="s">
        <v>388</v>
      </c>
      <c r="G27" s="4" t="s">
        <v>432</v>
      </c>
      <c r="H27" s="4" t="str">
        <f aca="false">IFERROR(INDEX(연결!$F$5:$F$29,MATCH(D27,연결!$A$5:$A$29,0)),"")</f>
        <v>A</v>
      </c>
      <c r="I27" s="6" t="s">
        <v>386</v>
      </c>
      <c r="J27" s="6" t="s">
        <v>433</v>
      </c>
      <c r="K27" s="4" t="str">
        <f aca="false">IF(COUNTIF($A$5:$A$94,A27)&lt;&gt;1,"ID 중복",IF(B27="C 연결",IF(COUNTIF(연결!$A$5:$A$29,D27)=1,"OK","연결 없음"),"OK"))</f>
        <v>OK</v>
      </c>
      <c r="L27" s="14"/>
      <c r="M27" s="14"/>
      <c r="N27" s="14"/>
      <c r="O27" s="14"/>
      <c r="P27" s="14"/>
      <c r="Q27" s="14"/>
      <c r="R27" s="15" t="str">
        <f aca="false">IFERROR(COUNTIF(L27:Q27,"&gt;=3")/COUNT(L27:Q27),"")</f>
        <v/>
      </c>
      <c r="S27" s="16" t="str">
        <f aca="false">IF(R27="","",IF(R27&gt;=검증!$B$4,"채택","수정·토론"))</f>
        <v/>
      </c>
    </row>
    <row r="28" customFormat="false" ht="30" hidden="false" customHeight="true" outlineLevel="0" collapsed="false">
      <c r="A28" s="6" t="s">
        <v>285</v>
      </c>
      <c r="B28" s="6" t="s">
        <v>383</v>
      </c>
      <c r="C28" s="4" t="s">
        <v>148</v>
      </c>
      <c r="D28" s="6" t="s">
        <v>157</v>
      </c>
      <c r="E28" s="4" t="str">
        <f aca="false">IFERROR(INDEX(연결!$C$5:$C$29,MATCH(D28,연결!$A$5:$A$29,0)),"")</f>
        <v>STR → PLAN</v>
      </c>
      <c r="F28" s="4" t="s">
        <v>391</v>
      </c>
      <c r="G28" s="4" t="s">
        <v>434</v>
      </c>
      <c r="H28" s="4" t="str">
        <f aca="false">IFERROR(INDEX(연결!$F$5:$F$29,MATCH(D28,연결!$A$5:$A$29,0)),"")</f>
        <v>A</v>
      </c>
      <c r="I28" s="6" t="s">
        <v>386</v>
      </c>
      <c r="J28" s="6" t="s">
        <v>435</v>
      </c>
      <c r="K28" s="4" t="str">
        <f aca="false">IF(COUNTIF($A$5:$A$94,A28)&lt;&gt;1,"ID 중복",IF(B28="C 연결",IF(COUNTIF(연결!$A$5:$A$29,D28)=1,"OK","연결 없음"),"OK"))</f>
        <v>OK</v>
      </c>
      <c r="L28" s="14"/>
      <c r="M28" s="14"/>
      <c r="N28" s="14"/>
      <c r="O28" s="14"/>
      <c r="P28" s="14"/>
      <c r="Q28" s="14"/>
      <c r="R28" s="15" t="str">
        <f aca="false">IFERROR(COUNTIF(L28:Q28,"&gt;=3")/COUNT(L28:Q28),"")</f>
        <v/>
      </c>
      <c r="S28" s="16" t="str">
        <f aca="false">IF(R28="","",IF(R28&gt;=검증!$B$4,"채택","수정·토론"))</f>
        <v/>
      </c>
    </row>
    <row r="29" customFormat="false" ht="30" hidden="false" customHeight="true" outlineLevel="0" collapsed="false">
      <c r="A29" s="6" t="s">
        <v>287</v>
      </c>
      <c r="B29" s="6" t="s">
        <v>383</v>
      </c>
      <c r="C29" s="4" t="s">
        <v>148</v>
      </c>
      <c r="D29" s="6" t="s">
        <v>161</v>
      </c>
      <c r="E29" s="4" t="str">
        <f aca="false">IFERROR(INDEX(연결!$C$5:$C$29,MATCH(D29,연결!$A$5:$A$29,0)),"")</f>
        <v>RA → PLAN</v>
      </c>
      <c r="F29" s="4" t="s">
        <v>384</v>
      </c>
      <c r="G29" s="4" t="s">
        <v>436</v>
      </c>
      <c r="H29" s="4" t="str">
        <f aca="false">IFERROR(INDEX(연결!$F$5:$F$29,MATCH(D29,연결!$A$5:$A$29,0)),"")</f>
        <v>A</v>
      </c>
      <c r="I29" s="6" t="s">
        <v>386</v>
      </c>
      <c r="J29" s="6" t="s">
        <v>437</v>
      </c>
      <c r="K29" s="4" t="str">
        <f aca="false">IF(COUNTIF($A$5:$A$94,A29)&lt;&gt;1,"ID 중복",IF(B29="C 연결",IF(COUNTIF(연결!$A$5:$A$29,D29)=1,"OK","연결 없음"),"OK"))</f>
        <v>OK</v>
      </c>
      <c r="L29" s="14"/>
      <c r="M29" s="14"/>
      <c r="N29" s="14"/>
      <c r="O29" s="14"/>
      <c r="P29" s="14"/>
      <c r="Q29" s="14"/>
      <c r="R29" s="15" t="str">
        <f aca="false">IFERROR(COUNTIF(L29:Q29,"&gt;=3")/COUNT(L29:Q29),"")</f>
        <v/>
      </c>
      <c r="S29" s="16" t="str">
        <f aca="false">IF(R29="","",IF(R29&gt;=검증!$B$4,"채택","수정·토론"))</f>
        <v/>
      </c>
    </row>
    <row r="30" customFormat="false" ht="30" hidden="false" customHeight="true" outlineLevel="0" collapsed="false">
      <c r="A30" s="6" t="s">
        <v>288</v>
      </c>
      <c r="B30" s="6" t="s">
        <v>383</v>
      </c>
      <c r="C30" s="4" t="s">
        <v>148</v>
      </c>
      <c r="D30" s="6" t="s">
        <v>161</v>
      </c>
      <c r="E30" s="4" t="str">
        <f aca="false">IFERROR(INDEX(연결!$C$5:$C$29,MATCH(D30,연결!$A$5:$A$29,0)),"")</f>
        <v>RA → PLAN</v>
      </c>
      <c r="F30" s="4" t="s">
        <v>388</v>
      </c>
      <c r="G30" s="4" t="s">
        <v>438</v>
      </c>
      <c r="H30" s="4" t="str">
        <f aca="false">IFERROR(INDEX(연결!$F$5:$F$29,MATCH(D30,연결!$A$5:$A$29,0)),"")</f>
        <v>A</v>
      </c>
      <c r="I30" s="6" t="s">
        <v>386</v>
      </c>
      <c r="J30" s="6" t="s">
        <v>439</v>
      </c>
      <c r="K30" s="4" t="str">
        <f aca="false">IF(COUNTIF($A$5:$A$94,A30)&lt;&gt;1,"ID 중복",IF(B30="C 연결",IF(COUNTIF(연결!$A$5:$A$29,D30)=1,"OK","연결 없음"),"OK"))</f>
        <v>OK</v>
      </c>
      <c r="L30" s="14"/>
      <c r="M30" s="14"/>
      <c r="N30" s="14"/>
      <c r="O30" s="14"/>
      <c r="P30" s="14"/>
      <c r="Q30" s="14"/>
      <c r="R30" s="15" t="str">
        <f aca="false">IFERROR(COUNTIF(L30:Q30,"&gt;=3")/COUNT(L30:Q30),"")</f>
        <v/>
      </c>
      <c r="S30" s="16" t="str">
        <f aca="false">IF(R30="","",IF(R30&gt;=검증!$B$4,"채택","수정·토론"))</f>
        <v/>
      </c>
    </row>
    <row r="31" customFormat="false" ht="30" hidden="false" customHeight="true" outlineLevel="0" collapsed="false">
      <c r="A31" s="6" t="s">
        <v>289</v>
      </c>
      <c r="B31" s="6" t="s">
        <v>383</v>
      </c>
      <c r="C31" s="4" t="s">
        <v>148</v>
      </c>
      <c r="D31" s="6" t="s">
        <v>161</v>
      </c>
      <c r="E31" s="4" t="str">
        <f aca="false">IFERROR(INDEX(연결!$C$5:$C$29,MATCH(D31,연결!$A$5:$A$29,0)),"")</f>
        <v>RA → PLAN</v>
      </c>
      <c r="F31" s="4" t="s">
        <v>391</v>
      </c>
      <c r="G31" s="4" t="s">
        <v>440</v>
      </c>
      <c r="H31" s="4" t="str">
        <f aca="false">IFERROR(INDEX(연결!$F$5:$F$29,MATCH(D31,연결!$A$5:$A$29,0)),"")</f>
        <v>A</v>
      </c>
      <c r="I31" s="6" t="s">
        <v>386</v>
      </c>
      <c r="J31" s="6" t="s">
        <v>441</v>
      </c>
      <c r="K31" s="4" t="str">
        <f aca="false">IF(COUNTIF($A$5:$A$94,A31)&lt;&gt;1,"ID 중복",IF(B31="C 연결",IF(COUNTIF(연결!$A$5:$A$29,D31)=1,"OK","연결 없음"),"OK"))</f>
        <v>OK</v>
      </c>
      <c r="L31" s="14"/>
      <c r="M31" s="14"/>
      <c r="N31" s="14"/>
      <c r="O31" s="14"/>
      <c r="P31" s="14"/>
      <c r="Q31" s="14"/>
      <c r="R31" s="15" t="str">
        <f aca="false">IFERROR(COUNTIF(L31:Q31,"&gt;=3")/COUNT(L31:Q31),"")</f>
        <v/>
      </c>
      <c r="S31" s="16" t="str">
        <f aca="false">IF(R31="","",IF(R31&gt;=검증!$B$4,"채택","수정·토론"))</f>
        <v/>
      </c>
    </row>
    <row r="32" customFormat="false" ht="30" hidden="false" customHeight="true" outlineLevel="0" collapsed="false">
      <c r="A32" s="6" t="s">
        <v>291</v>
      </c>
      <c r="B32" s="6" t="s">
        <v>383</v>
      </c>
      <c r="C32" s="4" t="s">
        <v>148</v>
      </c>
      <c r="D32" s="6" t="s">
        <v>165</v>
      </c>
      <c r="E32" s="4" t="str">
        <f aca="false">IFERROR(INDEX(연결!$C$5:$C$29,MATCH(D32,연결!$A$5:$A$29,0)),"")</f>
        <v>BIA → RES</v>
      </c>
      <c r="F32" s="4" t="s">
        <v>384</v>
      </c>
      <c r="G32" s="4" t="s">
        <v>442</v>
      </c>
      <c r="H32" s="4" t="str">
        <f aca="false">IFERROR(INDEX(연결!$F$5:$F$29,MATCH(D32,연결!$A$5:$A$29,0)),"")</f>
        <v>B</v>
      </c>
      <c r="I32" s="6" t="s">
        <v>386</v>
      </c>
      <c r="J32" s="6" t="s">
        <v>443</v>
      </c>
      <c r="K32" s="4" t="str">
        <f aca="false">IF(COUNTIF($A$5:$A$94,A32)&lt;&gt;1,"ID 중복",IF(B32="C 연결",IF(COUNTIF(연결!$A$5:$A$29,D32)=1,"OK","연결 없음"),"OK"))</f>
        <v>OK</v>
      </c>
      <c r="L32" s="14"/>
      <c r="M32" s="14"/>
      <c r="N32" s="14"/>
      <c r="O32" s="14"/>
      <c r="P32" s="14"/>
      <c r="Q32" s="14"/>
      <c r="R32" s="15" t="str">
        <f aca="false">IFERROR(COUNTIF(L32:Q32,"&gt;=3")/COUNT(L32:Q32),"")</f>
        <v/>
      </c>
      <c r="S32" s="16" t="str">
        <f aca="false">IF(R32="","",IF(R32&gt;=검증!$B$4,"채택","수정·토론"))</f>
        <v/>
      </c>
    </row>
    <row r="33" customFormat="false" ht="30" hidden="false" customHeight="true" outlineLevel="0" collapsed="false">
      <c r="A33" s="6" t="s">
        <v>292</v>
      </c>
      <c r="B33" s="6" t="s">
        <v>383</v>
      </c>
      <c r="C33" s="4" t="s">
        <v>148</v>
      </c>
      <c r="D33" s="6" t="s">
        <v>165</v>
      </c>
      <c r="E33" s="4" t="str">
        <f aca="false">IFERROR(INDEX(연결!$C$5:$C$29,MATCH(D33,연결!$A$5:$A$29,0)),"")</f>
        <v>BIA → RES</v>
      </c>
      <c r="F33" s="4" t="s">
        <v>388</v>
      </c>
      <c r="G33" s="4" t="s">
        <v>444</v>
      </c>
      <c r="H33" s="4" t="str">
        <f aca="false">IFERROR(INDEX(연결!$F$5:$F$29,MATCH(D33,연결!$A$5:$A$29,0)),"")</f>
        <v>B</v>
      </c>
      <c r="I33" s="6" t="s">
        <v>386</v>
      </c>
      <c r="J33" s="6" t="s">
        <v>445</v>
      </c>
      <c r="K33" s="4" t="str">
        <f aca="false">IF(COUNTIF($A$5:$A$94,A33)&lt;&gt;1,"ID 중복",IF(B33="C 연결",IF(COUNTIF(연결!$A$5:$A$29,D33)=1,"OK","연결 없음"),"OK"))</f>
        <v>OK</v>
      </c>
      <c r="L33" s="14"/>
      <c r="M33" s="14"/>
      <c r="N33" s="14"/>
      <c r="O33" s="14"/>
      <c r="P33" s="14"/>
      <c r="Q33" s="14"/>
      <c r="R33" s="15" t="str">
        <f aca="false">IFERROR(COUNTIF(L33:Q33,"&gt;=3")/COUNT(L33:Q33),"")</f>
        <v/>
      </c>
      <c r="S33" s="16" t="str">
        <f aca="false">IF(R33="","",IF(R33&gt;=검증!$B$4,"채택","수정·토론"))</f>
        <v/>
      </c>
    </row>
    <row r="34" customFormat="false" ht="30" hidden="false" customHeight="true" outlineLevel="0" collapsed="false">
      <c r="A34" s="6" t="s">
        <v>293</v>
      </c>
      <c r="B34" s="6" t="s">
        <v>383</v>
      </c>
      <c r="C34" s="4" t="s">
        <v>148</v>
      </c>
      <c r="D34" s="6" t="s">
        <v>165</v>
      </c>
      <c r="E34" s="4" t="str">
        <f aca="false">IFERROR(INDEX(연결!$C$5:$C$29,MATCH(D34,연결!$A$5:$A$29,0)),"")</f>
        <v>BIA → RES</v>
      </c>
      <c r="F34" s="4" t="s">
        <v>391</v>
      </c>
      <c r="G34" s="4" t="s">
        <v>446</v>
      </c>
      <c r="H34" s="4" t="str">
        <f aca="false">IFERROR(INDEX(연결!$F$5:$F$29,MATCH(D34,연결!$A$5:$A$29,0)),"")</f>
        <v>B</v>
      </c>
      <c r="I34" s="6" t="s">
        <v>386</v>
      </c>
      <c r="J34" s="6" t="s">
        <v>447</v>
      </c>
      <c r="K34" s="4" t="str">
        <f aca="false">IF(COUNTIF($A$5:$A$94,A34)&lt;&gt;1,"ID 중복",IF(B34="C 연결",IF(COUNTIF(연결!$A$5:$A$29,D34)=1,"OK","연결 없음"),"OK"))</f>
        <v>OK</v>
      </c>
      <c r="L34" s="14"/>
      <c r="M34" s="14"/>
      <c r="N34" s="14"/>
      <c r="O34" s="14"/>
      <c r="P34" s="14"/>
      <c r="Q34" s="14"/>
      <c r="R34" s="15" t="str">
        <f aca="false">IFERROR(COUNTIF(L34:Q34,"&gt;=3")/COUNT(L34:Q34),"")</f>
        <v/>
      </c>
      <c r="S34" s="16" t="str">
        <f aca="false">IF(R34="","",IF(R34&gt;=검증!$B$4,"채택","수정·토론"))</f>
        <v/>
      </c>
    </row>
    <row r="35" customFormat="false" ht="30" hidden="false" customHeight="true" outlineLevel="0" collapsed="false">
      <c r="A35" s="6" t="s">
        <v>297</v>
      </c>
      <c r="B35" s="6" t="s">
        <v>383</v>
      </c>
      <c r="C35" s="4" t="s">
        <v>171</v>
      </c>
      <c r="D35" s="6" t="s">
        <v>170</v>
      </c>
      <c r="E35" s="4" t="str">
        <f aca="false">IFERROR(INDEX(연결!$C$5:$C$29,MATCH(D35,연결!$A$5:$A$29,0)),"")</f>
        <v>PLAN ↔ INC</v>
      </c>
      <c r="F35" s="4" t="s">
        <v>384</v>
      </c>
      <c r="G35" s="4" t="s">
        <v>448</v>
      </c>
      <c r="H35" s="4" t="str">
        <f aca="false">IFERROR(INDEX(연결!$F$5:$F$29,MATCH(D35,연결!$A$5:$A$29,0)),"")</f>
        <v>A</v>
      </c>
      <c r="I35" s="6" t="s">
        <v>386</v>
      </c>
      <c r="J35" s="6" t="s">
        <v>449</v>
      </c>
      <c r="K35" s="4" t="str">
        <f aca="false">IF(COUNTIF($A$5:$A$94,A35)&lt;&gt;1,"ID 중복",IF(B35="C 연결",IF(COUNTIF(연결!$A$5:$A$29,D35)=1,"OK","연결 없음"),"OK"))</f>
        <v>OK</v>
      </c>
      <c r="L35" s="14"/>
      <c r="M35" s="14"/>
      <c r="N35" s="14"/>
      <c r="O35" s="14"/>
      <c r="P35" s="14"/>
      <c r="Q35" s="14"/>
      <c r="R35" s="15" t="str">
        <f aca="false">IFERROR(COUNTIF(L35:Q35,"&gt;=3")/COUNT(L35:Q35),"")</f>
        <v/>
      </c>
      <c r="S35" s="16" t="str">
        <f aca="false">IF(R35="","",IF(R35&gt;=검증!$B$4,"채택","수정·토론"))</f>
        <v/>
      </c>
    </row>
    <row r="36" customFormat="false" ht="30" hidden="false" customHeight="true" outlineLevel="0" collapsed="false">
      <c r="A36" s="6" t="s">
        <v>298</v>
      </c>
      <c r="B36" s="6" t="s">
        <v>383</v>
      </c>
      <c r="C36" s="4" t="s">
        <v>171</v>
      </c>
      <c r="D36" s="6" t="s">
        <v>170</v>
      </c>
      <c r="E36" s="4" t="str">
        <f aca="false">IFERROR(INDEX(연결!$C$5:$C$29,MATCH(D36,연결!$A$5:$A$29,0)),"")</f>
        <v>PLAN ↔ INC</v>
      </c>
      <c r="F36" s="4" t="s">
        <v>388</v>
      </c>
      <c r="G36" s="4" t="s">
        <v>450</v>
      </c>
      <c r="H36" s="4" t="str">
        <f aca="false">IFERROR(INDEX(연결!$F$5:$F$29,MATCH(D36,연결!$A$5:$A$29,0)),"")</f>
        <v>A</v>
      </c>
      <c r="I36" s="6" t="s">
        <v>386</v>
      </c>
      <c r="J36" s="6" t="s">
        <v>451</v>
      </c>
      <c r="K36" s="4" t="str">
        <f aca="false">IF(COUNTIF($A$5:$A$94,A36)&lt;&gt;1,"ID 중복",IF(B36="C 연결",IF(COUNTIF(연결!$A$5:$A$29,D36)=1,"OK","연결 없음"),"OK"))</f>
        <v>OK</v>
      </c>
      <c r="L36" s="14"/>
      <c r="M36" s="14"/>
      <c r="N36" s="14"/>
      <c r="O36" s="14"/>
      <c r="P36" s="14"/>
      <c r="Q36" s="14"/>
      <c r="R36" s="15" t="str">
        <f aca="false">IFERROR(COUNTIF(L36:Q36,"&gt;=3")/COUNT(L36:Q36),"")</f>
        <v/>
      </c>
      <c r="S36" s="16" t="str">
        <f aca="false">IF(R36="","",IF(R36&gt;=검증!$B$4,"채택","수정·토론"))</f>
        <v/>
      </c>
    </row>
    <row r="37" customFormat="false" ht="30" hidden="false" customHeight="true" outlineLevel="0" collapsed="false">
      <c r="A37" s="6" t="s">
        <v>299</v>
      </c>
      <c r="B37" s="6" t="s">
        <v>383</v>
      </c>
      <c r="C37" s="4" t="s">
        <v>171</v>
      </c>
      <c r="D37" s="6" t="s">
        <v>170</v>
      </c>
      <c r="E37" s="4" t="str">
        <f aca="false">IFERROR(INDEX(연결!$C$5:$C$29,MATCH(D37,연결!$A$5:$A$29,0)),"")</f>
        <v>PLAN ↔ INC</v>
      </c>
      <c r="F37" s="4" t="s">
        <v>391</v>
      </c>
      <c r="G37" s="4" t="s">
        <v>452</v>
      </c>
      <c r="H37" s="4" t="str">
        <f aca="false">IFERROR(INDEX(연결!$F$5:$F$29,MATCH(D37,연결!$A$5:$A$29,0)),"")</f>
        <v>A</v>
      </c>
      <c r="I37" s="6" t="s">
        <v>386</v>
      </c>
      <c r="J37" s="6" t="s">
        <v>453</v>
      </c>
      <c r="K37" s="4" t="str">
        <f aca="false">IF(COUNTIF($A$5:$A$94,A37)&lt;&gt;1,"ID 중복",IF(B37="C 연결",IF(COUNTIF(연결!$A$5:$A$29,D37)=1,"OK","연결 없음"),"OK"))</f>
        <v>OK</v>
      </c>
      <c r="L37" s="14"/>
      <c r="M37" s="14"/>
      <c r="N37" s="14"/>
      <c r="O37" s="14"/>
      <c r="P37" s="14"/>
      <c r="Q37" s="14"/>
      <c r="R37" s="15" t="str">
        <f aca="false">IFERROR(COUNTIF(L37:Q37,"&gt;=3")/COUNT(L37:Q37),"")</f>
        <v/>
      </c>
      <c r="S37" s="16" t="str">
        <f aca="false">IF(R37="","",IF(R37&gt;=검증!$B$4,"채택","수정·토론"))</f>
        <v/>
      </c>
    </row>
    <row r="38" customFormat="false" ht="30" hidden="false" customHeight="true" outlineLevel="0" collapsed="false">
      <c r="A38" s="6" t="s">
        <v>301</v>
      </c>
      <c r="B38" s="6" t="s">
        <v>383</v>
      </c>
      <c r="C38" s="4" t="s">
        <v>171</v>
      </c>
      <c r="D38" s="6" t="s">
        <v>176</v>
      </c>
      <c r="E38" s="4" t="str">
        <f aca="false">IFERROR(INDEX(연결!$C$5:$C$29,MATCH(D38,연결!$A$5:$A$29,0)),"")</f>
        <v>INC → WARN</v>
      </c>
      <c r="F38" s="4" t="s">
        <v>384</v>
      </c>
      <c r="G38" s="4" t="s">
        <v>454</v>
      </c>
      <c r="H38" s="4" t="str">
        <f aca="false">IFERROR(INDEX(연결!$F$5:$F$29,MATCH(D38,연결!$A$5:$A$29,0)),"")</f>
        <v>A</v>
      </c>
      <c r="I38" s="6" t="s">
        <v>386</v>
      </c>
      <c r="J38" s="6" t="s">
        <v>455</v>
      </c>
      <c r="K38" s="4" t="str">
        <f aca="false">IF(COUNTIF($A$5:$A$94,A38)&lt;&gt;1,"ID 중복",IF(B38="C 연결",IF(COUNTIF(연결!$A$5:$A$29,D38)=1,"OK","연결 없음"),"OK"))</f>
        <v>OK</v>
      </c>
      <c r="L38" s="14"/>
      <c r="M38" s="14"/>
      <c r="N38" s="14"/>
      <c r="O38" s="14"/>
      <c r="P38" s="14"/>
      <c r="Q38" s="14"/>
      <c r="R38" s="15" t="str">
        <f aca="false">IFERROR(COUNTIF(L38:Q38,"&gt;=3")/COUNT(L38:Q38),"")</f>
        <v/>
      </c>
      <c r="S38" s="16" t="str">
        <f aca="false">IF(R38="","",IF(R38&gt;=검증!$B$4,"채택","수정·토론"))</f>
        <v/>
      </c>
    </row>
    <row r="39" customFormat="false" ht="30" hidden="false" customHeight="true" outlineLevel="0" collapsed="false">
      <c r="A39" s="6" t="s">
        <v>302</v>
      </c>
      <c r="B39" s="6" t="s">
        <v>383</v>
      </c>
      <c r="C39" s="4" t="s">
        <v>171</v>
      </c>
      <c r="D39" s="6" t="s">
        <v>176</v>
      </c>
      <c r="E39" s="4" t="str">
        <f aca="false">IFERROR(INDEX(연결!$C$5:$C$29,MATCH(D39,연결!$A$5:$A$29,0)),"")</f>
        <v>INC → WARN</v>
      </c>
      <c r="F39" s="4" t="s">
        <v>388</v>
      </c>
      <c r="G39" s="4" t="s">
        <v>456</v>
      </c>
      <c r="H39" s="4" t="str">
        <f aca="false">IFERROR(INDEX(연결!$F$5:$F$29,MATCH(D39,연결!$A$5:$A$29,0)),"")</f>
        <v>A</v>
      </c>
      <c r="I39" s="6" t="s">
        <v>386</v>
      </c>
      <c r="J39" s="6" t="s">
        <v>457</v>
      </c>
      <c r="K39" s="4" t="str">
        <f aca="false">IF(COUNTIF($A$5:$A$94,A39)&lt;&gt;1,"ID 중복",IF(B39="C 연결",IF(COUNTIF(연결!$A$5:$A$29,D39)=1,"OK","연결 없음"),"OK"))</f>
        <v>OK</v>
      </c>
      <c r="L39" s="14"/>
      <c r="M39" s="14"/>
      <c r="N39" s="14"/>
      <c r="O39" s="14"/>
      <c r="P39" s="14"/>
      <c r="Q39" s="14"/>
      <c r="R39" s="15" t="str">
        <f aca="false">IFERROR(COUNTIF(L39:Q39,"&gt;=3")/COUNT(L39:Q39),"")</f>
        <v/>
      </c>
      <c r="S39" s="16" t="str">
        <f aca="false">IF(R39="","",IF(R39&gt;=검증!$B$4,"채택","수정·토론"))</f>
        <v/>
      </c>
    </row>
    <row r="40" customFormat="false" ht="30" hidden="false" customHeight="true" outlineLevel="0" collapsed="false">
      <c r="A40" s="6" t="s">
        <v>303</v>
      </c>
      <c r="B40" s="6" t="s">
        <v>383</v>
      </c>
      <c r="C40" s="4" t="s">
        <v>171</v>
      </c>
      <c r="D40" s="6" t="s">
        <v>176</v>
      </c>
      <c r="E40" s="4" t="str">
        <f aca="false">IFERROR(INDEX(연결!$C$5:$C$29,MATCH(D40,연결!$A$5:$A$29,0)),"")</f>
        <v>INC → WARN</v>
      </c>
      <c r="F40" s="4" t="s">
        <v>391</v>
      </c>
      <c r="G40" s="4" t="s">
        <v>458</v>
      </c>
      <c r="H40" s="4" t="str">
        <f aca="false">IFERROR(INDEX(연결!$F$5:$F$29,MATCH(D40,연결!$A$5:$A$29,0)),"")</f>
        <v>A</v>
      </c>
      <c r="I40" s="6" t="s">
        <v>386</v>
      </c>
      <c r="J40" s="6" t="s">
        <v>459</v>
      </c>
      <c r="K40" s="4" t="str">
        <f aca="false">IF(COUNTIF($A$5:$A$94,A40)&lt;&gt;1,"ID 중복",IF(B40="C 연결",IF(COUNTIF(연결!$A$5:$A$29,D40)=1,"OK","연결 없음"),"OK"))</f>
        <v>OK</v>
      </c>
      <c r="L40" s="14"/>
      <c r="M40" s="14"/>
      <c r="N40" s="14"/>
      <c r="O40" s="14"/>
      <c r="P40" s="14"/>
      <c r="Q40" s="14"/>
      <c r="R40" s="15" t="str">
        <f aca="false">IFERROR(COUNTIF(L40:Q40,"&gt;=3")/COUNT(L40:Q40),"")</f>
        <v/>
      </c>
      <c r="S40" s="16" t="str">
        <f aca="false">IF(R40="","",IF(R40&gt;=검증!$B$4,"채택","수정·토론"))</f>
        <v/>
      </c>
    </row>
    <row r="41" customFormat="false" ht="30" hidden="false" customHeight="true" outlineLevel="0" collapsed="false">
      <c r="A41" s="6" t="s">
        <v>305</v>
      </c>
      <c r="B41" s="6" t="s">
        <v>383</v>
      </c>
      <c r="C41" s="4" t="s">
        <v>171</v>
      </c>
      <c r="D41" s="6" t="s">
        <v>180</v>
      </c>
      <c r="E41" s="4" t="str">
        <f aca="false">IFERROR(INDEX(연결!$C$5:$C$29,MATCH(D41,연결!$A$5:$A$29,0)),"")</f>
        <v>INC → REC</v>
      </c>
      <c r="F41" s="4" t="s">
        <v>384</v>
      </c>
      <c r="G41" s="4" t="s">
        <v>460</v>
      </c>
      <c r="H41" s="4" t="str">
        <f aca="false">IFERROR(INDEX(연결!$F$5:$F$29,MATCH(D41,연결!$A$5:$A$29,0)),"")</f>
        <v>A</v>
      </c>
      <c r="I41" s="6" t="s">
        <v>386</v>
      </c>
      <c r="J41" s="6" t="s">
        <v>461</v>
      </c>
      <c r="K41" s="4" t="str">
        <f aca="false">IF(COUNTIF($A$5:$A$94,A41)&lt;&gt;1,"ID 중복",IF(B41="C 연결",IF(COUNTIF(연결!$A$5:$A$29,D41)=1,"OK","연결 없음"),"OK"))</f>
        <v>OK</v>
      </c>
      <c r="L41" s="14"/>
      <c r="M41" s="14"/>
      <c r="N41" s="14"/>
      <c r="O41" s="14"/>
      <c r="P41" s="14"/>
      <c r="Q41" s="14"/>
      <c r="R41" s="15" t="str">
        <f aca="false">IFERROR(COUNTIF(L41:Q41,"&gt;=3")/COUNT(L41:Q41),"")</f>
        <v/>
      </c>
      <c r="S41" s="16" t="str">
        <f aca="false">IF(R41="","",IF(R41&gt;=검증!$B$4,"채택","수정·토론"))</f>
        <v/>
      </c>
    </row>
    <row r="42" customFormat="false" ht="30" hidden="false" customHeight="true" outlineLevel="0" collapsed="false">
      <c r="A42" s="6" t="s">
        <v>306</v>
      </c>
      <c r="B42" s="6" t="s">
        <v>383</v>
      </c>
      <c r="C42" s="4" t="s">
        <v>171</v>
      </c>
      <c r="D42" s="6" t="s">
        <v>180</v>
      </c>
      <c r="E42" s="4" t="str">
        <f aca="false">IFERROR(INDEX(연결!$C$5:$C$29,MATCH(D42,연결!$A$5:$A$29,0)),"")</f>
        <v>INC → REC</v>
      </c>
      <c r="F42" s="4" t="s">
        <v>388</v>
      </c>
      <c r="G42" s="4" t="s">
        <v>462</v>
      </c>
      <c r="H42" s="4" t="str">
        <f aca="false">IFERROR(INDEX(연결!$F$5:$F$29,MATCH(D42,연결!$A$5:$A$29,0)),"")</f>
        <v>A</v>
      </c>
      <c r="I42" s="6" t="s">
        <v>386</v>
      </c>
      <c r="J42" s="6" t="s">
        <v>463</v>
      </c>
      <c r="K42" s="4" t="str">
        <f aca="false">IF(COUNTIF($A$5:$A$94,A42)&lt;&gt;1,"ID 중복",IF(B42="C 연결",IF(COUNTIF(연결!$A$5:$A$29,D42)=1,"OK","연결 없음"),"OK"))</f>
        <v>OK</v>
      </c>
      <c r="L42" s="14"/>
      <c r="M42" s="14"/>
      <c r="N42" s="14"/>
      <c r="O42" s="14"/>
      <c r="P42" s="14"/>
      <c r="Q42" s="14"/>
      <c r="R42" s="15" t="str">
        <f aca="false">IFERROR(COUNTIF(L42:Q42,"&gt;=3")/COUNT(L42:Q42),"")</f>
        <v/>
      </c>
      <c r="S42" s="16" t="str">
        <f aca="false">IF(R42="","",IF(R42&gt;=검증!$B$4,"채택","수정·토론"))</f>
        <v/>
      </c>
    </row>
    <row r="43" customFormat="false" ht="30" hidden="false" customHeight="true" outlineLevel="0" collapsed="false">
      <c r="A43" s="6" t="s">
        <v>307</v>
      </c>
      <c r="B43" s="6" t="s">
        <v>383</v>
      </c>
      <c r="C43" s="4" t="s">
        <v>171</v>
      </c>
      <c r="D43" s="6" t="s">
        <v>180</v>
      </c>
      <c r="E43" s="4" t="str">
        <f aca="false">IFERROR(INDEX(연결!$C$5:$C$29,MATCH(D43,연결!$A$5:$A$29,0)),"")</f>
        <v>INC → REC</v>
      </c>
      <c r="F43" s="4" t="s">
        <v>391</v>
      </c>
      <c r="G43" s="4" t="s">
        <v>464</v>
      </c>
      <c r="H43" s="4" t="str">
        <f aca="false">IFERROR(INDEX(연결!$F$5:$F$29,MATCH(D43,연결!$A$5:$A$29,0)),"")</f>
        <v>A</v>
      </c>
      <c r="I43" s="6" t="s">
        <v>386</v>
      </c>
      <c r="J43" s="6" t="s">
        <v>465</v>
      </c>
      <c r="K43" s="4" t="str">
        <f aca="false">IF(COUNTIF($A$5:$A$94,A43)&lt;&gt;1,"ID 중복",IF(B43="C 연결",IF(COUNTIF(연결!$A$5:$A$29,D43)=1,"OK","연결 없음"),"OK"))</f>
        <v>OK</v>
      </c>
      <c r="L43" s="14"/>
      <c r="M43" s="14"/>
      <c r="N43" s="14"/>
      <c r="O43" s="14"/>
      <c r="P43" s="14"/>
      <c r="Q43" s="14"/>
      <c r="R43" s="15" t="str">
        <f aca="false">IFERROR(COUNTIF(L43:Q43,"&gt;=3")/COUNT(L43:Q43),"")</f>
        <v/>
      </c>
      <c r="S43" s="16" t="str">
        <f aca="false">IF(R43="","",IF(R43&gt;=검증!$B$4,"채택","수정·토론"))</f>
        <v/>
      </c>
    </row>
    <row r="44" customFormat="false" ht="30" hidden="false" customHeight="true" outlineLevel="0" collapsed="false">
      <c r="A44" s="6" t="s">
        <v>311</v>
      </c>
      <c r="B44" s="6" t="s">
        <v>383</v>
      </c>
      <c r="C44" s="4" t="s">
        <v>171</v>
      </c>
      <c r="D44" s="6" t="s">
        <v>184</v>
      </c>
      <c r="E44" s="4" t="str">
        <f aca="false">IFERROR(INDEX(연결!$C$5:$C$29,MATCH(D44,연결!$A$5:$A$29,0)),"")</f>
        <v>PLAN ↔ EXE</v>
      </c>
      <c r="F44" s="4" t="s">
        <v>384</v>
      </c>
      <c r="G44" s="4" t="s">
        <v>466</v>
      </c>
      <c r="H44" s="4" t="str">
        <f aca="false">IFERROR(INDEX(연결!$F$5:$F$29,MATCH(D44,연결!$A$5:$A$29,0)),"")</f>
        <v>A</v>
      </c>
      <c r="I44" s="6" t="s">
        <v>386</v>
      </c>
      <c r="J44" s="6" t="s">
        <v>467</v>
      </c>
      <c r="K44" s="4" t="str">
        <f aca="false">IF(COUNTIF($A$5:$A$94,A44)&lt;&gt;1,"ID 중복",IF(B44="C 연결",IF(COUNTIF(연결!$A$5:$A$29,D44)=1,"OK","연결 없음"),"OK"))</f>
        <v>OK</v>
      </c>
      <c r="L44" s="14"/>
      <c r="M44" s="14"/>
      <c r="N44" s="14"/>
      <c r="O44" s="14"/>
      <c r="P44" s="14"/>
      <c r="Q44" s="14"/>
      <c r="R44" s="15" t="str">
        <f aca="false">IFERROR(COUNTIF(L44:Q44,"&gt;=3")/COUNT(L44:Q44),"")</f>
        <v/>
      </c>
      <c r="S44" s="16" t="str">
        <f aca="false">IF(R44="","",IF(R44&gt;=검증!$B$4,"채택","수정·토론"))</f>
        <v/>
      </c>
    </row>
    <row r="45" customFormat="false" ht="30" hidden="false" customHeight="true" outlineLevel="0" collapsed="false">
      <c r="A45" s="6" t="s">
        <v>312</v>
      </c>
      <c r="B45" s="6" t="s">
        <v>383</v>
      </c>
      <c r="C45" s="4" t="s">
        <v>171</v>
      </c>
      <c r="D45" s="6" t="s">
        <v>184</v>
      </c>
      <c r="E45" s="4" t="str">
        <f aca="false">IFERROR(INDEX(연결!$C$5:$C$29,MATCH(D45,연결!$A$5:$A$29,0)),"")</f>
        <v>PLAN ↔ EXE</v>
      </c>
      <c r="F45" s="4" t="s">
        <v>388</v>
      </c>
      <c r="G45" s="4" t="s">
        <v>468</v>
      </c>
      <c r="H45" s="4" t="str">
        <f aca="false">IFERROR(INDEX(연결!$F$5:$F$29,MATCH(D45,연결!$A$5:$A$29,0)),"")</f>
        <v>A</v>
      </c>
      <c r="I45" s="6" t="s">
        <v>386</v>
      </c>
      <c r="J45" s="6" t="s">
        <v>469</v>
      </c>
      <c r="K45" s="4" t="str">
        <f aca="false">IF(COUNTIF($A$5:$A$94,A45)&lt;&gt;1,"ID 중복",IF(B45="C 연결",IF(COUNTIF(연결!$A$5:$A$29,D45)=1,"OK","연결 없음"),"OK"))</f>
        <v>OK</v>
      </c>
      <c r="L45" s="14"/>
      <c r="M45" s="14"/>
      <c r="N45" s="14"/>
      <c r="O45" s="14"/>
      <c r="P45" s="14"/>
      <c r="Q45" s="14"/>
      <c r="R45" s="15" t="str">
        <f aca="false">IFERROR(COUNTIF(L45:Q45,"&gt;=3")/COUNT(L45:Q45),"")</f>
        <v/>
      </c>
      <c r="S45" s="16" t="str">
        <f aca="false">IF(R45="","",IF(R45&gt;=검증!$B$4,"채택","수정·토론"))</f>
        <v/>
      </c>
    </row>
    <row r="46" customFormat="false" ht="30" hidden="false" customHeight="true" outlineLevel="0" collapsed="false">
      <c r="A46" s="6" t="s">
        <v>313</v>
      </c>
      <c r="B46" s="6" t="s">
        <v>383</v>
      </c>
      <c r="C46" s="4" t="s">
        <v>171</v>
      </c>
      <c r="D46" s="6" t="s">
        <v>184</v>
      </c>
      <c r="E46" s="4" t="str">
        <f aca="false">IFERROR(INDEX(연결!$C$5:$C$29,MATCH(D46,연결!$A$5:$A$29,0)),"")</f>
        <v>PLAN ↔ EXE</v>
      </c>
      <c r="F46" s="4" t="s">
        <v>391</v>
      </c>
      <c r="G46" s="4" t="s">
        <v>470</v>
      </c>
      <c r="H46" s="4" t="str">
        <f aca="false">IFERROR(INDEX(연결!$F$5:$F$29,MATCH(D46,연결!$A$5:$A$29,0)),"")</f>
        <v>A</v>
      </c>
      <c r="I46" s="6" t="s">
        <v>386</v>
      </c>
      <c r="J46" s="6" t="s">
        <v>471</v>
      </c>
      <c r="K46" s="4" t="str">
        <f aca="false">IF(COUNTIF($A$5:$A$94,A46)&lt;&gt;1,"ID 중복",IF(B46="C 연결",IF(COUNTIF(연결!$A$5:$A$29,D46)=1,"OK","연결 없음"),"OK"))</f>
        <v>OK</v>
      </c>
      <c r="L46" s="14"/>
      <c r="M46" s="14"/>
      <c r="N46" s="14"/>
      <c r="O46" s="14"/>
      <c r="P46" s="14"/>
      <c r="Q46" s="14"/>
      <c r="R46" s="15" t="str">
        <f aca="false">IFERROR(COUNTIF(L46:Q46,"&gt;=3")/COUNT(L46:Q46),"")</f>
        <v/>
      </c>
      <c r="S46" s="16" t="str">
        <f aca="false">IF(R46="","",IF(R46&gt;=검증!$B$4,"채택","수정·토론"))</f>
        <v/>
      </c>
    </row>
    <row r="47" customFormat="false" ht="30" hidden="false" customHeight="true" outlineLevel="0" collapsed="false">
      <c r="A47" s="6" t="s">
        <v>315</v>
      </c>
      <c r="B47" s="6" t="s">
        <v>383</v>
      </c>
      <c r="C47" s="4" t="s">
        <v>171</v>
      </c>
      <c r="D47" s="6" t="s">
        <v>189</v>
      </c>
      <c r="E47" s="4" t="str">
        <f aca="false">IFERROR(INDEX(연결!$C$5:$C$29,MATCH(D47,연결!$A$5:$A$29,0)),"")</f>
        <v>PLAN/EXE → AWR</v>
      </c>
      <c r="F47" s="4" t="s">
        <v>384</v>
      </c>
      <c r="G47" s="4" t="s">
        <v>472</v>
      </c>
      <c r="H47" s="4" t="str">
        <f aca="false">IFERROR(INDEX(연결!$F$5:$F$29,MATCH(D47,연결!$A$5:$A$29,0)),"")</f>
        <v>B</v>
      </c>
      <c r="I47" s="6" t="s">
        <v>386</v>
      </c>
      <c r="J47" s="6" t="s">
        <v>473</v>
      </c>
      <c r="K47" s="4" t="str">
        <f aca="false">IF(COUNTIF($A$5:$A$94,A47)&lt;&gt;1,"ID 중복",IF(B47="C 연결",IF(COUNTIF(연결!$A$5:$A$29,D47)=1,"OK","연결 없음"),"OK"))</f>
        <v>OK</v>
      </c>
      <c r="L47" s="14"/>
      <c r="M47" s="14"/>
      <c r="N47" s="14"/>
      <c r="O47" s="14"/>
      <c r="P47" s="14"/>
      <c r="Q47" s="14"/>
      <c r="R47" s="15" t="str">
        <f aca="false">IFERROR(COUNTIF(L47:Q47,"&gt;=3")/COUNT(L47:Q47),"")</f>
        <v/>
      </c>
      <c r="S47" s="16" t="str">
        <f aca="false">IF(R47="","",IF(R47&gt;=검증!$B$4,"채택","수정·토론"))</f>
        <v/>
      </c>
    </row>
    <row r="48" customFormat="false" ht="30" hidden="false" customHeight="true" outlineLevel="0" collapsed="false">
      <c r="A48" s="6" t="s">
        <v>316</v>
      </c>
      <c r="B48" s="6" t="s">
        <v>383</v>
      </c>
      <c r="C48" s="4" t="s">
        <v>171</v>
      </c>
      <c r="D48" s="6" t="s">
        <v>189</v>
      </c>
      <c r="E48" s="4" t="str">
        <f aca="false">IFERROR(INDEX(연결!$C$5:$C$29,MATCH(D48,연결!$A$5:$A$29,0)),"")</f>
        <v>PLAN/EXE → AWR</v>
      </c>
      <c r="F48" s="4" t="s">
        <v>388</v>
      </c>
      <c r="G48" s="4" t="s">
        <v>474</v>
      </c>
      <c r="H48" s="4" t="str">
        <f aca="false">IFERROR(INDEX(연결!$F$5:$F$29,MATCH(D48,연결!$A$5:$A$29,0)),"")</f>
        <v>B</v>
      </c>
      <c r="I48" s="6" t="s">
        <v>386</v>
      </c>
      <c r="J48" s="6" t="s">
        <v>475</v>
      </c>
      <c r="K48" s="4" t="str">
        <f aca="false">IF(COUNTIF($A$5:$A$94,A48)&lt;&gt;1,"ID 중복",IF(B48="C 연결",IF(COUNTIF(연결!$A$5:$A$29,D48)=1,"OK","연결 없음"),"OK"))</f>
        <v>OK</v>
      </c>
      <c r="L48" s="14"/>
      <c r="M48" s="14"/>
      <c r="N48" s="14"/>
      <c r="O48" s="14"/>
      <c r="P48" s="14"/>
      <c r="Q48" s="14"/>
      <c r="R48" s="15" t="str">
        <f aca="false">IFERROR(COUNTIF(L48:Q48,"&gt;=3")/COUNT(L48:Q48),"")</f>
        <v/>
      </c>
      <c r="S48" s="16" t="str">
        <f aca="false">IF(R48="","",IF(R48&gt;=검증!$B$4,"채택","수정·토론"))</f>
        <v/>
      </c>
    </row>
    <row r="49" customFormat="false" ht="30" hidden="false" customHeight="true" outlineLevel="0" collapsed="false">
      <c r="A49" s="6" t="s">
        <v>317</v>
      </c>
      <c r="B49" s="6" t="s">
        <v>383</v>
      </c>
      <c r="C49" s="4" t="s">
        <v>171</v>
      </c>
      <c r="D49" s="6" t="s">
        <v>189</v>
      </c>
      <c r="E49" s="4" t="str">
        <f aca="false">IFERROR(INDEX(연결!$C$5:$C$29,MATCH(D49,연결!$A$5:$A$29,0)),"")</f>
        <v>PLAN/EXE → AWR</v>
      </c>
      <c r="F49" s="4" t="s">
        <v>391</v>
      </c>
      <c r="G49" s="4" t="s">
        <v>476</v>
      </c>
      <c r="H49" s="4" t="str">
        <f aca="false">IFERROR(INDEX(연결!$F$5:$F$29,MATCH(D49,연결!$A$5:$A$29,0)),"")</f>
        <v>B</v>
      </c>
      <c r="I49" s="6" t="s">
        <v>386</v>
      </c>
      <c r="J49" s="6" t="s">
        <v>477</v>
      </c>
      <c r="K49" s="4" t="str">
        <f aca="false">IF(COUNTIF($A$5:$A$94,A49)&lt;&gt;1,"ID 중복",IF(B49="C 연결",IF(COUNTIF(연결!$A$5:$A$29,D49)=1,"OK","연결 없음"),"OK"))</f>
        <v>OK</v>
      </c>
      <c r="L49" s="14"/>
      <c r="M49" s="14"/>
      <c r="N49" s="14"/>
      <c r="O49" s="14"/>
      <c r="P49" s="14"/>
      <c r="Q49" s="14"/>
      <c r="R49" s="15" t="str">
        <f aca="false">IFERROR(COUNTIF(L49:Q49,"&gt;=3")/COUNT(L49:Q49),"")</f>
        <v/>
      </c>
      <c r="S49" s="16" t="str">
        <f aca="false">IF(R49="","",IF(R49&gt;=검증!$B$4,"채택","수정·토론"))</f>
        <v/>
      </c>
    </row>
    <row r="50" customFormat="false" ht="30" hidden="false" customHeight="true" outlineLevel="0" collapsed="false">
      <c r="A50" s="6" t="s">
        <v>319</v>
      </c>
      <c r="B50" s="6" t="s">
        <v>383</v>
      </c>
      <c r="C50" s="4" t="s">
        <v>194</v>
      </c>
      <c r="D50" s="6" t="s">
        <v>193</v>
      </c>
      <c r="E50" s="4" t="str">
        <f aca="false">IFERROR(INDEX(연결!$C$5:$C$29,MATCH(D50,연결!$A$5:$A$29,0)),"")</f>
        <v>PERF → CI</v>
      </c>
      <c r="F50" s="4" t="s">
        <v>384</v>
      </c>
      <c r="G50" s="4" t="s">
        <v>478</v>
      </c>
      <c r="H50" s="4" t="str">
        <f aca="false">IFERROR(INDEX(연결!$F$5:$F$29,MATCH(D50,연결!$A$5:$A$29,0)),"")</f>
        <v>A</v>
      </c>
      <c r="I50" s="6" t="s">
        <v>386</v>
      </c>
      <c r="J50" s="6" t="s">
        <v>479</v>
      </c>
      <c r="K50" s="4" t="str">
        <f aca="false">IF(COUNTIF($A$5:$A$94,A50)&lt;&gt;1,"ID 중복",IF(B50="C 연결",IF(COUNTIF(연결!$A$5:$A$29,D50)=1,"OK","연결 없음"),"OK"))</f>
        <v>OK</v>
      </c>
      <c r="L50" s="14"/>
      <c r="M50" s="14"/>
      <c r="N50" s="14"/>
      <c r="O50" s="14"/>
      <c r="P50" s="14"/>
      <c r="Q50" s="14"/>
      <c r="R50" s="15" t="str">
        <f aca="false">IFERROR(COUNTIF(L50:Q50,"&gt;=3")/COUNT(L50:Q50),"")</f>
        <v/>
      </c>
      <c r="S50" s="16" t="str">
        <f aca="false">IF(R50="","",IF(R50&gt;=검증!$B$4,"채택","수정·토론"))</f>
        <v/>
      </c>
    </row>
    <row r="51" customFormat="false" ht="30" hidden="false" customHeight="true" outlineLevel="0" collapsed="false">
      <c r="A51" s="6" t="s">
        <v>320</v>
      </c>
      <c r="B51" s="6" t="s">
        <v>383</v>
      </c>
      <c r="C51" s="4" t="s">
        <v>194</v>
      </c>
      <c r="D51" s="6" t="s">
        <v>193</v>
      </c>
      <c r="E51" s="4" t="str">
        <f aca="false">IFERROR(INDEX(연결!$C$5:$C$29,MATCH(D51,연결!$A$5:$A$29,0)),"")</f>
        <v>PERF → CI</v>
      </c>
      <c r="F51" s="4" t="s">
        <v>388</v>
      </c>
      <c r="G51" s="4" t="s">
        <v>480</v>
      </c>
      <c r="H51" s="4" t="str">
        <f aca="false">IFERROR(INDEX(연결!$F$5:$F$29,MATCH(D51,연결!$A$5:$A$29,0)),"")</f>
        <v>A</v>
      </c>
      <c r="I51" s="6" t="s">
        <v>386</v>
      </c>
      <c r="J51" s="6" t="s">
        <v>481</v>
      </c>
      <c r="K51" s="4" t="str">
        <f aca="false">IF(COUNTIF($A$5:$A$94,A51)&lt;&gt;1,"ID 중복",IF(B51="C 연결",IF(COUNTIF(연결!$A$5:$A$29,D51)=1,"OK","연결 없음"),"OK"))</f>
        <v>OK</v>
      </c>
      <c r="L51" s="14"/>
      <c r="M51" s="14"/>
      <c r="N51" s="14"/>
      <c r="O51" s="14"/>
      <c r="P51" s="14"/>
      <c r="Q51" s="14"/>
      <c r="R51" s="15" t="str">
        <f aca="false">IFERROR(COUNTIF(L51:Q51,"&gt;=3")/COUNT(L51:Q51),"")</f>
        <v/>
      </c>
      <c r="S51" s="16" t="str">
        <f aca="false">IF(R51="","",IF(R51&gt;=검증!$B$4,"채택","수정·토론"))</f>
        <v/>
      </c>
    </row>
    <row r="52" customFormat="false" ht="30" hidden="false" customHeight="true" outlineLevel="0" collapsed="false">
      <c r="A52" s="6" t="s">
        <v>321</v>
      </c>
      <c r="B52" s="6" t="s">
        <v>383</v>
      </c>
      <c r="C52" s="4" t="s">
        <v>194</v>
      </c>
      <c r="D52" s="6" t="s">
        <v>193</v>
      </c>
      <c r="E52" s="4" t="str">
        <f aca="false">IFERROR(INDEX(연결!$C$5:$C$29,MATCH(D52,연결!$A$5:$A$29,0)),"")</f>
        <v>PERF → CI</v>
      </c>
      <c r="F52" s="4" t="s">
        <v>391</v>
      </c>
      <c r="G52" s="4" t="s">
        <v>482</v>
      </c>
      <c r="H52" s="4" t="str">
        <f aca="false">IFERROR(INDEX(연결!$F$5:$F$29,MATCH(D52,연결!$A$5:$A$29,0)),"")</f>
        <v>A</v>
      </c>
      <c r="I52" s="6" t="s">
        <v>386</v>
      </c>
      <c r="J52" s="6" t="s">
        <v>483</v>
      </c>
      <c r="K52" s="4" t="str">
        <f aca="false">IF(COUNTIF($A$5:$A$94,A52)&lt;&gt;1,"ID 중복",IF(B52="C 연결",IF(COUNTIF(연결!$A$5:$A$29,D52)=1,"OK","연결 없음"),"OK"))</f>
        <v>OK</v>
      </c>
      <c r="L52" s="14"/>
      <c r="M52" s="14"/>
      <c r="N52" s="14"/>
      <c r="O52" s="14"/>
      <c r="P52" s="14"/>
      <c r="Q52" s="14"/>
      <c r="R52" s="15" t="str">
        <f aca="false">IFERROR(COUNTIF(L52:Q52,"&gt;=3")/COUNT(L52:Q52),"")</f>
        <v/>
      </c>
      <c r="S52" s="16" t="str">
        <f aca="false">IF(R52="","",IF(R52&gt;=검증!$B$4,"채택","수정·토론"))</f>
        <v/>
      </c>
    </row>
    <row r="53" customFormat="false" ht="30" hidden="false" customHeight="true" outlineLevel="0" collapsed="false">
      <c r="A53" s="6" t="s">
        <v>323</v>
      </c>
      <c r="B53" s="6" t="s">
        <v>383</v>
      </c>
      <c r="C53" s="4" t="s">
        <v>194</v>
      </c>
      <c r="D53" s="6" t="s">
        <v>198</v>
      </c>
      <c r="E53" s="4" t="str">
        <f aca="false">IFERROR(INDEX(연결!$C$5:$C$29,MATCH(D53,연결!$A$5:$A$29,0)),"")</f>
        <v>AUD → CI</v>
      </c>
      <c r="F53" s="4" t="s">
        <v>384</v>
      </c>
      <c r="G53" s="4" t="s">
        <v>484</v>
      </c>
      <c r="H53" s="4" t="str">
        <f aca="false">IFERROR(INDEX(연결!$F$5:$F$29,MATCH(D53,연결!$A$5:$A$29,0)),"")</f>
        <v>A</v>
      </c>
      <c r="I53" s="6" t="s">
        <v>386</v>
      </c>
      <c r="J53" s="6" t="s">
        <v>485</v>
      </c>
      <c r="K53" s="4" t="str">
        <f aca="false">IF(COUNTIF($A$5:$A$94,A53)&lt;&gt;1,"ID 중복",IF(B53="C 연결",IF(COUNTIF(연결!$A$5:$A$29,D53)=1,"OK","연결 없음"),"OK"))</f>
        <v>OK</v>
      </c>
      <c r="L53" s="14"/>
      <c r="M53" s="14"/>
      <c r="N53" s="14"/>
      <c r="O53" s="14"/>
      <c r="P53" s="14"/>
      <c r="Q53" s="14"/>
      <c r="R53" s="15" t="str">
        <f aca="false">IFERROR(COUNTIF(L53:Q53,"&gt;=3")/COUNT(L53:Q53),"")</f>
        <v/>
      </c>
      <c r="S53" s="16" t="str">
        <f aca="false">IF(R53="","",IF(R53&gt;=검증!$B$4,"채택","수정·토론"))</f>
        <v/>
      </c>
    </row>
    <row r="54" customFormat="false" ht="30" hidden="false" customHeight="true" outlineLevel="0" collapsed="false">
      <c r="A54" s="6" t="s">
        <v>324</v>
      </c>
      <c r="B54" s="6" t="s">
        <v>383</v>
      </c>
      <c r="C54" s="4" t="s">
        <v>194</v>
      </c>
      <c r="D54" s="6" t="s">
        <v>198</v>
      </c>
      <c r="E54" s="4" t="str">
        <f aca="false">IFERROR(INDEX(연결!$C$5:$C$29,MATCH(D54,연결!$A$5:$A$29,0)),"")</f>
        <v>AUD → CI</v>
      </c>
      <c r="F54" s="4" t="s">
        <v>388</v>
      </c>
      <c r="G54" s="4" t="s">
        <v>486</v>
      </c>
      <c r="H54" s="4" t="str">
        <f aca="false">IFERROR(INDEX(연결!$F$5:$F$29,MATCH(D54,연결!$A$5:$A$29,0)),"")</f>
        <v>A</v>
      </c>
      <c r="I54" s="6" t="s">
        <v>386</v>
      </c>
      <c r="J54" s="6" t="s">
        <v>487</v>
      </c>
      <c r="K54" s="4" t="str">
        <f aca="false">IF(COUNTIF($A$5:$A$94,A54)&lt;&gt;1,"ID 중복",IF(B54="C 연결",IF(COUNTIF(연결!$A$5:$A$29,D54)=1,"OK","연결 없음"),"OK"))</f>
        <v>OK</v>
      </c>
      <c r="L54" s="14"/>
      <c r="M54" s="14"/>
      <c r="N54" s="14"/>
      <c r="O54" s="14"/>
      <c r="P54" s="14"/>
      <c r="Q54" s="14"/>
      <c r="R54" s="15" t="str">
        <f aca="false">IFERROR(COUNTIF(L54:Q54,"&gt;=3")/COUNT(L54:Q54),"")</f>
        <v/>
      </c>
      <c r="S54" s="16" t="str">
        <f aca="false">IF(R54="","",IF(R54&gt;=검증!$B$4,"채택","수정·토론"))</f>
        <v/>
      </c>
    </row>
    <row r="55" customFormat="false" ht="30" hidden="false" customHeight="true" outlineLevel="0" collapsed="false">
      <c r="A55" s="6" t="s">
        <v>325</v>
      </c>
      <c r="B55" s="6" t="s">
        <v>383</v>
      </c>
      <c r="C55" s="4" t="s">
        <v>194</v>
      </c>
      <c r="D55" s="6" t="s">
        <v>198</v>
      </c>
      <c r="E55" s="4" t="str">
        <f aca="false">IFERROR(INDEX(연결!$C$5:$C$29,MATCH(D55,연결!$A$5:$A$29,0)),"")</f>
        <v>AUD → CI</v>
      </c>
      <c r="F55" s="4" t="s">
        <v>391</v>
      </c>
      <c r="G55" s="4" t="s">
        <v>488</v>
      </c>
      <c r="H55" s="4" t="str">
        <f aca="false">IFERROR(INDEX(연결!$F$5:$F$29,MATCH(D55,연결!$A$5:$A$29,0)),"")</f>
        <v>A</v>
      </c>
      <c r="I55" s="6" t="s">
        <v>386</v>
      </c>
      <c r="J55" s="6" t="s">
        <v>489</v>
      </c>
      <c r="K55" s="4" t="str">
        <f aca="false">IF(COUNTIF($A$5:$A$94,A55)&lt;&gt;1,"ID 중복",IF(B55="C 연결",IF(COUNTIF(연결!$A$5:$A$29,D55)=1,"OK","연결 없음"),"OK"))</f>
        <v>OK</v>
      </c>
      <c r="L55" s="14"/>
      <c r="M55" s="14"/>
      <c r="N55" s="14"/>
      <c r="O55" s="14"/>
      <c r="P55" s="14"/>
      <c r="Q55" s="14"/>
      <c r="R55" s="15" t="str">
        <f aca="false">IFERROR(COUNTIF(L55:Q55,"&gt;=3")/COUNT(L55:Q55),"")</f>
        <v/>
      </c>
      <c r="S55" s="16" t="str">
        <f aca="false">IF(R55="","",IF(R55&gt;=검증!$B$4,"채택","수정·토론"))</f>
        <v/>
      </c>
    </row>
    <row r="56" customFormat="false" ht="30" hidden="false" customHeight="true" outlineLevel="0" collapsed="false">
      <c r="A56" s="6" t="s">
        <v>327</v>
      </c>
      <c r="B56" s="6" t="s">
        <v>383</v>
      </c>
      <c r="C56" s="4" t="s">
        <v>194</v>
      </c>
      <c r="D56" s="6" t="s">
        <v>202</v>
      </c>
      <c r="E56" s="4" t="str">
        <f aca="false">IFERROR(INDEX(연결!$C$5:$C$29,MATCH(D56,연결!$A$5:$A$29,0)),"")</f>
        <v>SUP → CI</v>
      </c>
      <c r="F56" s="4" t="s">
        <v>384</v>
      </c>
      <c r="G56" s="4" t="s">
        <v>490</v>
      </c>
      <c r="H56" s="4" t="str">
        <f aca="false">IFERROR(INDEX(연결!$F$5:$F$29,MATCH(D56,연결!$A$5:$A$29,0)),"")</f>
        <v>A</v>
      </c>
      <c r="I56" s="6" t="s">
        <v>386</v>
      </c>
      <c r="J56" s="6" t="s">
        <v>491</v>
      </c>
      <c r="K56" s="4" t="str">
        <f aca="false">IF(COUNTIF($A$5:$A$94,A56)&lt;&gt;1,"ID 중복",IF(B56="C 연결",IF(COUNTIF(연결!$A$5:$A$29,D56)=1,"OK","연결 없음"),"OK"))</f>
        <v>OK</v>
      </c>
      <c r="L56" s="14"/>
      <c r="M56" s="14"/>
      <c r="N56" s="14"/>
      <c r="O56" s="14"/>
      <c r="P56" s="14"/>
      <c r="Q56" s="14"/>
      <c r="R56" s="15" t="str">
        <f aca="false">IFERROR(COUNTIF(L56:Q56,"&gt;=3")/COUNT(L56:Q56),"")</f>
        <v/>
      </c>
      <c r="S56" s="16" t="str">
        <f aca="false">IF(R56="","",IF(R56&gt;=검증!$B$4,"채택","수정·토론"))</f>
        <v/>
      </c>
    </row>
    <row r="57" customFormat="false" ht="30" hidden="false" customHeight="true" outlineLevel="0" collapsed="false">
      <c r="A57" s="6" t="s">
        <v>328</v>
      </c>
      <c r="B57" s="6" t="s">
        <v>383</v>
      </c>
      <c r="C57" s="4" t="s">
        <v>194</v>
      </c>
      <c r="D57" s="6" t="s">
        <v>202</v>
      </c>
      <c r="E57" s="4" t="str">
        <f aca="false">IFERROR(INDEX(연결!$C$5:$C$29,MATCH(D57,연결!$A$5:$A$29,0)),"")</f>
        <v>SUP → CI</v>
      </c>
      <c r="F57" s="4" t="s">
        <v>388</v>
      </c>
      <c r="G57" s="4" t="s">
        <v>492</v>
      </c>
      <c r="H57" s="4" t="str">
        <f aca="false">IFERROR(INDEX(연결!$F$5:$F$29,MATCH(D57,연결!$A$5:$A$29,0)),"")</f>
        <v>A</v>
      </c>
      <c r="I57" s="6" t="s">
        <v>386</v>
      </c>
      <c r="J57" s="6" t="s">
        <v>493</v>
      </c>
      <c r="K57" s="4" t="str">
        <f aca="false">IF(COUNTIF($A$5:$A$94,A57)&lt;&gt;1,"ID 중복",IF(B57="C 연결",IF(COUNTIF(연결!$A$5:$A$29,D57)=1,"OK","연결 없음"),"OK"))</f>
        <v>OK</v>
      </c>
      <c r="L57" s="14"/>
      <c r="M57" s="14"/>
      <c r="N57" s="14"/>
      <c r="O57" s="14"/>
      <c r="P57" s="14"/>
      <c r="Q57" s="14"/>
      <c r="R57" s="15" t="str">
        <f aca="false">IFERROR(COUNTIF(L57:Q57,"&gt;=3")/COUNT(L57:Q57),"")</f>
        <v/>
      </c>
      <c r="S57" s="16" t="str">
        <f aca="false">IF(R57="","",IF(R57&gt;=검증!$B$4,"채택","수정·토론"))</f>
        <v/>
      </c>
    </row>
    <row r="58" customFormat="false" ht="30" hidden="false" customHeight="true" outlineLevel="0" collapsed="false">
      <c r="A58" s="6" t="s">
        <v>329</v>
      </c>
      <c r="B58" s="6" t="s">
        <v>383</v>
      </c>
      <c r="C58" s="4" t="s">
        <v>194</v>
      </c>
      <c r="D58" s="6" t="s">
        <v>202</v>
      </c>
      <c r="E58" s="4" t="str">
        <f aca="false">IFERROR(INDEX(연결!$C$5:$C$29,MATCH(D58,연결!$A$5:$A$29,0)),"")</f>
        <v>SUP → CI</v>
      </c>
      <c r="F58" s="4" t="s">
        <v>391</v>
      </c>
      <c r="G58" s="4" t="s">
        <v>494</v>
      </c>
      <c r="H58" s="4" t="str">
        <f aca="false">IFERROR(INDEX(연결!$F$5:$F$29,MATCH(D58,연결!$A$5:$A$29,0)),"")</f>
        <v>A</v>
      </c>
      <c r="I58" s="6" t="s">
        <v>386</v>
      </c>
      <c r="J58" s="6" t="s">
        <v>86</v>
      </c>
      <c r="K58" s="4" t="str">
        <f aca="false">IF(COUNTIF($A$5:$A$94,A58)&lt;&gt;1,"ID 중복",IF(B58="C 연결",IF(COUNTIF(연결!$A$5:$A$29,D58)=1,"OK","연결 없음"),"OK"))</f>
        <v>OK</v>
      </c>
      <c r="L58" s="14"/>
      <c r="M58" s="14"/>
      <c r="N58" s="14"/>
      <c r="O58" s="14"/>
      <c r="P58" s="14"/>
      <c r="Q58" s="14"/>
      <c r="R58" s="15" t="str">
        <f aca="false">IFERROR(COUNTIF(L58:Q58,"&gt;=3")/COUNT(L58:Q58),"")</f>
        <v/>
      </c>
      <c r="S58" s="16" t="str">
        <f aca="false">IF(R58="","",IF(R58&gt;=검증!$B$4,"채택","수정·토론"))</f>
        <v/>
      </c>
    </row>
    <row r="59" customFormat="false" ht="30" hidden="false" customHeight="true" outlineLevel="0" collapsed="false">
      <c r="A59" s="6" t="s">
        <v>333</v>
      </c>
      <c r="B59" s="6" t="s">
        <v>383</v>
      </c>
      <c r="C59" s="4" t="s">
        <v>194</v>
      </c>
      <c r="D59" s="6" t="s">
        <v>205</v>
      </c>
      <c r="E59" s="4" t="str">
        <f aca="false">IFERROR(INDEX(연결!$C$5:$C$29,MATCH(D59,연결!$A$5:$A$29,0)),"")</f>
        <v>CHG ↔ RA</v>
      </c>
      <c r="F59" s="4" t="s">
        <v>384</v>
      </c>
      <c r="G59" s="4" t="s">
        <v>495</v>
      </c>
      <c r="H59" s="4" t="str">
        <f aca="false">IFERROR(INDEX(연결!$F$5:$F$29,MATCH(D59,연결!$A$5:$A$29,0)),"")</f>
        <v>A</v>
      </c>
      <c r="I59" s="6" t="s">
        <v>386</v>
      </c>
      <c r="J59" s="6" t="s">
        <v>496</v>
      </c>
      <c r="K59" s="4" t="str">
        <f aca="false">IF(COUNTIF($A$5:$A$94,A59)&lt;&gt;1,"ID 중복",IF(B59="C 연결",IF(COUNTIF(연결!$A$5:$A$29,D59)=1,"OK","연결 없음"),"OK"))</f>
        <v>OK</v>
      </c>
      <c r="L59" s="14"/>
      <c r="M59" s="14"/>
      <c r="N59" s="14"/>
      <c r="O59" s="14"/>
      <c r="P59" s="14"/>
      <c r="Q59" s="14"/>
      <c r="R59" s="15" t="str">
        <f aca="false">IFERROR(COUNTIF(L59:Q59,"&gt;=3")/COUNT(L59:Q59),"")</f>
        <v/>
      </c>
      <c r="S59" s="16" t="str">
        <f aca="false">IF(R59="","",IF(R59&gt;=검증!$B$4,"채택","수정·토론"))</f>
        <v/>
      </c>
    </row>
    <row r="60" customFormat="false" ht="30" hidden="false" customHeight="true" outlineLevel="0" collapsed="false">
      <c r="A60" s="6" t="s">
        <v>334</v>
      </c>
      <c r="B60" s="6" t="s">
        <v>383</v>
      </c>
      <c r="C60" s="4" t="s">
        <v>194</v>
      </c>
      <c r="D60" s="6" t="s">
        <v>205</v>
      </c>
      <c r="E60" s="4" t="str">
        <f aca="false">IFERROR(INDEX(연결!$C$5:$C$29,MATCH(D60,연결!$A$5:$A$29,0)),"")</f>
        <v>CHG ↔ RA</v>
      </c>
      <c r="F60" s="4" t="s">
        <v>388</v>
      </c>
      <c r="G60" s="4" t="s">
        <v>497</v>
      </c>
      <c r="H60" s="4" t="str">
        <f aca="false">IFERROR(INDEX(연결!$F$5:$F$29,MATCH(D60,연결!$A$5:$A$29,0)),"")</f>
        <v>A</v>
      </c>
      <c r="I60" s="6" t="s">
        <v>386</v>
      </c>
      <c r="J60" s="6" t="s">
        <v>498</v>
      </c>
      <c r="K60" s="4" t="str">
        <f aca="false">IF(COUNTIF($A$5:$A$94,A60)&lt;&gt;1,"ID 중복",IF(B60="C 연결",IF(COUNTIF(연결!$A$5:$A$29,D60)=1,"OK","연결 없음"),"OK"))</f>
        <v>OK</v>
      </c>
      <c r="L60" s="14"/>
      <c r="M60" s="14"/>
      <c r="N60" s="14"/>
      <c r="O60" s="14"/>
      <c r="P60" s="14"/>
      <c r="Q60" s="14"/>
      <c r="R60" s="15" t="str">
        <f aca="false">IFERROR(COUNTIF(L60:Q60,"&gt;=3")/COUNT(L60:Q60),"")</f>
        <v/>
      </c>
      <c r="S60" s="16" t="str">
        <f aca="false">IF(R60="","",IF(R60&gt;=검증!$B$4,"채택","수정·토론"))</f>
        <v/>
      </c>
    </row>
    <row r="61" customFormat="false" ht="30" hidden="false" customHeight="true" outlineLevel="0" collapsed="false">
      <c r="A61" s="6" t="s">
        <v>335</v>
      </c>
      <c r="B61" s="6" t="s">
        <v>383</v>
      </c>
      <c r="C61" s="4" t="s">
        <v>194</v>
      </c>
      <c r="D61" s="6" t="s">
        <v>205</v>
      </c>
      <c r="E61" s="4" t="str">
        <f aca="false">IFERROR(INDEX(연결!$C$5:$C$29,MATCH(D61,연결!$A$5:$A$29,0)),"")</f>
        <v>CHG ↔ RA</v>
      </c>
      <c r="F61" s="4" t="s">
        <v>391</v>
      </c>
      <c r="G61" s="4" t="s">
        <v>499</v>
      </c>
      <c r="H61" s="4" t="str">
        <f aca="false">IFERROR(INDEX(연결!$F$5:$F$29,MATCH(D61,연결!$A$5:$A$29,0)),"")</f>
        <v>A</v>
      </c>
      <c r="I61" s="6" t="s">
        <v>386</v>
      </c>
      <c r="J61" s="6" t="s">
        <v>500</v>
      </c>
      <c r="K61" s="4" t="str">
        <f aca="false">IF(COUNTIF($A$5:$A$94,A61)&lt;&gt;1,"ID 중복",IF(B61="C 연결",IF(COUNTIF(연결!$A$5:$A$29,D61)=1,"OK","연결 없음"),"OK"))</f>
        <v>OK</v>
      </c>
      <c r="L61" s="14"/>
      <c r="M61" s="14"/>
      <c r="N61" s="14"/>
      <c r="O61" s="14"/>
      <c r="P61" s="14"/>
      <c r="Q61" s="14"/>
      <c r="R61" s="15" t="str">
        <f aca="false">IFERROR(COUNTIF(L61:Q61,"&gt;=3")/COUNT(L61:Q61),"")</f>
        <v/>
      </c>
      <c r="S61" s="16" t="str">
        <f aca="false">IF(R61="","",IF(R61&gt;=검증!$B$4,"채택","수정·토론"))</f>
        <v/>
      </c>
    </row>
    <row r="62" customFormat="false" ht="30" hidden="false" customHeight="true" outlineLevel="0" collapsed="false">
      <c r="A62" s="6" t="s">
        <v>337</v>
      </c>
      <c r="B62" s="6" t="s">
        <v>383</v>
      </c>
      <c r="C62" s="4" t="s">
        <v>194</v>
      </c>
      <c r="D62" s="6" t="s">
        <v>210</v>
      </c>
      <c r="E62" s="4" t="str">
        <f aca="false">IFERROR(INDEX(연결!$C$5:$C$29,MATCH(D62,연결!$A$5:$A$29,0)),"")</f>
        <v>CHG → DOC</v>
      </c>
      <c r="F62" s="4" t="s">
        <v>384</v>
      </c>
      <c r="G62" s="4" t="s">
        <v>501</v>
      </c>
      <c r="H62" s="4" t="str">
        <f aca="false">IFERROR(INDEX(연결!$F$5:$F$29,MATCH(D62,연결!$A$5:$A$29,0)),"")</f>
        <v>A</v>
      </c>
      <c r="I62" s="6" t="s">
        <v>386</v>
      </c>
      <c r="J62" s="6" t="s">
        <v>502</v>
      </c>
      <c r="K62" s="4" t="str">
        <f aca="false">IF(COUNTIF($A$5:$A$94,A62)&lt;&gt;1,"ID 중복",IF(B62="C 연결",IF(COUNTIF(연결!$A$5:$A$29,D62)=1,"OK","연결 없음"),"OK"))</f>
        <v>OK</v>
      </c>
      <c r="L62" s="14"/>
      <c r="M62" s="14"/>
      <c r="N62" s="14"/>
      <c r="O62" s="14"/>
      <c r="P62" s="14"/>
      <c r="Q62" s="14"/>
      <c r="R62" s="15" t="str">
        <f aca="false">IFERROR(COUNTIF(L62:Q62,"&gt;=3")/COUNT(L62:Q62),"")</f>
        <v/>
      </c>
      <c r="S62" s="16" t="str">
        <f aca="false">IF(R62="","",IF(R62&gt;=검증!$B$4,"채택","수정·토론"))</f>
        <v/>
      </c>
    </row>
    <row r="63" customFormat="false" ht="30" hidden="false" customHeight="true" outlineLevel="0" collapsed="false">
      <c r="A63" s="6" t="s">
        <v>338</v>
      </c>
      <c r="B63" s="6" t="s">
        <v>383</v>
      </c>
      <c r="C63" s="4" t="s">
        <v>194</v>
      </c>
      <c r="D63" s="6" t="s">
        <v>210</v>
      </c>
      <c r="E63" s="4" t="str">
        <f aca="false">IFERROR(INDEX(연결!$C$5:$C$29,MATCH(D63,연결!$A$5:$A$29,0)),"")</f>
        <v>CHG → DOC</v>
      </c>
      <c r="F63" s="4" t="s">
        <v>388</v>
      </c>
      <c r="G63" s="4" t="s">
        <v>503</v>
      </c>
      <c r="H63" s="4" t="str">
        <f aca="false">IFERROR(INDEX(연결!$F$5:$F$29,MATCH(D63,연결!$A$5:$A$29,0)),"")</f>
        <v>A</v>
      </c>
      <c r="I63" s="6" t="s">
        <v>386</v>
      </c>
      <c r="J63" s="6" t="s">
        <v>504</v>
      </c>
      <c r="K63" s="4" t="str">
        <f aca="false">IF(COUNTIF($A$5:$A$94,A63)&lt;&gt;1,"ID 중복",IF(B63="C 연결",IF(COUNTIF(연결!$A$5:$A$29,D63)=1,"OK","연결 없음"),"OK"))</f>
        <v>OK</v>
      </c>
      <c r="L63" s="14"/>
      <c r="M63" s="14"/>
      <c r="N63" s="14"/>
      <c r="O63" s="14"/>
      <c r="P63" s="14"/>
      <c r="Q63" s="14"/>
      <c r="R63" s="15" t="str">
        <f aca="false">IFERROR(COUNTIF(L63:Q63,"&gt;=3")/COUNT(L63:Q63),"")</f>
        <v/>
      </c>
      <c r="S63" s="16" t="str">
        <f aca="false">IF(R63="","",IF(R63&gt;=검증!$B$4,"채택","수정·토론"))</f>
        <v/>
      </c>
    </row>
    <row r="64" customFormat="false" ht="30" hidden="false" customHeight="true" outlineLevel="0" collapsed="false">
      <c r="A64" s="6" t="s">
        <v>339</v>
      </c>
      <c r="B64" s="6" t="s">
        <v>383</v>
      </c>
      <c r="C64" s="4" t="s">
        <v>194</v>
      </c>
      <c r="D64" s="6" t="s">
        <v>210</v>
      </c>
      <c r="E64" s="4" t="str">
        <f aca="false">IFERROR(INDEX(연결!$C$5:$C$29,MATCH(D64,연결!$A$5:$A$29,0)),"")</f>
        <v>CHG → DOC</v>
      </c>
      <c r="F64" s="4" t="s">
        <v>391</v>
      </c>
      <c r="G64" s="4" t="s">
        <v>505</v>
      </c>
      <c r="H64" s="4" t="str">
        <f aca="false">IFERROR(INDEX(연결!$F$5:$F$29,MATCH(D64,연결!$A$5:$A$29,0)),"")</f>
        <v>A</v>
      </c>
      <c r="I64" s="6" t="s">
        <v>386</v>
      </c>
      <c r="J64" s="6" t="s">
        <v>506</v>
      </c>
      <c r="K64" s="4" t="str">
        <f aca="false">IF(COUNTIF($A$5:$A$94,A64)&lt;&gt;1,"ID 중복",IF(B64="C 연결",IF(COUNTIF(연결!$A$5:$A$29,D64)=1,"OK","연결 없음"),"OK"))</f>
        <v>OK</v>
      </c>
      <c r="L64" s="14"/>
      <c r="M64" s="14"/>
      <c r="N64" s="14"/>
      <c r="O64" s="14"/>
      <c r="P64" s="14"/>
      <c r="Q64" s="14"/>
      <c r="R64" s="15" t="str">
        <f aca="false">IFERROR(COUNTIF(L64:Q64,"&gt;=3")/COUNT(L64:Q64),"")</f>
        <v/>
      </c>
      <c r="S64" s="16" t="str">
        <f aca="false">IF(R64="","",IF(R64&gt;=검증!$B$4,"채택","수정·토론"))</f>
        <v/>
      </c>
    </row>
    <row r="65" customFormat="false" ht="30" hidden="false" customHeight="true" outlineLevel="0" collapsed="false">
      <c r="A65" s="6" t="s">
        <v>343</v>
      </c>
      <c r="B65" s="6" t="s">
        <v>383</v>
      </c>
      <c r="C65" s="4" t="s">
        <v>194</v>
      </c>
      <c r="D65" s="6" t="s">
        <v>214</v>
      </c>
      <c r="E65" s="4" t="str">
        <f aca="false">IFERROR(INDEX(연결!$C$5:$C$29,MATCH(D65,연결!$A$5:$A$29,0)),"")</f>
        <v>INC/EXE ↔ CHG</v>
      </c>
      <c r="F65" s="4" t="s">
        <v>384</v>
      </c>
      <c r="G65" s="4" t="s">
        <v>507</v>
      </c>
      <c r="H65" s="4" t="str">
        <f aca="false">IFERROR(INDEX(연결!$F$5:$F$29,MATCH(D65,연결!$A$5:$A$29,0)),"")</f>
        <v>A</v>
      </c>
      <c r="I65" s="6" t="s">
        <v>386</v>
      </c>
      <c r="J65" s="6" t="s">
        <v>508</v>
      </c>
      <c r="K65" s="4" t="str">
        <f aca="false">IF(COUNTIF($A$5:$A$94,A65)&lt;&gt;1,"ID 중복",IF(B65="C 연결",IF(COUNTIF(연결!$A$5:$A$29,D65)=1,"OK","연결 없음"),"OK"))</f>
        <v>OK</v>
      </c>
      <c r="L65" s="14"/>
      <c r="M65" s="14"/>
      <c r="N65" s="14"/>
      <c r="O65" s="14"/>
      <c r="P65" s="14"/>
      <c r="Q65" s="14"/>
      <c r="R65" s="15" t="str">
        <f aca="false">IFERROR(COUNTIF(L65:Q65,"&gt;=3")/COUNT(L65:Q65),"")</f>
        <v/>
      </c>
      <c r="S65" s="16" t="str">
        <f aca="false">IF(R65="","",IF(R65&gt;=검증!$B$4,"채택","수정·토론"))</f>
        <v/>
      </c>
    </row>
    <row r="66" customFormat="false" ht="30" hidden="false" customHeight="true" outlineLevel="0" collapsed="false">
      <c r="A66" s="6" t="s">
        <v>344</v>
      </c>
      <c r="B66" s="6" t="s">
        <v>383</v>
      </c>
      <c r="C66" s="4" t="s">
        <v>194</v>
      </c>
      <c r="D66" s="6" t="s">
        <v>214</v>
      </c>
      <c r="E66" s="4" t="str">
        <f aca="false">IFERROR(INDEX(연결!$C$5:$C$29,MATCH(D66,연결!$A$5:$A$29,0)),"")</f>
        <v>INC/EXE ↔ CHG</v>
      </c>
      <c r="F66" s="4" t="s">
        <v>388</v>
      </c>
      <c r="G66" s="4" t="s">
        <v>509</v>
      </c>
      <c r="H66" s="4" t="str">
        <f aca="false">IFERROR(INDEX(연결!$F$5:$F$29,MATCH(D66,연결!$A$5:$A$29,0)),"")</f>
        <v>A</v>
      </c>
      <c r="I66" s="6" t="s">
        <v>386</v>
      </c>
      <c r="J66" s="6" t="s">
        <v>510</v>
      </c>
      <c r="K66" s="4" t="str">
        <f aca="false">IF(COUNTIF($A$5:$A$94,A66)&lt;&gt;1,"ID 중복",IF(B66="C 연결",IF(COUNTIF(연결!$A$5:$A$29,D66)=1,"OK","연결 없음"),"OK"))</f>
        <v>OK</v>
      </c>
      <c r="L66" s="14"/>
      <c r="M66" s="14"/>
      <c r="N66" s="14"/>
      <c r="O66" s="14"/>
      <c r="P66" s="14"/>
      <c r="Q66" s="14"/>
      <c r="R66" s="15" t="str">
        <f aca="false">IFERROR(COUNTIF(L66:Q66,"&gt;=3")/COUNT(L66:Q66),"")</f>
        <v/>
      </c>
      <c r="S66" s="16" t="str">
        <f aca="false">IF(R66="","",IF(R66&gt;=검증!$B$4,"채택","수정·토론"))</f>
        <v/>
      </c>
    </row>
    <row r="67" customFormat="false" ht="30" hidden="false" customHeight="true" outlineLevel="0" collapsed="false">
      <c r="A67" s="6" t="s">
        <v>345</v>
      </c>
      <c r="B67" s="6" t="s">
        <v>383</v>
      </c>
      <c r="C67" s="4" t="s">
        <v>194</v>
      </c>
      <c r="D67" s="6" t="s">
        <v>214</v>
      </c>
      <c r="E67" s="4" t="str">
        <f aca="false">IFERROR(INDEX(연결!$C$5:$C$29,MATCH(D67,연결!$A$5:$A$29,0)),"")</f>
        <v>INC/EXE ↔ CHG</v>
      </c>
      <c r="F67" s="4" t="s">
        <v>391</v>
      </c>
      <c r="G67" s="4" t="s">
        <v>511</v>
      </c>
      <c r="H67" s="4" t="str">
        <f aca="false">IFERROR(INDEX(연결!$F$5:$F$29,MATCH(D67,연결!$A$5:$A$29,0)),"")</f>
        <v>A</v>
      </c>
      <c r="I67" s="6" t="s">
        <v>386</v>
      </c>
      <c r="J67" s="6" t="s">
        <v>512</v>
      </c>
      <c r="K67" s="4" t="str">
        <f aca="false">IF(COUNTIF($A$5:$A$94,A67)&lt;&gt;1,"ID 중복",IF(B67="C 연결",IF(COUNTIF(연결!$A$5:$A$29,D67)=1,"OK","연결 없음"),"OK"))</f>
        <v>OK</v>
      </c>
      <c r="L67" s="14"/>
      <c r="M67" s="14"/>
      <c r="N67" s="14"/>
      <c r="O67" s="14"/>
      <c r="P67" s="14"/>
      <c r="Q67" s="14"/>
      <c r="R67" s="15" t="str">
        <f aca="false">IFERROR(COUNTIF(L67:Q67,"&gt;=3")/COUNT(L67:Q67),"")</f>
        <v/>
      </c>
      <c r="S67" s="16" t="str">
        <f aca="false">IF(R67="","",IF(R67&gt;=검증!$B$4,"채택","수정·토론"))</f>
        <v/>
      </c>
    </row>
    <row r="68" customFormat="false" ht="30" hidden="false" customHeight="true" outlineLevel="0" collapsed="false">
      <c r="A68" s="6" t="s">
        <v>347</v>
      </c>
      <c r="B68" s="6" t="s">
        <v>383</v>
      </c>
      <c r="C68" s="4" t="s">
        <v>220</v>
      </c>
      <c r="D68" s="6" t="s">
        <v>219</v>
      </c>
      <c r="E68" s="4" t="str">
        <f aca="false">IFERROR(INDEX(연결!$C$5:$C$29,MATCH(D68,연결!$A$5:$A$29,0)),"")</f>
        <v>핵심 프로세스 → COM</v>
      </c>
      <c r="F68" s="4" t="s">
        <v>384</v>
      </c>
      <c r="G68" s="4" t="s">
        <v>513</v>
      </c>
      <c r="H68" s="4" t="str">
        <f aca="false">IFERROR(INDEX(연결!$F$5:$F$29,MATCH(D68,연결!$A$5:$A$29,0)),"")</f>
        <v>A</v>
      </c>
      <c r="I68" s="6" t="s">
        <v>386</v>
      </c>
      <c r="J68" s="6" t="s">
        <v>514</v>
      </c>
      <c r="K68" s="4" t="str">
        <f aca="false">IF(COUNTIF($A$5:$A$94,A68)&lt;&gt;1,"ID 중복",IF(B68="C 연결",IF(COUNTIF(연결!$A$5:$A$29,D68)=1,"OK","연결 없음"),"OK"))</f>
        <v>OK</v>
      </c>
      <c r="L68" s="14"/>
      <c r="M68" s="14"/>
      <c r="N68" s="14"/>
      <c r="O68" s="14"/>
      <c r="P68" s="14"/>
      <c r="Q68" s="14"/>
      <c r="R68" s="15" t="str">
        <f aca="false">IFERROR(COUNTIF(L68:Q68,"&gt;=3")/COUNT(L68:Q68),"")</f>
        <v/>
      </c>
      <c r="S68" s="16" t="str">
        <f aca="false">IF(R68="","",IF(R68&gt;=검증!$B$4,"채택","수정·토론"))</f>
        <v/>
      </c>
    </row>
    <row r="69" customFormat="false" ht="30" hidden="false" customHeight="true" outlineLevel="0" collapsed="false">
      <c r="A69" s="6" t="s">
        <v>348</v>
      </c>
      <c r="B69" s="6" t="s">
        <v>383</v>
      </c>
      <c r="C69" s="4" t="s">
        <v>220</v>
      </c>
      <c r="D69" s="6" t="s">
        <v>219</v>
      </c>
      <c r="E69" s="4" t="str">
        <f aca="false">IFERROR(INDEX(연결!$C$5:$C$29,MATCH(D69,연결!$A$5:$A$29,0)),"")</f>
        <v>핵심 프로세스 → COM</v>
      </c>
      <c r="F69" s="4" t="s">
        <v>388</v>
      </c>
      <c r="G69" s="4" t="s">
        <v>515</v>
      </c>
      <c r="H69" s="4" t="str">
        <f aca="false">IFERROR(INDEX(연결!$F$5:$F$29,MATCH(D69,연결!$A$5:$A$29,0)),"")</f>
        <v>A</v>
      </c>
      <c r="I69" s="6" t="s">
        <v>386</v>
      </c>
      <c r="J69" s="6" t="s">
        <v>516</v>
      </c>
      <c r="K69" s="4" t="str">
        <f aca="false">IF(COUNTIF($A$5:$A$94,A69)&lt;&gt;1,"ID 중복",IF(B69="C 연결",IF(COUNTIF(연결!$A$5:$A$29,D69)=1,"OK","연결 없음"),"OK"))</f>
        <v>OK</v>
      </c>
      <c r="L69" s="14"/>
      <c r="M69" s="14"/>
      <c r="N69" s="14"/>
      <c r="O69" s="14"/>
      <c r="P69" s="14"/>
      <c r="Q69" s="14"/>
      <c r="R69" s="15" t="str">
        <f aca="false">IFERROR(COUNTIF(L69:Q69,"&gt;=3")/COUNT(L69:Q69),"")</f>
        <v/>
      </c>
      <c r="S69" s="16" t="str">
        <f aca="false">IF(R69="","",IF(R69&gt;=검증!$B$4,"채택","수정·토론"))</f>
        <v/>
      </c>
    </row>
    <row r="70" customFormat="false" ht="30" hidden="false" customHeight="true" outlineLevel="0" collapsed="false">
      <c r="A70" s="6" t="s">
        <v>349</v>
      </c>
      <c r="B70" s="6" t="s">
        <v>383</v>
      </c>
      <c r="C70" s="4" t="s">
        <v>220</v>
      </c>
      <c r="D70" s="6" t="s">
        <v>219</v>
      </c>
      <c r="E70" s="4" t="str">
        <f aca="false">IFERROR(INDEX(연결!$C$5:$C$29,MATCH(D70,연결!$A$5:$A$29,0)),"")</f>
        <v>핵심 프로세스 → COM</v>
      </c>
      <c r="F70" s="4" t="s">
        <v>391</v>
      </c>
      <c r="G70" s="4" t="s">
        <v>517</v>
      </c>
      <c r="H70" s="4" t="str">
        <f aca="false">IFERROR(INDEX(연결!$F$5:$F$29,MATCH(D70,연결!$A$5:$A$29,0)),"")</f>
        <v>A</v>
      </c>
      <c r="I70" s="6" t="s">
        <v>386</v>
      </c>
      <c r="J70" s="6" t="s">
        <v>518</v>
      </c>
      <c r="K70" s="4" t="str">
        <f aca="false">IF(COUNTIF($A$5:$A$94,A70)&lt;&gt;1,"ID 중복",IF(B70="C 연결",IF(COUNTIF(연결!$A$5:$A$29,D70)=1,"OK","연결 없음"),"OK"))</f>
        <v>OK</v>
      </c>
      <c r="L70" s="14"/>
      <c r="M70" s="14"/>
      <c r="N70" s="14"/>
      <c r="O70" s="14"/>
      <c r="P70" s="14"/>
      <c r="Q70" s="14"/>
      <c r="R70" s="15" t="str">
        <f aca="false">IFERROR(COUNTIF(L70:Q70,"&gt;=3")/COUNT(L70:Q70),"")</f>
        <v/>
      </c>
      <c r="S70" s="16" t="str">
        <f aca="false">IF(R70="","",IF(R70&gt;=검증!$B$4,"채택","수정·토론"))</f>
        <v/>
      </c>
    </row>
    <row r="71" customFormat="false" ht="30" hidden="false" customHeight="true" outlineLevel="0" collapsed="false">
      <c r="A71" s="6" t="s">
        <v>351</v>
      </c>
      <c r="B71" s="6" t="s">
        <v>383</v>
      </c>
      <c r="C71" s="4" t="s">
        <v>220</v>
      </c>
      <c r="D71" s="6" t="s">
        <v>224</v>
      </c>
      <c r="E71" s="4" t="str">
        <f aca="false">IFERROR(INDEX(연결!$C$5:$C$29,MATCH(D71,연결!$A$5:$A$29,0)),"")</f>
        <v>COM → GOV</v>
      </c>
      <c r="F71" s="4" t="s">
        <v>384</v>
      </c>
      <c r="G71" s="4" t="s">
        <v>519</v>
      </c>
      <c r="H71" s="4" t="str">
        <f aca="false">IFERROR(INDEX(연결!$F$5:$F$29,MATCH(D71,연결!$A$5:$A$29,0)),"")</f>
        <v>A</v>
      </c>
      <c r="I71" s="6" t="s">
        <v>386</v>
      </c>
      <c r="J71" s="6" t="s">
        <v>520</v>
      </c>
      <c r="K71" s="4" t="str">
        <f aca="false">IF(COUNTIF($A$5:$A$94,A71)&lt;&gt;1,"ID 중복",IF(B71="C 연결",IF(COUNTIF(연결!$A$5:$A$29,D71)=1,"OK","연결 없음"),"OK"))</f>
        <v>OK</v>
      </c>
      <c r="L71" s="14"/>
      <c r="M71" s="14"/>
      <c r="N71" s="14"/>
      <c r="O71" s="14"/>
      <c r="P71" s="14"/>
      <c r="Q71" s="14"/>
      <c r="R71" s="15" t="str">
        <f aca="false">IFERROR(COUNTIF(L71:Q71,"&gt;=3")/COUNT(L71:Q71),"")</f>
        <v/>
      </c>
      <c r="S71" s="16" t="str">
        <f aca="false">IF(R71="","",IF(R71&gt;=검증!$B$4,"채택","수정·토론"))</f>
        <v/>
      </c>
    </row>
    <row r="72" customFormat="false" ht="30" hidden="false" customHeight="true" outlineLevel="0" collapsed="false">
      <c r="A72" s="6" t="s">
        <v>352</v>
      </c>
      <c r="B72" s="6" t="s">
        <v>383</v>
      </c>
      <c r="C72" s="4" t="s">
        <v>220</v>
      </c>
      <c r="D72" s="6" t="s">
        <v>224</v>
      </c>
      <c r="E72" s="4" t="str">
        <f aca="false">IFERROR(INDEX(연결!$C$5:$C$29,MATCH(D72,연결!$A$5:$A$29,0)),"")</f>
        <v>COM → GOV</v>
      </c>
      <c r="F72" s="4" t="s">
        <v>388</v>
      </c>
      <c r="G72" s="4" t="s">
        <v>521</v>
      </c>
      <c r="H72" s="4" t="str">
        <f aca="false">IFERROR(INDEX(연결!$F$5:$F$29,MATCH(D72,연결!$A$5:$A$29,0)),"")</f>
        <v>A</v>
      </c>
      <c r="I72" s="6" t="s">
        <v>386</v>
      </c>
      <c r="J72" s="6" t="s">
        <v>522</v>
      </c>
      <c r="K72" s="4" t="str">
        <f aca="false">IF(COUNTIF($A$5:$A$94,A72)&lt;&gt;1,"ID 중복",IF(B72="C 연결",IF(COUNTIF(연결!$A$5:$A$29,D72)=1,"OK","연결 없음"),"OK"))</f>
        <v>OK</v>
      </c>
      <c r="L72" s="14"/>
      <c r="M72" s="14"/>
      <c r="N72" s="14"/>
      <c r="O72" s="14"/>
      <c r="P72" s="14"/>
      <c r="Q72" s="14"/>
      <c r="R72" s="15" t="str">
        <f aca="false">IFERROR(COUNTIF(L72:Q72,"&gt;=3")/COUNT(L72:Q72),"")</f>
        <v/>
      </c>
      <c r="S72" s="16" t="str">
        <f aca="false">IF(R72="","",IF(R72&gt;=검증!$B$4,"채택","수정·토론"))</f>
        <v/>
      </c>
    </row>
    <row r="73" customFormat="false" ht="30" hidden="false" customHeight="true" outlineLevel="0" collapsed="false">
      <c r="A73" s="6" t="s">
        <v>353</v>
      </c>
      <c r="B73" s="6" t="s">
        <v>383</v>
      </c>
      <c r="C73" s="4" t="s">
        <v>220</v>
      </c>
      <c r="D73" s="6" t="s">
        <v>224</v>
      </c>
      <c r="E73" s="4" t="str">
        <f aca="false">IFERROR(INDEX(연결!$C$5:$C$29,MATCH(D73,연결!$A$5:$A$29,0)),"")</f>
        <v>COM → GOV</v>
      </c>
      <c r="F73" s="4" t="s">
        <v>391</v>
      </c>
      <c r="G73" s="4" t="s">
        <v>523</v>
      </c>
      <c r="H73" s="4" t="str">
        <f aca="false">IFERROR(INDEX(연결!$F$5:$F$29,MATCH(D73,연결!$A$5:$A$29,0)),"")</f>
        <v>A</v>
      </c>
      <c r="I73" s="6" t="s">
        <v>386</v>
      </c>
      <c r="J73" s="6" t="s">
        <v>524</v>
      </c>
      <c r="K73" s="4" t="str">
        <f aca="false">IF(COUNTIF($A$5:$A$94,A73)&lt;&gt;1,"ID 중복",IF(B73="C 연결",IF(COUNTIF(연결!$A$5:$A$29,D73)=1,"OK","연결 없음"),"OK"))</f>
        <v>OK</v>
      </c>
      <c r="L73" s="14"/>
      <c r="M73" s="14"/>
      <c r="N73" s="14"/>
      <c r="O73" s="14"/>
      <c r="P73" s="14"/>
      <c r="Q73" s="14"/>
      <c r="R73" s="15" t="str">
        <f aca="false">IFERROR(COUNTIF(L73:Q73,"&gt;=3")/COUNT(L73:Q73),"")</f>
        <v/>
      </c>
      <c r="S73" s="16" t="str">
        <f aca="false">IF(R73="","",IF(R73&gt;=검증!$B$4,"채택","수정·토론"))</f>
        <v/>
      </c>
    </row>
    <row r="74" customFormat="false" ht="30" hidden="false" customHeight="true" outlineLevel="0" collapsed="false">
      <c r="A74" s="6" t="s">
        <v>355</v>
      </c>
      <c r="B74" s="6" t="s">
        <v>383</v>
      </c>
      <c r="C74" s="4" t="s">
        <v>220</v>
      </c>
      <c r="D74" s="6" t="s">
        <v>228</v>
      </c>
      <c r="E74" s="4" t="str">
        <f aca="false">IFERROR(INDEX(연결!$C$5:$C$29,MATCH(D74,연결!$A$5:$A$29,0)),"")</f>
        <v>GOV → POL</v>
      </c>
      <c r="F74" s="4" t="s">
        <v>384</v>
      </c>
      <c r="G74" s="4" t="s">
        <v>525</v>
      </c>
      <c r="H74" s="4" t="str">
        <f aca="false">IFERROR(INDEX(연결!$F$5:$F$29,MATCH(D74,연결!$A$5:$A$29,0)),"")</f>
        <v>B</v>
      </c>
      <c r="I74" s="6" t="s">
        <v>386</v>
      </c>
      <c r="J74" s="6" t="s">
        <v>526</v>
      </c>
      <c r="K74" s="4" t="str">
        <f aca="false">IF(COUNTIF($A$5:$A$94,A74)&lt;&gt;1,"ID 중복",IF(B74="C 연결",IF(COUNTIF(연결!$A$5:$A$29,D74)=1,"OK","연결 없음"),"OK"))</f>
        <v>OK</v>
      </c>
      <c r="L74" s="14"/>
      <c r="M74" s="14"/>
      <c r="N74" s="14"/>
      <c r="O74" s="14"/>
      <c r="P74" s="14"/>
      <c r="Q74" s="14"/>
      <c r="R74" s="15" t="str">
        <f aca="false">IFERROR(COUNTIF(L74:Q74,"&gt;=3")/COUNT(L74:Q74),"")</f>
        <v/>
      </c>
      <c r="S74" s="16" t="str">
        <f aca="false">IF(R74="","",IF(R74&gt;=검증!$B$4,"채택","수정·토론"))</f>
        <v/>
      </c>
    </row>
    <row r="75" customFormat="false" ht="30" hidden="false" customHeight="true" outlineLevel="0" collapsed="false">
      <c r="A75" s="6" t="s">
        <v>356</v>
      </c>
      <c r="B75" s="6" t="s">
        <v>383</v>
      </c>
      <c r="C75" s="4" t="s">
        <v>220</v>
      </c>
      <c r="D75" s="6" t="s">
        <v>228</v>
      </c>
      <c r="E75" s="4" t="str">
        <f aca="false">IFERROR(INDEX(연결!$C$5:$C$29,MATCH(D75,연결!$A$5:$A$29,0)),"")</f>
        <v>GOV → POL</v>
      </c>
      <c r="F75" s="4" t="s">
        <v>388</v>
      </c>
      <c r="G75" s="4" t="s">
        <v>527</v>
      </c>
      <c r="H75" s="4" t="str">
        <f aca="false">IFERROR(INDEX(연결!$F$5:$F$29,MATCH(D75,연결!$A$5:$A$29,0)),"")</f>
        <v>B</v>
      </c>
      <c r="I75" s="6" t="s">
        <v>386</v>
      </c>
      <c r="J75" s="6" t="s">
        <v>528</v>
      </c>
      <c r="K75" s="4" t="str">
        <f aca="false">IF(COUNTIF($A$5:$A$94,A75)&lt;&gt;1,"ID 중복",IF(B75="C 연결",IF(COUNTIF(연결!$A$5:$A$29,D75)=1,"OK","연결 없음"),"OK"))</f>
        <v>OK</v>
      </c>
      <c r="L75" s="14"/>
      <c r="M75" s="14"/>
      <c r="N75" s="14"/>
      <c r="O75" s="14"/>
      <c r="P75" s="14"/>
      <c r="Q75" s="14"/>
      <c r="R75" s="15" t="str">
        <f aca="false">IFERROR(COUNTIF(L75:Q75,"&gt;=3")/COUNT(L75:Q75),"")</f>
        <v/>
      </c>
      <c r="S75" s="16" t="str">
        <f aca="false">IF(R75="","",IF(R75&gt;=검증!$B$4,"채택","수정·토론"))</f>
        <v/>
      </c>
    </row>
    <row r="76" customFormat="false" ht="30" hidden="false" customHeight="true" outlineLevel="0" collapsed="false">
      <c r="A76" s="6" t="s">
        <v>357</v>
      </c>
      <c r="B76" s="6" t="s">
        <v>383</v>
      </c>
      <c r="C76" s="4" t="s">
        <v>220</v>
      </c>
      <c r="D76" s="6" t="s">
        <v>228</v>
      </c>
      <c r="E76" s="4" t="str">
        <f aca="false">IFERROR(INDEX(연결!$C$5:$C$29,MATCH(D76,연결!$A$5:$A$29,0)),"")</f>
        <v>GOV → POL</v>
      </c>
      <c r="F76" s="4" t="s">
        <v>391</v>
      </c>
      <c r="G76" s="4" t="s">
        <v>529</v>
      </c>
      <c r="H76" s="4" t="str">
        <f aca="false">IFERROR(INDEX(연결!$F$5:$F$29,MATCH(D76,연결!$A$5:$A$29,0)),"")</f>
        <v>B</v>
      </c>
      <c r="I76" s="6" t="s">
        <v>386</v>
      </c>
      <c r="J76" s="6" t="s">
        <v>530</v>
      </c>
      <c r="K76" s="4" t="str">
        <f aca="false">IF(COUNTIF($A$5:$A$94,A76)&lt;&gt;1,"ID 중복",IF(B76="C 연결",IF(COUNTIF(연결!$A$5:$A$29,D76)=1,"OK","연결 없음"),"OK"))</f>
        <v>OK</v>
      </c>
      <c r="L76" s="14"/>
      <c r="M76" s="14"/>
      <c r="N76" s="14"/>
      <c r="O76" s="14"/>
      <c r="P76" s="14"/>
      <c r="Q76" s="14"/>
      <c r="R76" s="15" t="str">
        <f aca="false">IFERROR(COUNTIF(L76:Q76,"&gt;=3")/COUNT(L76:Q76),"")</f>
        <v/>
      </c>
      <c r="S76" s="16" t="str">
        <f aca="false">IF(R76="","",IF(R76&gt;=검증!$B$4,"채택","수정·토론"))</f>
        <v/>
      </c>
    </row>
    <row r="77" customFormat="false" ht="30" hidden="false" customHeight="true" outlineLevel="0" collapsed="false">
      <c r="A77" s="6" t="s">
        <v>360</v>
      </c>
      <c r="B77" s="6" t="s">
        <v>383</v>
      </c>
      <c r="C77" s="4" t="s">
        <v>220</v>
      </c>
      <c r="D77" s="6" t="s">
        <v>232</v>
      </c>
      <c r="E77" s="4" t="str">
        <f aca="false">IFERROR(INDEX(연결!$C$5:$C$29,MATCH(D77,연결!$A$5:$A$29,0)),"")</f>
        <v>RES → 핵심 프로세스/CRM</v>
      </c>
      <c r="F77" s="4" t="s">
        <v>384</v>
      </c>
      <c r="G77" s="4" t="s">
        <v>531</v>
      </c>
      <c r="H77" s="4" t="str">
        <f aca="false">IFERROR(INDEX(연결!$F$5:$F$29,MATCH(D77,연결!$A$5:$A$29,0)),"")</f>
        <v>A</v>
      </c>
      <c r="I77" s="6" t="s">
        <v>386</v>
      </c>
      <c r="J77" s="6" t="s">
        <v>532</v>
      </c>
      <c r="K77" s="4" t="str">
        <f aca="false">IF(COUNTIF($A$5:$A$94,A77)&lt;&gt;1,"ID 중복",IF(B77="C 연결",IF(COUNTIF(연결!$A$5:$A$29,D77)=1,"OK","연결 없음"),"OK"))</f>
        <v>OK</v>
      </c>
      <c r="L77" s="14"/>
      <c r="M77" s="14"/>
      <c r="N77" s="14"/>
      <c r="O77" s="14"/>
      <c r="P77" s="14"/>
      <c r="Q77" s="14"/>
      <c r="R77" s="15" t="str">
        <f aca="false">IFERROR(COUNTIF(L77:Q77,"&gt;=3")/COUNT(L77:Q77),"")</f>
        <v/>
      </c>
      <c r="S77" s="16" t="str">
        <f aca="false">IF(R77="","",IF(R77&gt;=검증!$B$4,"채택","수정·토론"))</f>
        <v/>
      </c>
    </row>
    <row r="78" customFormat="false" ht="30" hidden="false" customHeight="true" outlineLevel="0" collapsed="false">
      <c r="A78" s="6" t="s">
        <v>361</v>
      </c>
      <c r="B78" s="6" t="s">
        <v>383</v>
      </c>
      <c r="C78" s="4" t="s">
        <v>220</v>
      </c>
      <c r="D78" s="6" t="s">
        <v>232</v>
      </c>
      <c r="E78" s="4" t="str">
        <f aca="false">IFERROR(INDEX(연결!$C$5:$C$29,MATCH(D78,연결!$A$5:$A$29,0)),"")</f>
        <v>RES → 핵심 프로세스/CRM</v>
      </c>
      <c r="F78" s="4" t="s">
        <v>388</v>
      </c>
      <c r="G78" s="4" t="s">
        <v>533</v>
      </c>
      <c r="H78" s="4" t="str">
        <f aca="false">IFERROR(INDEX(연결!$F$5:$F$29,MATCH(D78,연결!$A$5:$A$29,0)),"")</f>
        <v>A</v>
      </c>
      <c r="I78" s="6" t="s">
        <v>386</v>
      </c>
      <c r="J78" s="6" t="s">
        <v>534</v>
      </c>
      <c r="K78" s="4" t="str">
        <f aca="false">IF(COUNTIF($A$5:$A$94,A78)&lt;&gt;1,"ID 중복",IF(B78="C 연결",IF(COUNTIF(연결!$A$5:$A$29,D78)=1,"OK","연결 없음"),"OK"))</f>
        <v>OK</v>
      </c>
      <c r="L78" s="14"/>
      <c r="M78" s="14"/>
      <c r="N78" s="14"/>
      <c r="O78" s="14"/>
      <c r="P78" s="14"/>
      <c r="Q78" s="14"/>
      <c r="R78" s="15" t="str">
        <f aca="false">IFERROR(COUNTIF(L78:Q78,"&gt;=3")/COUNT(L78:Q78),"")</f>
        <v/>
      </c>
      <c r="S78" s="16" t="str">
        <f aca="false">IF(R78="","",IF(R78&gt;=검증!$B$4,"채택","수정·토론"))</f>
        <v/>
      </c>
    </row>
    <row r="79" customFormat="false" ht="30" hidden="false" customHeight="true" outlineLevel="0" collapsed="false">
      <c r="A79" s="6" t="s">
        <v>362</v>
      </c>
      <c r="B79" s="6" t="s">
        <v>383</v>
      </c>
      <c r="C79" s="4" t="s">
        <v>220</v>
      </c>
      <c r="D79" s="6" t="s">
        <v>232</v>
      </c>
      <c r="E79" s="4" t="str">
        <f aca="false">IFERROR(INDEX(연결!$C$5:$C$29,MATCH(D79,연결!$A$5:$A$29,0)),"")</f>
        <v>RES → 핵심 프로세스/CRM</v>
      </c>
      <c r="F79" s="4" t="s">
        <v>391</v>
      </c>
      <c r="G79" s="4" t="s">
        <v>535</v>
      </c>
      <c r="H79" s="4" t="str">
        <f aca="false">IFERROR(INDEX(연결!$F$5:$F$29,MATCH(D79,연결!$A$5:$A$29,0)),"")</f>
        <v>A</v>
      </c>
      <c r="I79" s="6" t="s">
        <v>386</v>
      </c>
      <c r="J79" s="6" t="s">
        <v>536</v>
      </c>
      <c r="K79" s="4" t="str">
        <f aca="false">IF(COUNTIF($A$5:$A$94,A79)&lt;&gt;1,"ID 중복",IF(B79="C 연결",IF(COUNTIF(연결!$A$5:$A$29,D79)=1,"OK","연결 없음"),"OK"))</f>
        <v>OK</v>
      </c>
      <c r="L79" s="14"/>
      <c r="M79" s="14"/>
      <c r="N79" s="14"/>
      <c r="O79" s="14"/>
      <c r="P79" s="14"/>
      <c r="Q79" s="14"/>
      <c r="R79" s="15" t="str">
        <f aca="false">IFERROR(COUNTIF(L79:Q79,"&gt;=3")/COUNT(L79:Q79),"")</f>
        <v/>
      </c>
      <c r="S79" s="16" t="str">
        <f aca="false">IF(R79="","",IF(R79&gt;=검증!$B$4,"채택","수정·토론"))</f>
        <v/>
      </c>
    </row>
    <row r="80" customFormat="false" ht="30" hidden="false" customHeight="true" outlineLevel="0" collapsed="false">
      <c r="A80" s="6" t="s">
        <v>537</v>
      </c>
      <c r="B80" s="6" t="s">
        <v>538</v>
      </c>
      <c r="C80" s="4" t="s">
        <v>539</v>
      </c>
      <c r="D80" s="4"/>
      <c r="E80" s="4" t="str">
        <f aca="false">IFERROR(INDEX(연결!$C$5:$C$29,MATCH(D80,연결!$A$5:$A$29,0)),"")</f>
        <v/>
      </c>
      <c r="F80" s="4" t="s">
        <v>539</v>
      </c>
      <c r="G80" s="4" t="s">
        <v>540</v>
      </c>
      <c r="H80" s="4" t="str">
        <f aca="false">IFERROR(INDEX(연결!$F$5:$F$29,MATCH(D80,연결!$A$5:$A$29,0)),"")</f>
        <v/>
      </c>
      <c r="I80" s="6" t="s">
        <v>386</v>
      </c>
      <c r="J80" s="6" t="s">
        <v>541</v>
      </c>
      <c r="K80" s="4" t="str">
        <f aca="false">IF(COUNTIF($A$5:$A$94,A80)&lt;&gt;1,"ID 중복",IF(B80="C 연결",IF(COUNTIF(연결!$A$5:$A$29,D80)=1,"OK","연결 없음"),"OK"))</f>
        <v>OK</v>
      </c>
      <c r="L80" s="14"/>
      <c r="M80" s="14"/>
      <c r="N80" s="14"/>
      <c r="O80" s="14"/>
      <c r="P80" s="14"/>
      <c r="Q80" s="14"/>
      <c r="R80" s="15" t="str">
        <f aca="false">IFERROR(COUNTIF(L80:Q80,"&gt;=3")/COUNT(L80:Q80),"")</f>
        <v/>
      </c>
      <c r="S80" s="16" t="str">
        <f aca="false">IF(R80="","",IF(R80&gt;=검증!$B$4,"채택","수정·토론"))</f>
        <v/>
      </c>
    </row>
    <row r="81" customFormat="false" ht="30" hidden="false" customHeight="true" outlineLevel="0" collapsed="false">
      <c r="A81" s="6" t="s">
        <v>542</v>
      </c>
      <c r="B81" s="6" t="s">
        <v>538</v>
      </c>
      <c r="C81" s="4" t="s">
        <v>539</v>
      </c>
      <c r="D81" s="4"/>
      <c r="E81" s="4" t="str">
        <f aca="false">IFERROR(INDEX(연결!$C$5:$C$29,MATCH(D81,연결!$A$5:$A$29,0)),"")</f>
        <v/>
      </c>
      <c r="F81" s="4" t="s">
        <v>539</v>
      </c>
      <c r="G81" s="4" t="s">
        <v>543</v>
      </c>
      <c r="H81" s="4" t="str">
        <f aca="false">IFERROR(INDEX(연결!$F$5:$F$29,MATCH(D81,연결!$A$5:$A$29,0)),"")</f>
        <v/>
      </c>
      <c r="I81" s="6" t="s">
        <v>386</v>
      </c>
      <c r="J81" s="6" t="s">
        <v>544</v>
      </c>
      <c r="K81" s="4" t="str">
        <f aca="false">IF(COUNTIF($A$5:$A$94,A81)&lt;&gt;1,"ID 중복",IF(B81="C 연결",IF(COUNTIF(연결!$A$5:$A$29,D81)=1,"OK","연결 없음"),"OK"))</f>
        <v>OK</v>
      </c>
      <c r="L81" s="14"/>
      <c r="M81" s="14"/>
      <c r="N81" s="14"/>
      <c r="O81" s="14"/>
      <c r="P81" s="14"/>
      <c r="Q81" s="14"/>
      <c r="R81" s="15" t="str">
        <f aca="false">IFERROR(COUNTIF(L81:Q81,"&gt;=3")/COUNT(L81:Q81),"")</f>
        <v/>
      </c>
      <c r="S81" s="16" t="str">
        <f aca="false">IF(R81="","",IF(R81&gt;=검증!$B$4,"채택","수정·토론"))</f>
        <v/>
      </c>
    </row>
    <row r="82" customFormat="false" ht="30" hidden="false" customHeight="true" outlineLevel="0" collapsed="false">
      <c r="A82" s="6" t="s">
        <v>545</v>
      </c>
      <c r="B82" s="6" t="s">
        <v>538</v>
      </c>
      <c r="C82" s="4" t="s">
        <v>539</v>
      </c>
      <c r="D82" s="4"/>
      <c r="E82" s="4" t="str">
        <f aca="false">IFERROR(INDEX(연결!$C$5:$C$29,MATCH(D82,연결!$A$5:$A$29,0)),"")</f>
        <v/>
      </c>
      <c r="F82" s="4" t="s">
        <v>539</v>
      </c>
      <c r="G82" s="4" t="s">
        <v>546</v>
      </c>
      <c r="H82" s="4" t="str">
        <f aca="false">IFERROR(INDEX(연결!$F$5:$F$29,MATCH(D82,연결!$A$5:$A$29,0)),"")</f>
        <v/>
      </c>
      <c r="I82" s="6" t="s">
        <v>386</v>
      </c>
      <c r="J82" s="6" t="s">
        <v>547</v>
      </c>
      <c r="K82" s="4" t="str">
        <f aca="false">IF(COUNTIF($A$5:$A$94,A82)&lt;&gt;1,"ID 중복",IF(B82="C 연결",IF(COUNTIF(연결!$A$5:$A$29,D82)=1,"OK","연결 없음"),"OK"))</f>
        <v>OK</v>
      </c>
      <c r="L82" s="14"/>
      <c r="M82" s="14"/>
      <c r="N82" s="14"/>
      <c r="O82" s="14"/>
      <c r="P82" s="14"/>
      <c r="Q82" s="14"/>
      <c r="R82" s="15" t="str">
        <f aca="false">IFERROR(COUNTIF(L82:Q82,"&gt;=3")/COUNT(L82:Q82),"")</f>
        <v/>
      </c>
      <c r="S82" s="16" t="str">
        <f aca="false">IF(R82="","",IF(R82&gt;=검증!$B$4,"채택","수정·토론"))</f>
        <v/>
      </c>
    </row>
    <row r="83" customFormat="false" ht="30" hidden="false" customHeight="true" outlineLevel="0" collapsed="false">
      <c r="A83" s="6" t="s">
        <v>548</v>
      </c>
      <c r="B83" s="6" t="s">
        <v>538</v>
      </c>
      <c r="C83" s="4" t="s">
        <v>539</v>
      </c>
      <c r="D83" s="4"/>
      <c r="E83" s="4" t="str">
        <f aca="false">IFERROR(INDEX(연결!$C$5:$C$29,MATCH(D83,연결!$A$5:$A$29,0)),"")</f>
        <v/>
      </c>
      <c r="F83" s="4" t="s">
        <v>539</v>
      </c>
      <c r="G83" s="6" t="s">
        <v>549</v>
      </c>
      <c r="H83" s="4" t="str">
        <f aca="false">IFERROR(INDEX(연결!$F$5:$F$29,MATCH(D83,연결!$A$5:$A$29,0)),"")</f>
        <v/>
      </c>
      <c r="I83" s="6" t="s">
        <v>386</v>
      </c>
      <c r="J83" s="6" t="s">
        <v>550</v>
      </c>
      <c r="K83" s="4" t="str">
        <f aca="false">IF(COUNTIF($A$5:$A$94,A83)&lt;&gt;1,"ID 중복",IF(B83="C 연결",IF(COUNTIF(연결!$A$5:$A$29,D83)=1,"OK","연결 없음"),"OK"))</f>
        <v>OK</v>
      </c>
      <c r="L83" s="14"/>
      <c r="M83" s="14"/>
      <c r="N83" s="14"/>
      <c r="O83" s="14"/>
      <c r="P83" s="14"/>
      <c r="Q83" s="14"/>
      <c r="R83" s="15" t="str">
        <f aca="false">IFERROR(COUNTIF(L83:Q83,"&gt;=3")/COUNT(L83:Q83),"")</f>
        <v/>
      </c>
      <c r="S83" s="16" t="str">
        <f aca="false">IF(R83="","",IF(R83&gt;=검증!$B$4,"채택","수정·토론"))</f>
        <v/>
      </c>
    </row>
    <row r="84" customFormat="false" ht="30" hidden="false" customHeight="true" outlineLevel="0" collapsed="false">
      <c r="A84" s="6" t="s">
        <v>551</v>
      </c>
      <c r="B84" s="6" t="s">
        <v>538</v>
      </c>
      <c r="C84" s="4" t="s">
        <v>539</v>
      </c>
      <c r="D84" s="4"/>
      <c r="E84" s="4" t="str">
        <f aca="false">IFERROR(INDEX(연결!$C$5:$C$29,MATCH(D84,연결!$A$5:$A$29,0)),"")</f>
        <v/>
      </c>
      <c r="F84" s="4" t="s">
        <v>539</v>
      </c>
      <c r="G84" s="4" t="s">
        <v>552</v>
      </c>
      <c r="H84" s="4" t="str">
        <f aca="false">IFERROR(INDEX(연결!$F$5:$F$29,MATCH(D84,연결!$A$5:$A$29,0)),"")</f>
        <v/>
      </c>
      <c r="I84" s="6" t="s">
        <v>386</v>
      </c>
      <c r="J84" s="6" t="s">
        <v>553</v>
      </c>
      <c r="K84" s="4" t="str">
        <f aca="false">IF(COUNTIF($A$5:$A$94,A84)&lt;&gt;1,"ID 중복",IF(B84="C 연결",IF(COUNTIF(연결!$A$5:$A$29,D84)=1,"OK","연결 없음"),"OK"))</f>
        <v>OK</v>
      </c>
      <c r="L84" s="14"/>
      <c r="M84" s="14"/>
      <c r="N84" s="14"/>
      <c r="O84" s="14"/>
      <c r="P84" s="14"/>
      <c r="Q84" s="14"/>
      <c r="R84" s="15" t="str">
        <f aca="false">IFERROR(COUNTIF(L84:Q84,"&gt;=3")/COUNT(L84:Q84),"")</f>
        <v/>
      </c>
      <c r="S84" s="16" t="str">
        <f aca="false">IF(R84="","",IF(R84&gt;=검증!$B$4,"채택","수정·토론"))</f>
        <v/>
      </c>
    </row>
    <row r="85" customFormat="false" ht="30" hidden="false" customHeight="true" outlineLevel="0" collapsed="false">
      <c r="A85" s="6" t="s">
        <v>554</v>
      </c>
      <c r="B85" s="6" t="s">
        <v>538</v>
      </c>
      <c r="C85" s="4" t="s">
        <v>539</v>
      </c>
      <c r="D85" s="4"/>
      <c r="E85" s="4" t="str">
        <f aca="false">IFERROR(INDEX(연결!$C$5:$C$29,MATCH(D85,연결!$A$5:$A$29,0)),"")</f>
        <v/>
      </c>
      <c r="F85" s="4" t="s">
        <v>539</v>
      </c>
      <c r="G85" s="4" t="s">
        <v>555</v>
      </c>
      <c r="H85" s="4" t="str">
        <f aca="false">IFERROR(INDEX(연결!$F$5:$F$29,MATCH(D85,연결!$A$5:$A$29,0)),"")</f>
        <v/>
      </c>
      <c r="I85" s="6" t="s">
        <v>386</v>
      </c>
      <c r="J85" s="6" t="s">
        <v>556</v>
      </c>
      <c r="K85" s="4" t="str">
        <f aca="false">IF(COUNTIF($A$5:$A$94,A85)&lt;&gt;1,"ID 중복",IF(B85="C 연결",IF(COUNTIF(연결!$A$5:$A$29,D85)=1,"OK","연결 없음"),"OK"))</f>
        <v>OK</v>
      </c>
      <c r="L85" s="14"/>
      <c r="M85" s="14"/>
      <c r="N85" s="14"/>
      <c r="O85" s="14"/>
      <c r="P85" s="14"/>
      <c r="Q85" s="14"/>
      <c r="R85" s="15" t="str">
        <f aca="false">IFERROR(COUNTIF(L85:Q85,"&gt;=3")/COUNT(L85:Q85),"")</f>
        <v/>
      </c>
      <c r="S85" s="16" t="str">
        <f aca="false">IF(R85="","",IF(R85&gt;=검증!$B$4,"채택","수정·토론"))</f>
        <v/>
      </c>
    </row>
    <row r="86" customFormat="false" ht="30" hidden="false" customHeight="true" outlineLevel="0" collapsed="false">
      <c r="A86" s="6" t="s">
        <v>557</v>
      </c>
      <c r="B86" s="6" t="s">
        <v>558</v>
      </c>
      <c r="C86" s="4" t="s">
        <v>559</v>
      </c>
      <c r="D86" s="4"/>
      <c r="E86" s="4" t="str">
        <f aca="false">IFERROR(INDEX(연결!$C$5:$C$29,MATCH(D86,연결!$A$5:$A$29,0)),"")</f>
        <v/>
      </c>
      <c r="F86" s="4" t="s">
        <v>560</v>
      </c>
      <c r="G86" s="4" t="s">
        <v>561</v>
      </c>
      <c r="H86" s="4" t="str">
        <f aca="false">IFERROR(INDEX(연결!$F$5:$F$29,MATCH(D86,연결!$A$5:$A$29,0)),"")</f>
        <v/>
      </c>
      <c r="I86" s="6" t="s">
        <v>386</v>
      </c>
      <c r="J86" s="6" t="s">
        <v>562</v>
      </c>
      <c r="K86" s="4" t="str">
        <f aca="false">IF(COUNTIF($A$5:$A$94,A86)&lt;&gt;1,"ID 중복",IF(B86="C 연결",IF(COUNTIF(연결!$A$5:$A$29,D86)=1,"OK","연결 없음"),"OK"))</f>
        <v>OK</v>
      </c>
      <c r="L86" s="14"/>
      <c r="M86" s="14"/>
      <c r="N86" s="14"/>
      <c r="O86" s="14"/>
      <c r="P86" s="14"/>
      <c r="Q86" s="14"/>
      <c r="R86" s="15" t="str">
        <f aca="false">IFERROR(COUNTIF(L86:Q86,"&gt;=3")/COUNT(L86:Q86),"")</f>
        <v/>
      </c>
      <c r="S86" s="16" t="str">
        <f aca="false">IF(R86="","",IF(R86&gt;=검증!$B$4,"채택","수정·토론"))</f>
        <v/>
      </c>
    </row>
    <row r="87" customFormat="false" ht="30" hidden="false" customHeight="true" outlineLevel="0" collapsed="false">
      <c r="A87" s="6" t="s">
        <v>563</v>
      </c>
      <c r="B87" s="6" t="s">
        <v>558</v>
      </c>
      <c r="C87" s="4" t="s">
        <v>559</v>
      </c>
      <c r="D87" s="4"/>
      <c r="E87" s="4" t="str">
        <f aca="false">IFERROR(INDEX(연결!$C$5:$C$29,MATCH(D87,연결!$A$5:$A$29,0)),"")</f>
        <v/>
      </c>
      <c r="F87" s="4" t="s">
        <v>564</v>
      </c>
      <c r="G87" s="4" t="s">
        <v>565</v>
      </c>
      <c r="H87" s="4" t="str">
        <f aca="false">IFERROR(INDEX(연결!$F$5:$F$29,MATCH(D87,연결!$A$5:$A$29,0)),"")</f>
        <v/>
      </c>
      <c r="I87" s="6" t="s">
        <v>386</v>
      </c>
      <c r="J87" s="6" t="s">
        <v>566</v>
      </c>
      <c r="K87" s="4" t="str">
        <f aca="false">IF(COUNTIF($A$5:$A$94,A87)&lt;&gt;1,"ID 중복",IF(B87="C 연결",IF(COUNTIF(연결!$A$5:$A$29,D87)=1,"OK","연결 없음"),"OK"))</f>
        <v>OK</v>
      </c>
      <c r="L87" s="14"/>
      <c r="M87" s="14"/>
      <c r="N87" s="14"/>
      <c r="O87" s="14"/>
      <c r="P87" s="14"/>
      <c r="Q87" s="14"/>
      <c r="R87" s="15" t="str">
        <f aca="false">IFERROR(COUNTIF(L87:Q87,"&gt;=3")/COUNT(L87:Q87),"")</f>
        <v/>
      </c>
      <c r="S87" s="16" t="str">
        <f aca="false">IF(R87="","",IF(R87&gt;=검증!$B$4,"채택","수정·토론"))</f>
        <v/>
      </c>
    </row>
    <row r="88" customFormat="false" ht="30" hidden="false" customHeight="true" outlineLevel="0" collapsed="false">
      <c r="A88" s="6" t="s">
        <v>567</v>
      </c>
      <c r="B88" s="6" t="s">
        <v>558</v>
      </c>
      <c r="C88" s="4" t="s">
        <v>559</v>
      </c>
      <c r="D88" s="4"/>
      <c r="E88" s="4" t="str">
        <f aca="false">IFERROR(INDEX(연결!$C$5:$C$29,MATCH(D88,연결!$A$5:$A$29,0)),"")</f>
        <v/>
      </c>
      <c r="F88" s="4" t="s">
        <v>568</v>
      </c>
      <c r="G88" s="4" t="s">
        <v>569</v>
      </c>
      <c r="H88" s="4" t="str">
        <f aca="false">IFERROR(INDEX(연결!$F$5:$F$29,MATCH(D88,연결!$A$5:$A$29,0)),"")</f>
        <v/>
      </c>
      <c r="I88" s="6" t="s">
        <v>386</v>
      </c>
      <c r="J88" s="6" t="s">
        <v>570</v>
      </c>
      <c r="K88" s="4" t="str">
        <f aca="false">IF(COUNTIF($A$5:$A$94,A88)&lt;&gt;1,"ID 중복",IF(B88="C 연결",IF(COUNTIF(연결!$A$5:$A$29,D88)=1,"OK","연결 없음"),"OK"))</f>
        <v>OK</v>
      </c>
      <c r="L88" s="14"/>
      <c r="M88" s="14"/>
      <c r="N88" s="14"/>
      <c r="O88" s="14"/>
      <c r="P88" s="14"/>
      <c r="Q88" s="14"/>
      <c r="R88" s="15" t="str">
        <f aca="false">IFERROR(COUNTIF(L88:Q88,"&gt;=3")/COUNT(L88:Q88),"")</f>
        <v/>
      </c>
      <c r="S88" s="16" t="str">
        <f aca="false">IF(R88="","",IF(R88&gt;=검증!$B$4,"채택","수정·토론"))</f>
        <v/>
      </c>
    </row>
    <row r="89" customFormat="false" ht="30" hidden="false" customHeight="true" outlineLevel="0" collapsed="false">
      <c r="A89" s="6" t="s">
        <v>571</v>
      </c>
      <c r="B89" s="6" t="s">
        <v>558</v>
      </c>
      <c r="C89" s="4" t="s">
        <v>559</v>
      </c>
      <c r="D89" s="4"/>
      <c r="E89" s="4" t="str">
        <f aca="false">IFERROR(INDEX(연결!$C$5:$C$29,MATCH(D89,연결!$A$5:$A$29,0)),"")</f>
        <v/>
      </c>
      <c r="F89" s="4" t="s">
        <v>572</v>
      </c>
      <c r="G89" s="4" t="s">
        <v>573</v>
      </c>
      <c r="H89" s="4" t="str">
        <f aca="false">IFERROR(INDEX(연결!$F$5:$F$29,MATCH(D89,연결!$A$5:$A$29,0)),"")</f>
        <v/>
      </c>
      <c r="I89" s="6" t="s">
        <v>386</v>
      </c>
      <c r="J89" s="6" t="s">
        <v>574</v>
      </c>
      <c r="K89" s="4" t="str">
        <f aca="false">IF(COUNTIF($A$5:$A$94,A89)&lt;&gt;1,"ID 중복",IF(B89="C 연결",IF(COUNTIF(연결!$A$5:$A$29,D89)=1,"OK","연결 없음"),"OK"))</f>
        <v>OK</v>
      </c>
      <c r="L89" s="14"/>
      <c r="M89" s="14"/>
      <c r="N89" s="14"/>
      <c r="O89" s="14"/>
      <c r="P89" s="14"/>
      <c r="Q89" s="14"/>
      <c r="R89" s="15" t="str">
        <f aca="false">IFERROR(COUNTIF(L89:Q89,"&gt;=3")/COUNT(L89:Q89),"")</f>
        <v/>
      </c>
      <c r="S89" s="16" t="str">
        <f aca="false">IF(R89="","",IF(R89&gt;=검증!$B$4,"채택","수정·토론"))</f>
        <v/>
      </c>
    </row>
    <row r="90" customFormat="false" ht="30" hidden="false" customHeight="true" outlineLevel="0" collapsed="false">
      <c r="A90" s="6" t="s">
        <v>575</v>
      </c>
      <c r="B90" s="6" t="s">
        <v>576</v>
      </c>
      <c r="C90" s="4" t="s">
        <v>559</v>
      </c>
      <c r="D90" s="4"/>
      <c r="E90" s="4" t="str">
        <f aca="false">IFERROR(INDEX(연결!$C$5:$C$29,MATCH(D90,연결!$A$5:$A$29,0)),"")</f>
        <v/>
      </c>
      <c r="F90" s="4" t="s">
        <v>577</v>
      </c>
      <c r="G90" s="4" t="s">
        <v>578</v>
      </c>
      <c r="H90" s="4" t="str">
        <f aca="false">IFERROR(INDEX(연결!$F$5:$F$29,MATCH(D90,연결!$A$5:$A$29,0)),"")</f>
        <v/>
      </c>
      <c r="I90" s="6" t="s">
        <v>386</v>
      </c>
      <c r="J90" s="6" t="s">
        <v>579</v>
      </c>
      <c r="K90" s="4" t="str">
        <f aca="false">IF(COUNTIF($A$5:$A$94,A90)&lt;&gt;1,"ID 중복",IF(B90="C 연결",IF(COUNTIF(연결!$A$5:$A$29,D90)=1,"OK","연결 없음"),"OK"))</f>
        <v>OK</v>
      </c>
      <c r="L90" s="14"/>
      <c r="M90" s="14"/>
      <c r="N90" s="14"/>
      <c r="O90" s="14"/>
      <c r="P90" s="14"/>
      <c r="Q90" s="14"/>
      <c r="R90" s="15" t="str">
        <f aca="false">IFERROR(COUNTIF(L90:Q90,"&gt;=3")/COUNT(L90:Q90),"")</f>
        <v/>
      </c>
      <c r="S90" s="16" t="str">
        <f aca="false">IF(R90="","",IF(R90&gt;=검증!$B$4,"채택","수정·토론"))</f>
        <v/>
      </c>
    </row>
    <row r="91" customFormat="false" ht="30" hidden="false" customHeight="true" outlineLevel="0" collapsed="false">
      <c r="A91" s="6" t="s">
        <v>580</v>
      </c>
      <c r="B91" s="6" t="s">
        <v>581</v>
      </c>
      <c r="C91" s="4" t="s">
        <v>559</v>
      </c>
      <c r="D91" s="4"/>
      <c r="E91" s="4" t="str">
        <f aca="false">IFERROR(INDEX(연결!$C$5:$C$29,MATCH(D91,연결!$A$5:$A$29,0)),"")</f>
        <v/>
      </c>
      <c r="F91" s="4" t="s">
        <v>582</v>
      </c>
      <c r="G91" s="4" t="s">
        <v>583</v>
      </c>
      <c r="H91" s="4" t="str">
        <f aca="false">IFERROR(INDEX(연결!$F$5:$F$29,MATCH(D91,연결!$A$5:$A$29,0)),"")</f>
        <v/>
      </c>
      <c r="I91" s="6" t="s">
        <v>386</v>
      </c>
      <c r="J91" s="6" t="s">
        <v>584</v>
      </c>
      <c r="K91" s="4" t="str">
        <f aca="false">IF(COUNTIF($A$5:$A$94,A91)&lt;&gt;1,"ID 중복",IF(B91="C 연결",IF(COUNTIF(연결!$A$5:$A$29,D91)=1,"OK","연결 없음"),"OK"))</f>
        <v>OK</v>
      </c>
      <c r="L91" s="14"/>
      <c r="M91" s="14"/>
      <c r="N91" s="14"/>
      <c r="O91" s="14"/>
      <c r="P91" s="14"/>
      <c r="Q91" s="14"/>
      <c r="R91" s="15" t="str">
        <f aca="false">IFERROR(COUNTIF(L91:Q91,"&gt;=3")/COUNT(L91:Q91),"")</f>
        <v/>
      </c>
      <c r="S91" s="16" t="str">
        <f aca="false">IF(R91="","",IF(R91&gt;=검증!$B$4,"채택","수정·토론"))</f>
        <v/>
      </c>
    </row>
    <row r="92" customFormat="false" ht="30" hidden="false" customHeight="true" outlineLevel="0" collapsed="false">
      <c r="A92" s="6" t="s">
        <v>585</v>
      </c>
      <c r="B92" s="6" t="s">
        <v>581</v>
      </c>
      <c r="C92" s="4" t="s">
        <v>559</v>
      </c>
      <c r="D92" s="4"/>
      <c r="E92" s="4" t="str">
        <f aca="false">IFERROR(INDEX(연결!$C$5:$C$29,MATCH(D92,연결!$A$5:$A$29,0)),"")</f>
        <v/>
      </c>
      <c r="F92" s="4" t="s">
        <v>582</v>
      </c>
      <c r="G92" s="4" t="s">
        <v>586</v>
      </c>
      <c r="H92" s="4" t="str">
        <f aca="false">IFERROR(INDEX(연결!$F$5:$F$29,MATCH(D92,연결!$A$5:$A$29,0)),"")</f>
        <v/>
      </c>
      <c r="I92" s="6" t="s">
        <v>386</v>
      </c>
      <c r="J92" s="6" t="s">
        <v>587</v>
      </c>
      <c r="K92" s="4" t="str">
        <f aca="false">IF(COUNTIF($A$5:$A$94,A92)&lt;&gt;1,"ID 중복",IF(B92="C 연결",IF(COUNTIF(연결!$A$5:$A$29,D92)=1,"OK","연결 없음"),"OK"))</f>
        <v>OK</v>
      </c>
      <c r="L92" s="14"/>
      <c r="M92" s="14"/>
      <c r="N92" s="14"/>
      <c r="O92" s="14"/>
      <c r="P92" s="14"/>
      <c r="Q92" s="14"/>
      <c r="R92" s="15" t="str">
        <f aca="false">IFERROR(COUNTIF(L92:Q92,"&gt;=3")/COUNT(L92:Q92),"")</f>
        <v/>
      </c>
      <c r="S92" s="16" t="str">
        <f aca="false">IF(R92="","",IF(R92&gt;=검증!$B$4,"채택","수정·토론"))</f>
        <v/>
      </c>
    </row>
    <row r="93" customFormat="false" ht="30" hidden="false" customHeight="true" outlineLevel="0" collapsed="false">
      <c r="A93" s="6" t="s">
        <v>588</v>
      </c>
      <c r="B93" s="6" t="s">
        <v>581</v>
      </c>
      <c r="C93" s="4" t="s">
        <v>559</v>
      </c>
      <c r="D93" s="4"/>
      <c r="E93" s="4" t="str">
        <f aca="false">IFERROR(INDEX(연결!$C$5:$C$29,MATCH(D93,연결!$A$5:$A$29,0)),"")</f>
        <v/>
      </c>
      <c r="F93" s="4" t="s">
        <v>582</v>
      </c>
      <c r="G93" s="6" t="s">
        <v>589</v>
      </c>
      <c r="H93" s="4" t="str">
        <f aca="false">IFERROR(INDEX(연결!$F$5:$F$29,MATCH(D93,연결!$A$5:$A$29,0)),"")</f>
        <v/>
      </c>
      <c r="I93" s="6" t="s">
        <v>386</v>
      </c>
      <c r="J93" s="6" t="s">
        <v>590</v>
      </c>
      <c r="K93" s="4" t="str">
        <f aca="false">IF(COUNTIF($A$5:$A$94,A93)&lt;&gt;1,"ID 중복",IF(B93="C 연결",IF(COUNTIF(연결!$A$5:$A$29,D93)=1,"OK","연결 없음"),"OK"))</f>
        <v>OK</v>
      </c>
      <c r="L93" s="14"/>
      <c r="M93" s="14"/>
      <c r="N93" s="14"/>
      <c r="O93" s="14"/>
      <c r="P93" s="14"/>
      <c r="Q93" s="14"/>
      <c r="R93" s="15" t="str">
        <f aca="false">IFERROR(COUNTIF(L93:Q93,"&gt;=3")/COUNT(L93:Q93),"")</f>
        <v/>
      </c>
      <c r="S93" s="16" t="str">
        <f aca="false">IF(R93="","",IF(R93&gt;=검증!$B$4,"채택","수정·토론"))</f>
        <v/>
      </c>
    </row>
    <row r="94" customFormat="false" ht="30" hidden="false" customHeight="true" outlineLevel="0" collapsed="false">
      <c r="A94" s="6" t="s">
        <v>591</v>
      </c>
      <c r="B94" s="6" t="s">
        <v>581</v>
      </c>
      <c r="C94" s="4" t="s">
        <v>559</v>
      </c>
      <c r="D94" s="4"/>
      <c r="E94" s="4" t="str">
        <f aca="false">IFERROR(INDEX(연결!$C$5:$C$29,MATCH(D94,연결!$A$5:$A$29,0)),"")</f>
        <v/>
      </c>
      <c r="F94" s="4" t="s">
        <v>592</v>
      </c>
      <c r="G94" s="4" t="s">
        <v>593</v>
      </c>
      <c r="H94" s="4" t="str">
        <f aca="false">IFERROR(INDEX(연결!$F$5:$F$29,MATCH(D94,연결!$A$5:$A$29,0)),"")</f>
        <v/>
      </c>
      <c r="I94" s="6" t="s">
        <v>386</v>
      </c>
      <c r="J94" s="6" t="s">
        <v>594</v>
      </c>
      <c r="K94" s="4" t="str">
        <f aca="false">IF(COUNTIF($A$5:$A$94,A94)&lt;&gt;1,"ID 중복",IF(B94="C 연결",IF(COUNTIF(연결!$A$5:$A$29,D94)=1,"OK","연결 없음"),"OK"))</f>
        <v>OK</v>
      </c>
      <c r="L94" s="14"/>
      <c r="M94" s="14"/>
      <c r="N94" s="14"/>
      <c r="O94" s="14"/>
      <c r="P94" s="14"/>
      <c r="Q94" s="14"/>
      <c r="R94" s="15" t="str">
        <f aca="false">IFERROR(COUNTIF(L94:Q94,"&gt;=3")/COUNT(L94:Q94),"")</f>
        <v/>
      </c>
      <c r="S94" s="16" t="str">
        <f aca="false">IF(R94="","",IF(R94&gt;=검증!$B$4,"채택","수정·토론"))</f>
        <v/>
      </c>
    </row>
  </sheetData>
  <autoFilter ref="A4:S94"/>
  <dataValidations count="1">
    <dataValidation allowBlank="true" error="1~4 사이 정수" errorStyle="stop" operator="between" showDropDown="false" showErrorMessage="true" showInputMessage="false" sqref="L5:Q94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12"/>
  </cols>
  <sheetData>
    <row r="1" customFormat="false" ht="19.4" hidden="false" customHeight="false" outlineLevel="0" collapsed="false">
      <c r="A1" s="1" t="s">
        <v>595</v>
      </c>
    </row>
    <row r="2" customFormat="false" ht="15" hidden="false" customHeight="false" outlineLevel="0" collapsed="false">
      <c r="A2" s="17" t="s">
        <v>596</v>
      </c>
    </row>
    <row r="4" customFormat="false" ht="15" hidden="false" customHeight="false" outlineLevel="0" collapsed="false">
      <c r="A4" s="8" t="s">
        <v>26</v>
      </c>
      <c r="B4" s="9" t="s">
        <v>242</v>
      </c>
      <c r="C4" s="9" t="s">
        <v>597</v>
      </c>
      <c r="D4" s="9" t="s">
        <v>598</v>
      </c>
      <c r="E4" s="9" t="s">
        <v>373</v>
      </c>
    </row>
    <row r="5" customFormat="false" ht="15" hidden="false" customHeight="false" outlineLevel="0" collapsed="false">
      <c r="A5" s="6" t="s">
        <v>599</v>
      </c>
      <c r="B5" s="6" t="s">
        <v>600</v>
      </c>
      <c r="C5" s="4" t="s">
        <v>601</v>
      </c>
      <c r="D5" s="4" t="s">
        <v>602</v>
      </c>
      <c r="E5" s="6" t="s">
        <v>168</v>
      </c>
    </row>
    <row r="6" customFormat="false" ht="15" hidden="false" customHeight="false" outlineLevel="0" collapsed="false">
      <c r="A6" s="6" t="s">
        <v>603</v>
      </c>
      <c r="B6" s="6" t="s">
        <v>600</v>
      </c>
      <c r="C6" s="4" t="s">
        <v>604</v>
      </c>
      <c r="D6" s="6" t="s">
        <v>605</v>
      </c>
      <c r="E6" s="6" t="s">
        <v>606</v>
      </c>
    </row>
    <row r="7" customFormat="false" ht="15" hidden="false" customHeight="false" outlineLevel="0" collapsed="false">
      <c r="A7" s="6" t="s">
        <v>607</v>
      </c>
      <c r="B7" s="6" t="s">
        <v>600</v>
      </c>
      <c r="C7" s="6" t="s">
        <v>608</v>
      </c>
      <c r="D7" s="6" t="s">
        <v>609</v>
      </c>
      <c r="E7" s="6" t="s">
        <v>610</v>
      </c>
    </row>
    <row r="8" customFormat="false" ht="15" hidden="false" customHeight="false" outlineLevel="0" collapsed="false">
      <c r="A8" s="6" t="s">
        <v>611</v>
      </c>
      <c r="B8" s="6" t="s">
        <v>600</v>
      </c>
      <c r="C8" s="6" t="s">
        <v>612</v>
      </c>
      <c r="D8" s="4" t="s">
        <v>613</v>
      </c>
      <c r="E8" s="6" t="s">
        <v>614</v>
      </c>
    </row>
    <row r="9" customFormat="false" ht="15" hidden="false" customHeight="false" outlineLevel="0" collapsed="false">
      <c r="A9" s="6" t="s">
        <v>615</v>
      </c>
      <c r="B9" s="6" t="s">
        <v>600</v>
      </c>
      <c r="C9" s="4" t="s">
        <v>616</v>
      </c>
      <c r="D9" s="6" t="s">
        <v>617</v>
      </c>
      <c r="E9" s="6" t="s">
        <v>618</v>
      </c>
    </row>
    <row r="10" customFormat="false" ht="15" hidden="false" customHeight="false" outlineLevel="0" collapsed="false">
      <c r="A10" s="6" t="s">
        <v>619</v>
      </c>
      <c r="B10" s="6" t="s">
        <v>600</v>
      </c>
      <c r="C10" s="6" t="s">
        <v>620</v>
      </c>
      <c r="D10" s="4" t="s">
        <v>621</v>
      </c>
      <c r="E10" s="6" t="s">
        <v>622</v>
      </c>
    </row>
    <row r="11" customFormat="false" ht="15" hidden="false" customHeight="false" outlineLevel="0" collapsed="false">
      <c r="A11" s="6" t="s">
        <v>623</v>
      </c>
      <c r="B11" s="6" t="s">
        <v>600</v>
      </c>
      <c r="C11" s="4" t="s">
        <v>624</v>
      </c>
      <c r="D11" s="4" t="s">
        <v>625</v>
      </c>
      <c r="E11" s="6" t="s">
        <v>626</v>
      </c>
    </row>
    <row r="12" customFormat="false" ht="15" hidden="false" customHeight="false" outlineLevel="0" collapsed="false">
      <c r="A12" s="6" t="s">
        <v>627</v>
      </c>
      <c r="B12" s="6" t="s">
        <v>600</v>
      </c>
      <c r="C12" s="4" t="s">
        <v>628</v>
      </c>
      <c r="D12" s="4" t="s">
        <v>629</v>
      </c>
      <c r="E12" s="6" t="s">
        <v>630</v>
      </c>
    </row>
    <row r="13" customFormat="false" ht="15" hidden="false" customHeight="false" outlineLevel="0" collapsed="false">
      <c r="A13" s="6" t="s">
        <v>631</v>
      </c>
      <c r="B13" s="6" t="s">
        <v>600</v>
      </c>
      <c r="C13" s="6" t="s">
        <v>632</v>
      </c>
      <c r="D13" s="4" t="s">
        <v>633</v>
      </c>
      <c r="E13" s="6" t="s">
        <v>634</v>
      </c>
    </row>
    <row r="14" customFormat="false" ht="15" hidden="false" customHeight="false" outlineLevel="0" collapsed="false">
      <c r="A14" s="6" t="s">
        <v>635</v>
      </c>
      <c r="B14" s="6" t="s">
        <v>600</v>
      </c>
      <c r="C14" s="6" t="s">
        <v>636</v>
      </c>
      <c r="D14" s="4" t="s">
        <v>637</v>
      </c>
      <c r="E14" s="6" t="s">
        <v>638</v>
      </c>
    </row>
    <row r="15" customFormat="false" ht="15" hidden="false" customHeight="false" outlineLevel="0" collapsed="false">
      <c r="A15" s="6" t="s">
        <v>639</v>
      </c>
      <c r="B15" s="6" t="s">
        <v>640</v>
      </c>
      <c r="C15" s="6" t="s">
        <v>36</v>
      </c>
      <c r="D15" s="6" t="s">
        <v>641</v>
      </c>
      <c r="E15" s="6" t="s">
        <v>642</v>
      </c>
    </row>
    <row r="16" customFormat="false" ht="15" hidden="false" customHeight="false" outlineLevel="0" collapsed="false">
      <c r="A16" s="6" t="s">
        <v>643</v>
      </c>
      <c r="B16" s="6" t="s">
        <v>640</v>
      </c>
      <c r="C16" s="6" t="s">
        <v>41</v>
      </c>
      <c r="D16" s="6" t="s">
        <v>641</v>
      </c>
      <c r="E16" s="6" t="s">
        <v>644</v>
      </c>
    </row>
    <row r="17" customFormat="false" ht="15" hidden="false" customHeight="false" outlineLevel="0" collapsed="false">
      <c r="A17" s="6" t="s">
        <v>645</v>
      </c>
      <c r="B17" s="6" t="s">
        <v>640</v>
      </c>
      <c r="C17" s="4" t="s">
        <v>47</v>
      </c>
      <c r="D17" s="6" t="s">
        <v>641</v>
      </c>
      <c r="E17" s="6" t="s">
        <v>646</v>
      </c>
    </row>
    <row r="18" customFormat="false" ht="15" hidden="false" customHeight="false" outlineLevel="0" collapsed="false">
      <c r="A18" s="6" t="s">
        <v>647</v>
      </c>
      <c r="B18" s="6" t="s">
        <v>640</v>
      </c>
      <c r="C18" s="6" t="s">
        <v>50</v>
      </c>
      <c r="D18" s="6" t="s">
        <v>641</v>
      </c>
      <c r="E18" s="6" t="s">
        <v>648</v>
      </c>
    </row>
    <row r="19" customFormat="false" ht="15" hidden="false" customHeight="false" outlineLevel="0" collapsed="false">
      <c r="A19" s="6" t="s">
        <v>649</v>
      </c>
      <c r="B19" s="6" t="s">
        <v>640</v>
      </c>
      <c r="C19" s="4" t="s">
        <v>53</v>
      </c>
      <c r="D19" s="6" t="s">
        <v>641</v>
      </c>
      <c r="E19" s="6" t="s">
        <v>650</v>
      </c>
    </row>
    <row r="20" customFormat="false" ht="15" hidden="false" customHeight="false" outlineLevel="0" collapsed="false">
      <c r="A20" s="6" t="s">
        <v>651</v>
      </c>
      <c r="B20" s="6" t="s">
        <v>640</v>
      </c>
      <c r="C20" s="6" t="s">
        <v>56</v>
      </c>
      <c r="D20" s="6" t="s">
        <v>641</v>
      </c>
      <c r="E20" s="6" t="s">
        <v>652</v>
      </c>
    </row>
    <row r="21" customFormat="false" ht="15" hidden="false" customHeight="false" outlineLevel="0" collapsed="false">
      <c r="A21" s="6" t="s">
        <v>653</v>
      </c>
      <c r="B21" s="6" t="s">
        <v>640</v>
      </c>
      <c r="C21" s="6" t="s">
        <v>59</v>
      </c>
      <c r="D21" s="6" t="s">
        <v>641</v>
      </c>
      <c r="E21" s="6" t="s">
        <v>654</v>
      </c>
    </row>
    <row r="22" customFormat="false" ht="15" hidden="false" customHeight="false" outlineLevel="0" collapsed="false">
      <c r="A22" s="6" t="s">
        <v>655</v>
      </c>
      <c r="B22" s="6" t="s">
        <v>640</v>
      </c>
      <c r="C22" s="4" t="s">
        <v>62</v>
      </c>
      <c r="D22" s="6" t="s">
        <v>641</v>
      </c>
      <c r="E22" s="6" t="s">
        <v>656</v>
      </c>
    </row>
    <row r="23" customFormat="false" ht="15" hidden="false" customHeight="false" outlineLevel="0" collapsed="false">
      <c r="A23" s="6" t="s">
        <v>657</v>
      </c>
      <c r="B23" s="6" t="s">
        <v>640</v>
      </c>
      <c r="C23" s="4" t="s">
        <v>67</v>
      </c>
      <c r="D23" s="6" t="s">
        <v>641</v>
      </c>
      <c r="E23" s="6" t="s">
        <v>658</v>
      </c>
    </row>
    <row r="24" customFormat="false" ht="15" hidden="false" customHeight="false" outlineLevel="0" collapsed="false">
      <c r="A24" s="6" t="s">
        <v>659</v>
      </c>
      <c r="B24" s="6" t="s">
        <v>640</v>
      </c>
      <c r="C24" s="6" t="s">
        <v>71</v>
      </c>
      <c r="D24" s="6" t="s">
        <v>641</v>
      </c>
      <c r="E24" s="6" t="s">
        <v>660</v>
      </c>
    </row>
    <row r="25" customFormat="false" ht="15" hidden="false" customHeight="false" outlineLevel="0" collapsed="false">
      <c r="A25" s="6" t="s">
        <v>661</v>
      </c>
      <c r="B25" s="6" t="s">
        <v>640</v>
      </c>
      <c r="C25" s="4" t="s">
        <v>74</v>
      </c>
      <c r="D25" s="6" t="s">
        <v>641</v>
      </c>
      <c r="E25" s="6" t="s">
        <v>662</v>
      </c>
    </row>
    <row r="26" customFormat="false" ht="15" hidden="false" customHeight="false" outlineLevel="0" collapsed="false">
      <c r="A26" s="6" t="s">
        <v>663</v>
      </c>
      <c r="B26" s="6" t="s">
        <v>640</v>
      </c>
      <c r="C26" s="4" t="s">
        <v>77</v>
      </c>
      <c r="D26" s="6" t="s">
        <v>641</v>
      </c>
      <c r="E26" s="6" t="s">
        <v>664</v>
      </c>
    </row>
    <row r="27" customFormat="false" ht="15" hidden="false" customHeight="false" outlineLevel="0" collapsed="false">
      <c r="A27" s="6" t="s">
        <v>665</v>
      </c>
      <c r="B27" s="6" t="s">
        <v>640</v>
      </c>
      <c r="C27" s="4" t="s">
        <v>80</v>
      </c>
      <c r="D27" s="6" t="s">
        <v>641</v>
      </c>
      <c r="E27" s="6" t="s">
        <v>666</v>
      </c>
    </row>
    <row r="28" customFormat="false" ht="15" hidden="false" customHeight="false" outlineLevel="0" collapsed="false">
      <c r="A28" s="6" t="s">
        <v>667</v>
      </c>
      <c r="B28" s="6" t="s">
        <v>640</v>
      </c>
      <c r="C28" s="4" t="s">
        <v>84</v>
      </c>
      <c r="D28" s="6" t="s">
        <v>641</v>
      </c>
      <c r="E28" s="6" t="s">
        <v>668</v>
      </c>
    </row>
    <row r="29" customFormat="false" ht="15" hidden="false" customHeight="false" outlineLevel="0" collapsed="false">
      <c r="A29" s="6" t="s">
        <v>669</v>
      </c>
      <c r="B29" s="6" t="s">
        <v>640</v>
      </c>
      <c r="C29" s="4" t="s">
        <v>87</v>
      </c>
      <c r="D29" s="6" t="s">
        <v>641</v>
      </c>
      <c r="E29" s="6" t="s">
        <v>670</v>
      </c>
    </row>
    <row r="30" customFormat="false" ht="15" hidden="false" customHeight="false" outlineLevel="0" collapsed="false">
      <c r="A30" s="6" t="s">
        <v>671</v>
      </c>
      <c r="B30" s="6" t="s">
        <v>640</v>
      </c>
      <c r="C30" s="6" t="s">
        <v>91</v>
      </c>
      <c r="D30" s="6" t="s">
        <v>641</v>
      </c>
      <c r="E30" s="6" t="s">
        <v>672</v>
      </c>
    </row>
    <row r="31" customFormat="false" ht="15" hidden="false" customHeight="false" outlineLevel="0" collapsed="false">
      <c r="A31" s="6" t="s">
        <v>673</v>
      </c>
      <c r="B31" s="6" t="s">
        <v>640</v>
      </c>
      <c r="C31" s="4" t="s">
        <v>94</v>
      </c>
      <c r="D31" s="6" t="s">
        <v>641</v>
      </c>
      <c r="E31" s="6" t="s">
        <v>674</v>
      </c>
    </row>
    <row r="32" customFormat="false" ht="15" hidden="false" customHeight="false" outlineLevel="0" collapsed="false">
      <c r="A32" s="6" t="s">
        <v>675</v>
      </c>
      <c r="B32" s="6" t="s">
        <v>640</v>
      </c>
      <c r="C32" s="4" t="s">
        <v>97</v>
      </c>
      <c r="D32" s="6" t="s">
        <v>641</v>
      </c>
      <c r="E32" s="6" t="s">
        <v>676</v>
      </c>
    </row>
    <row r="33" customFormat="false" ht="15" hidden="false" customHeight="false" outlineLevel="0" collapsed="false">
      <c r="A33" s="6" t="s">
        <v>677</v>
      </c>
      <c r="B33" s="6" t="s">
        <v>640</v>
      </c>
      <c r="C33" s="4" t="s">
        <v>101</v>
      </c>
      <c r="D33" s="6" t="s">
        <v>641</v>
      </c>
      <c r="E33" s="6" t="s">
        <v>678</v>
      </c>
    </row>
    <row r="34" customFormat="false" ht="15" hidden="false" customHeight="false" outlineLevel="0" collapsed="false">
      <c r="A34" s="6" t="s">
        <v>679</v>
      </c>
      <c r="B34" s="6" t="s">
        <v>640</v>
      </c>
      <c r="C34" s="4" t="s">
        <v>105</v>
      </c>
      <c r="D34" s="6" t="s">
        <v>641</v>
      </c>
      <c r="E34" s="6" t="s">
        <v>680</v>
      </c>
    </row>
    <row r="35" customFormat="false" ht="15" hidden="false" customHeight="false" outlineLevel="0" collapsed="false">
      <c r="A35" s="6" t="s">
        <v>681</v>
      </c>
      <c r="B35" s="6" t="s">
        <v>640</v>
      </c>
      <c r="C35" s="4" t="s">
        <v>108</v>
      </c>
      <c r="D35" s="6" t="s">
        <v>641</v>
      </c>
      <c r="E35" s="6" t="s">
        <v>682</v>
      </c>
    </row>
    <row r="36" customFormat="false" ht="15" hidden="false" customHeight="false" outlineLevel="0" collapsed="false">
      <c r="A36" s="6" t="s">
        <v>683</v>
      </c>
      <c r="B36" s="6" t="s">
        <v>640</v>
      </c>
      <c r="C36" s="4" t="s">
        <v>111</v>
      </c>
      <c r="D36" s="6" t="s">
        <v>641</v>
      </c>
      <c r="E36" s="6" t="s">
        <v>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3" min="2" style="0" width="8"/>
  </cols>
  <sheetData>
    <row r="1" customFormat="false" ht="19.4" hidden="false" customHeight="false" outlineLevel="0" collapsed="false">
      <c r="A1" s="7" t="s">
        <v>685</v>
      </c>
    </row>
    <row r="2" customFormat="false" ht="15" hidden="false" customHeight="false" outlineLevel="0" collapsed="false">
      <c r="A2" s="17" t="s">
        <v>686</v>
      </c>
    </row>
    <row r="4" customFormat="false" ht="15" hidden="false" customHeight="false" outlineLevel="0" collapsed="false">
      <c r="A4" s="18" t="s">
        <v>687</v>
      </c>
      <c r="B4" s="19" t="s">
        <v>600</v>
      </c>
      <c r="L4" s="19" t="s">
        <v>640</v>
      </c>
      <c r="AH4" s="19" t="s">
        <v>688</v>
      </c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9" t="s">
        <v>689</v>
      </c>
      <c r="DF4" s="18"/>
      <c r="DG4" s="18"/>
      <c r="DH4" s="18"/>
      <c r="DI4" s="18"/>
      <c r="DJ4" s="18"/>
      <c r="DK4" s="19" t="s">
        <v>690</v>
      </c>
      <c r="DL4" s="18"/>
      <c r="DM4" s="18"/>
      <c r="DN4" s="18"/>
      <c r="DO4" s="18"/>
      <c r="DP4" s="18"/>
      <c r="DQ4" s="18"/>
      <c r="DR4" s="18"/>
      <c r="DS4" s="18"/>
    </row>
    <row r="5" customFormat="false" ht="15" hidden="false" customHeight="false" outlineLevel="0" collapsed="false">
      <c r="A5" s="9" t="s">
        <v>691</v>
      </c>
      <c r="B5" s="8" t="s">
        <v>599</v>
      </c>
      <c r="C5" s="8" t="s">
        <v>603</v>
      </c>
      <c r="D5" s="8" t="s">
        <v>607</v>
      </c>
      <c r="E5" s="8" t="s">
        <v>611</v>
      </c>
      <c r="F5" s="8" t="s">
        <v>615</v>
      </c>
      <c r="G5" s="8" t="s">
        <v>619</v>
      </c>
      <c r="H5" s="8" t="s">
        <v>623</v>
      </c>
      <c r="I5" s="8" t="s">
        <v>627</v>
      </c>
      <c r="J5" s="8" t="s">
        <v>631</v>
      </c>
      <c r="K5" s="8" t="s">
        <v>635</v>
      </c>
      <c r="L5" s="8" t="s">
        <v>639</v>
      </c>
      <c r="M5" s="8" t="s">
        <v>643</v>
      </c>
      <c r="N5" s="8" t="s">
        <v>645</v>
      </c>
      <c r="O5" s="8" t="s">
        <v>647</v>
      </c>
      <c r="P5" s="8" t="s">
        <v>649</v>
      </c>
      <c r="Q5" s="8" t="s">
        <v>651</v>
      </c>
      <c r="R5" s="8" t="s">
        <v>653</v>
      </c>
      <c r="S5" s="8" t="s">
        <v>655</v>
      </c>
      <c r="T5" s="8" t="s">
        <v>657</v>
      </c>
      <c r="U5" s="8" t="s">
        <v>659</v>
      </c>
      <c r="V5" s="8" t="s">
        <v>661</v>
      </c>
      <c r="W5" s="8" t="s">
        <v>663</v>
      </c>
      <c r="X5" s="8" t="s">
        <v>665</v>
      </c>
      <c r="Y5" s="8" t="s">
        <v>667</v>
      </c>
      <c r="Z5" s="8" t="s">
        <v>669</v>
      </c>
      <c r="AA5" s="8" t="s">
        <v>671</v>
      </c>
      <c r="AB5" s="8" t="s">
        <v>673</v>
      </c>
      <c r="AC5" s="8" t="s">
        <v>675</v>
      </c>
      <c r="AD5" s="8" t="s">
        <v>677</v>
      </c>
      <c r="AE5" s="8" t="s">
        <v>679</v>
      </c>
      <c r="AF5" s="8" t="s">
        <v>681</v>
      </c>
      <c r="AG5" s="8" t="s">
        <v>683</v>
      </c>
      <c r="AH5" s="8" t="s">
        <v>253</v>
      </c>
      <c r="AI5" s="8" t="s">
        <v>255</v>
      </c>
      <c r="AJ5" s="8" t="s">
        <v>257</v>
      </c>
      <c r="AK5" s="8" t="s">
        <v>259</v>
      </c>
      <c r="AL5" s="8" t="s">
        <v>260</v>
      </c>
      <c r="AM5" s="8" t="s">
        <v>261</v>
      </c>
      <c r="AN5" s="8" t="s">
        <v>263</v>
      </c>
      <c r="AO5" s="8" t="s">
        <v>264</v>
      </c>
      <c r="AP5" s="8" t="s">
        <v>265</v>
      </c>
      <c r="AQ5" s="8" t="s">
        <v>267</v>
      </c>
      <c r="AR5" s="8" t="s">
        <v>268</v>
      </c>
      <c r="AS5" s="8" t="s">
        <v>269</v>
      </c>
      <c r="AT5" s="8" t="s">
        <v>271</v>
      </c>
      <c r="AU5" s="8" t="s">
        <v>272</v>
      </c>
      <c r="AV5" s="8" t="s">
        <v>273</v>
      </c>
      <c r="AW5" s="8" t="s">
        <v>275</v>
      </c>
      <c r="AX5" s="8" t="s">
        <v>276</v>
      </c>
      <c r="AY5" s="8" t="s">
        <v>277</v>
      </c>
      <c r="AZ5" s="8" t="s">
        <v>279</v>
      </c>
      <c r="BA5" s="8" t="s">
        <v>280</v>
      </c>
      <c r="BB5" s="8" t="s">
        <v>281</v>
      </c>
      <c r="BC5" s="8" t="s">
        <v>283</v>
      </c>
      <c r="BD5" s="8" t="s">
        <v>284</v>
      </c>
      <c r="BE5" s="8" t="s">
        <v>285</v>
      </c>
      <c r="BF5" s="8" t="s">
        <v>287</v>
      </c>
      <c r="BG5" s="8" t="s">
        <v>288</v>
      </c>
      <c r="BH5" s="8" t="s">
        <v>289</v>
      </c>
      <c r="BI5" s="8" t="s">
        <v>291</v>
      </c>
      <c r="BJ5" s="8" t="s">
        <v>292</v>
      </c>
      <c r="BK5" s="8" t="s">
        <v>293</v>
      </c>
      <c r="BL5" s="8" t="s">
        <v>297</v>
      </c>
      <c r="BM5" s="8" t="s">
        <v>298</v>
      </c>
      <c r="BN5" s="8" t="s">
        <v>299</v>
      </c>
      <c r="BO5" s="8" t="s">
        <v>301</v>
      </c>
      <c r="BP5" s="8" t="s">
        <v>302</v>
      </c>
      <c r="BQ5" s="8" t="s">
        <v>303</v>
      </c>
      <c r="BR5" s="8" t="s">
        <v>305</v>
      </c>
      <c r="BS5" s="8" t="s">
        <v>306</v>
      </c>
      <c r="BT5" s="8" t="s">
        <v>307</v>
      </c>
      <c r="BU5" s="8" t="s">
        <v>311</v>
      </c>
      <c r="BV5" s="8" t="s">
        <v>312</v>
      </c>
      <c r="BW5" s="8" t="s">
        <v>313</v>
      </c>
      <c r="BX5" s="8" t="s">
        <v>315</v>
      </c>
      <c r="BY5" s="8" t="s">
        <v>316</v>
      </c>
      <c r="BZ5" s="8" t="s">
        <v>317</v>
      </c>
      <c r="CA5" s="8" t="s">
        <v>319</v>
      </c>
      <c r="CB5" s="8" t="s">
        <v>320</v>
      </c>
      <c r="CC5" s="8" t="s">
        <v>321</v>
      </c>
      <c r="CD5" s="8" t="s">
        <v>323</v>
      </c>
      <c r="CE5" s="8" t="s">
        <v>324</v>
      </c>
      <c r="CF5" s="8" t="s">
        <v>325</v>
      </c>
      <c r="CG5" s="8" t="s">
        <v>327</v>
      </c>
      <c r="CH5" s="8" t="s">
        <v>328</v>
      </c>
      <c r="CI5" s="8" t="s">
        <v>329</v>
      </c>
      <c r="CJ5" s="8" t="s">
        <v>333</v>
      </c>
      <c r="CK5" s="8" t="s">
        <v>334</v>
      </c>
      <c r="CL5" s="8" t="s">
        <v>335</v>
      </c>
      <c r="CM5" s="8" t="s">
        <v>337</v>
      </c>
      <c r="CN5" s="8" t="s">
        <v>338</v>
      </c>
      <c r="CO5" s="8" t="s">
        <v>339</v>
      </c>
      <c r="CP5" s="8" t="s">
        <v>343</v>
      </c>
      <c r="CQ5" s="8" t="s">
        <v>344</v>
      </c>
      <c r="CR5" s="8" t="s">
        <v>345</v>
      </c>
      <c r="CS5" s="8" t="s">
        <v>347</v>
      </c>
      <c r="CT5" s="8" t="s">
        <v>348</v>
      </c>
      <c r="CU5" s="8" t="s">
        <v>349</v>
      </c>
      <c r="CV5" s="8" t="s">
        <v>351</v>
      </c>
      <c r="CW5" s="8" t="s">
        <v>352</v>
      </c>
      <c r="CX5" s="8" t="s">
        <v>353</v>
      </c>
      <c r="CY5" s="8" t="s">
        <v>355</v>
      </c>
      <c r="CZ5" s="8" t="s">
        <v>356</v>
      </c>
      <c r="DA5" s="8" t="s">
        <v>357</v>
      </c>
      <c r="DB5" s="8" t="s">
        <v>360</v>
      </c>
      <c r="DC5" s="8" t="s">
        <v>361</v>
      </c>
      <c r="DD5" s="8" t="s">
        <v>362</v>
      </c>
      <c r="DE5" s="8" t="s">
        <v>537</v>
      </c>
      <c r="DF5" s="8" t="s">
        <v>542</v>
      </c>
      <c r="DG5" s="8" t="s">
        <v>545</v>
      </c>
      <c r="DH5" s="8" t="s">
        <v>548</v>
      </c>
      <c r="DI5" s="8" t="s">
        <v>551</v>
      </c>
      <c r="DJ5" s="8" t="s">
        <v>554</v>
      </c>
      <c r="DK5" s="8" t="s">
        <v>557</v>
      </c>
      <c r="DL5" s="8" t="s">
        <v>563</v>
      </c>
      <c r="DM5" s="8" t="s">
        <v>567</v>
      </c>
      <c r="DN5" s="8" t="s">
        <v>571</v>
      </c>
      <c r="DO5" s="8" t="s">
        <v>575</v>
      </c>
      <c r="DP5" s="8" t="s">
        <v>580</v>
      </c>
      <c r="DQ5" s="8" t="s">
        <v>585</v>
      </c>
      <c r="DR5" s="8" t="s">
        <v>588</v>
      </c>
      <c r="DS5" s="8" t="s">
        <v>591</v>
      </c>
    </row>
    <row r="6" customFormat="false" ht="26.1" hidden="false" customHeight="false" outlineLevel="0" collapsed="false">
      <c r="A6" s="20" t="s">
        <v>692</v>
      </c>
      <c r="B6" s="21" t="s">
        <v>693</v>
      </c>
      <c r="C6" s="20" t="s">
        <v>694</v>
      </c>
      <c r="D6" s="20" t="s">
        <v>695</v>
      </c>
      <c r="E6" s="21" t="s">
        <v>696</v>
      </c>
      <c r="F6" s="20" t="s">
        <v>697</v>
      </c>
      <c r="G6" s="20" t="s">
        <v>698</v>
      </c>
      <c r="H6" s="20" t="s">
        <v>699</v>
      </c>
      <c r="I6" s="20" t="s">
        <v>700</v>
      </c>
      <c r="J6" s="21" t="s">
        <v>701</v>
      </c>
      <c r="K6" s="21" t="s">
        <v>702</v>
      </c>
      <c r="L6" s="20" t="n">
        <v>1</v>
      </c>
      <c r="M6" s="20" t="n">
        <v>1</v>
      </c>
      <c r="N6" s="20" t="n">
        <v>1</v>
      </c>
      <c r="O6" s="20" t="n">
        <v>1</v>
      </c>
      <c r="P6" s="20" t="n">
        <v>1</v>
      </c>
      <c r="Q6" s="20" t="n">
        <v>1</v>
      </c>
      <c r="R6" s="20" t="n">
        <v>1</v>
      </c>
      <c r="S6" s="20" t="n">
        <v>1</v>
      </c>
      <c r="T6" s="20" t="n">
        <v>1</v>
      </c>
      <c r="U6" s="20" t="n">
        <v>1</v>
      </c>
      <c r="V6" s="20" t="n">
        <v>1</v>
      </c>
      <c r="W6" s="20" t="n">
        <v>1</v>
      </c>
      <c r="X6" s="20" t="n">
        <v>1</v>
      </c>
      <c r="Y6" s="20" t="n">
        <v>1</v>
      </c>
      <c r="Z6" s="20" t="n">
        <v>1</v>
      </c>
      <c r="AA6" s="20" t="n">
        <v>1</v>
      </c>
      <c r="AB6" s="20" t="n">
        <v>1</v>
      </c>
      <c r="AC6" s="20" t="n">
        <v>1</v>
      </c>
      <c r="AD6" s="20" t="n">
        <v>1</v>
      </c>
      <c r="AE6" s="20" t="n">
        <v>1</v>
      </c>
      <c r="AF6" s="20" t="n">
        <v>1</v>
      </c>
      <c r="AG6" s="20" t="n">
        <v>1</v>
      </c>
      <c r="AH6" s="20" t="n">
        <v>3</v>
      </c>
      <c r="AI6" s="20" t="n">
        <v>9</v>
      </c>
      <c r="AJ6" s="20" t="n">
        <v>4</v>
      </c>
      <c r="AK6" s="20" t="n">
        <v>4</v>
      </c>
      <c r="AL6" s="20" t="n">
        <v>3</v>
      </c>
      <c r="AM6" s="20" t="n">
        <v>4</v>
      </c>
      <c r="AN6" s="20" t="n">
        <v>3</v>
      </c>
      <c r="AO6" s="20" t="n">
        <v>5</v>
      </c>
      <c r="AP6" s="20" t="n">
        <v>4</v>
      </c>
      <c r="AQ6" s="20" t="n">
        <v>3</v>
      </c>
      <c r="AR6" s="20" t="n">
        <v>9</v>
      </c>
      <c r="AS6" s="20" t="n">
        <v>4</v>
      </c>
      <c r="AT6" s="20" t="n">
        <v>4</v>
      </c>
      <c r="AU6" s="20" t="n">
        <v>3</v>
      </c>
      <c r="AV6" s="20" t="n">
        <v>4</v>
      </c>
      <c r="AW6" s="20" t="n">
        <v>3</v>
      </c>
      <c r="AX6" s="20" t="n">
        <v>5</v>
      </c>
      <c r="AY6" s="20" t="n">
        <v>4</v>
      </c>
      <c r="AZ6" s="20" t="n">
        <v>3</v>
      </c>
      <c r="BA6" s="20" t="n">
        <v>9</v>
      </c>
      <c r="BB6" s="20" t="n">
        <v>4</v>
      </c>
      <c r="BC6" s="20" t="n">
        <v>4</v>
      </c>
      <c r="BD6" s="20" t="n">
        <v>3</v>
      </c>
      <c r="BE6" s="20" t="n">
        <v>4</v>
      </c>
      <c r="BF6" s="20" t="n">
        <v>3</v>
      </c>
      <c r="BG6" s="20" t="n">
        <v>5</v>
      </c>
      <c r="BH6" s="20" t="n">
        <v>4</v>
      </c>
      <c r="BI6" s="20" t="n">
        <v>3</v>
      </c>
      <c r="BJ6" s="20" t="n">
        <v>9</v>
      </c>
      <c r="BK6" s="20" t="n">
        <v>4</v>
      </c>
      <c r="BL6" s="20" t="n">
        <v>4</v>
      </c>
      <c r="BM6" s="20" t="n">
        <v>3</v>
      </c>
      <c r="BN6" s="20" t="n">
        <v>4</v>
      </c>
      <c r="BO6" s="20" t="n">
        <v>3</v>
      </c>
      <c r="BP6" s="20" t="n">
        <v>5</v>
      </c>
      <c r="BQ6" s="20" t="n">
        <v>4</v>
      </c>
      <c r="BR6" s="20" t="n">
        <v>3</v>
      </c>
      <c r="BS6" s="20" t="n">
        <v>9</v>
      </c>
      <c r="BT6" s="20" t="n">
        <v>4</v>
      </c>
      <c r="BU6" s="20" t="n">
        <v>4</v>
      </c>
      <c r="BV6" s="20" t="n">
        <v>3</v>
      </c>
      <c r="BW6" s="20" t="n">
        <v>4</v>
      </c>
      <c r="BX6" s="20" t="n">
        <v>3</v>
      </c>
      <c r="BY6" s="20" t="n">
        <v>5</v>
      </c>
      <c r="BZ6" s="20" t="n">
        <v>4</v>
      </c>
      <c r="CA6" s="20" t="n">
        <v>3</v>
      </c>
      <c r="CB6" s="20" t="n">
        <v>9</v>
      </c>
      <c r="CC6" s="20" t="n">
        <v>4</v>
      </c>
      <c r="CD6" s="20" t="n">
        <v>4</v>
      </c>
      <c r="CE6" s="20" t="n">
        <v>3</v>
      </c>
      <c r="CF6" s="20" t="n">
        <v>4</v>
      </c>
      <c r="CG6" s="20" t="n">
        <v>3</v>
      </c>
      <c r="CH6" s="20" t="n">
        <v>5</v>
      </c>
      <c r="CI6" s="20" t="n">
        <v>4</v>
      </c>
      <c r="CJ6" s="20" t="n">
        <v>3</v>
      </c>
      <c r="CK6" s="20" t="n">
        <v>9</v>
      </c>
      <c r="CL6" s="20" t="n">
        <v>4</v>
      </c>
      <c r="CM6" s="20" t="n">
        <v>4</v>
      </c>
      <c r="CN6" s="20" t="n">
        <v>3</v>
      </c>
      <c r="CO6" s="20" t="n">
        <v>4</v>
      </c>
      <c r="CP6" s="20" t="n">
        <v>3</v>
      </c>
      <c r="CQ6" s="20" t="n">
        <v>5</v>
      </c>
      <c r="CR6" s="20" t="n">
        <v>4</v>
      </c>
      <c r="CS6" s="20" t="n">
        <v>3</v>
      </c>
      <c r="CT6" s="20" t="n">
        <v>9</v>
      </c>
      <c r="CU6" s="20" t="n">
        <v>4</v>
      </c>
      <c r="CV6" s="20" t="n">
        <v>4</v>
      </c>
      <c r="CW6" s="20" t="n">
        <v>3</v>
      </c>
      <c r="CX6" s="20" t="n">
        <v>4</v>
      </c>
      <c r="CY6" s="20" t="n">
        <v>3</v>
      </c>
      <c r="CZ6" s="20" t="n">
        <v>5</v>
      </c>
      <c r="DA6" s="20" t="n">
        <v>4</v>
      </c>
      <c r="DB6" s="20" t="n">
        <v>3</v>
      </c>
      <c r="DC6" s="20" t="n">
        <v>9</v>
      </c>
      <c r="DD6" s="20" t="n">
        <v>4</v>
      </c>
      <c r="DE6" s="20" t="n">
        <v>4</v>
      </c>
      <c r="DF6" s="20" t="n">
        <v>3</v>
      </c>
      <c r="DG6" s="20" t="n">
        <v>4</v>
      </c>
      <c r="DH6" s="20" t="n">
        <v>3</v>
      </c>
      <c r="DI6" s="20" t="n">
        <v>5</v>
      </c>
      <c r="DJ6" s="20" t="n">
        <v>4</v>
      </c>
      <c r="DK6" s="20" t="n">
        <v>3</v>
      </c>
      <c r="DL6" s="20" t="n">
        <v>9</v>
      </c>
      <c r="DM6" s="20" t="n">
        <v>4</v>
      </c>
      <c r="DN6" s="20" t="n">
        <v>4</v>
      </c>
      <c r="DO6" s="20" t="n">
        <v>3</v>
      </c>
      <c r="DP6" s="20" t="n">
        <v>4</v>
      </c>
      <c r="DQ6" s="20" t="n">
        <v>3</v>
      </c>
      <c r="DR6" s="20" t="n">
        <v>5</v>
      </c>
      <c r="DS6" s="20" t="n">
        <v>4</v>
      </c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</row>
  </sheetData>
  <dataValidations count="2">
    <dataValidation allowBlank="true" error="1~5 또는 9만 입력" errorStyle="stop" operator="between" showDropDown="false" showErrorMessage="true" showInputMessage="false" sqref="AH7:DS56" type="list">
      <formula1>"1,2,3,4,5,9"</formula1>
      <formula2>0</formula2>
    </dataValidation>
    <dataValidation allowBlank="true" error="1~4만 입력" errorStyle="stop" operator="between" showDropDown="false" showErrorMessage="true" showInputMessage="false" sqref="L7:AG56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6" min="2" style="0" width="7"/>
    <col collapsed="false" customWidth="true" hidden="false" outlineLevel="0" max="27" min="27" style="0" width="14"/>
  </cols>
  <sheetData>
    <row r="1" customFormat="false" ht="19.4" hidden="false" customHeight="false" outlineLevel="0" collapsed="false">
      <c r="A1" s="7" t="s">
        <v>703</v>
      </c>
    </row>
    <row r="5" customFormat="false" ht="15" hidden="false" customHeight="false" outlineLevel="0" collapsed="false">
      <c r="A5" s="9" t="s">
        <v>691</v>
      </c>
      <c r="B5" s="8" t="s">
        <v>124</v>
      </c>
      <c r="C5" s="8" t="s">
        <v>131</v>
      </c>
      <c r="D5" s="8" t="s">
        <v>135</v>
      </c>
      <c r="E5" s="8" t="s">
        <v>139</v>
      </c>
      <c r="F5" s="8" t="s">
        <v>143</v>
      </c>
      <c r="G5" s="8" t="s">
        <v>147</v>
      </c>
      <c r="H5" s="8" t="s">
        <v>152</v>
      </c>
      <c r="I5" s="8" t="s">
        <v>157</v>
      </c>
      <c r="J5" s="8" t="s">
        <v>161</v>
      </c>
      <c r="K5" s="8" t="s">
        <v>165</v>
      </c>
      <c r="L5" s="8" t="s">
        <v>170</v>
      </c>
      <c r="M5" s="8" t="s">
        <v>176</v>
      </c>
      <c r="N5" s="8" t="s">
        <v>180</v>
      </c>
      <c r="O5" s="8" t="s">
        <v>184</v>
      </c>
      <c r="P5" s="8" t="s">
        <v>189</v>
      </c>
      <c r="Q5" s="8" t="s">
        <v>193</v>
      </c>
      <c r="R5" s="8" t="s">
        <v>198</v>
      </c>
      <c r="S5" s="8" t="s">
        <v>202</v>
      </c>
      <c r="T5" s="8" t="s">
        <v>205</v>
      </c>
      <c r="U5" s="8" t="s">
        <v>210</v>
      </c>
      <c r="V5" s="8" t="s">
        <v>214</v>
      </c>
      <c r="W5" s="8" t="s">
        <v>219</v>
      </c>
      <c r="X5" s="8" t="s">
        <v>224</v>
      </c>
      <c r="Y5" s="8" t="s">
        <v>228</v>
      </c>
      <c r="Z5" s="8" t="s">
        <v>232</v>
      </c>
      <c r="AA5" s="9" t="s">
        <v>704</v>
      </c>
    </row>
    <row r="6" customFormat="false" ht="15" hidden="false" customHeight="false" outlineLevel="0" collapsed="false">
      <c r="A6" s="16" t="str">
        <f aca="false">IF(응답입력!A7="","",응답입력!A7)</f>
        <v/>
      </c>
      <c r="B6" s="15" t="str">
        <f aca="false">IF(COUNTIF(응답입력!AH7:AJ7,"&lt;9")&gt;=2,AVERAGEIF(응답입력!AH7:AJ7,"&lt;9"),"")</f>
        <v/>
      </c>
      <c r="C6" s="15" t="str">
        <f aca="false">IF(COUNTIF(응답입력!AK7:AM7,"&lt;9")&gt;=2,AVERAGEIF(응답입력!AK7:AM7,"&lt;9"),"")</f>
        <v/>
      </c>
      <c r="D6" s="15" t="str">
        <f aca="false">IF(COUNTIF(응답입력!AN7:AP7,"&lt;9")&gt;=2,AVERAGEIF(응답입력!AN7:AP7,"&lt;9"),"")</f>
        <v/>
      </c>
      <c r="E6" s="15" t="str">
        <f aca="false">IF(COUNTIF(응답입력!AQ7:AS7,"&lt;9")&gt;=2,AVERAGEIF(응답입력!AQ7:AS7,"&lt;9"),"")</f>
        <v/>
      </c>
      <c r="F6" s="15" t="str">
        <f aca="false">IF(COUNTIF(응답입력!AT7:AV7,"&lt;9")&gt;=2,AVERAGEIF(응답입력!AT7:AV7,"&lt;9"),"")</f>
        <v/>
      </c>
      <c r="G6" s="15" t="str">
        <f aca="false">IF(COUNTIF(응답입력!AW7:AY7,"&lt;9")&gt;=2,AVERAGEIF(응답입력!AW7:AY7,"&lt;9"),"")</f>
        <v/>
      </c>
      <c r="H6" s="15" t="str">
        <f aca="false">IF(COUNTIF(응답입력!AZ7:BB7,"&lt;9")&gt;=2,AVERAGEIF(응답입력!AZ7:BB7,"&lt;9"),"")</f>
        <v/>
      </c>
      <c r="I6" s="15" t="str">
        <f aca="false">IF(COUNTIF(응답입력!BC7:BE7,"&lt;9")&gt;=2,AVERAGEIF(응답입력!BC7:BE7,"&lt;9"),"")</f>
        <v/>
      </c>
      <c r="J6" s="15" t="str">
        <f aca="false">IF(COUNTIF(응답입력!BF7:BH7,"&lt;9")&gt;=2,AVERAGEIF(응답입력!BF7:BH7,"&lt;9"),"")</f>
        <v/>
      </c>
      <c r="K6" s="15" t="str">
        <f aca="false">IF(COUNTIF(응답입력!BI7:BK7,"&lt;9")&gt;=2,AVERAGEIF(응답입력!BI7:BK7,"&lt;9"),"")</f>
        <v/>
      </c>
      <c r="L6" s="15" t="str">
        <f aca="false">IF(COUNTIF(응답입력!BL7:BN7,"&lt;9")&gt;=2,AVERAGEIF(응답입력!BL7:BN7,"&lt;9"),"")</f>
        <v/>
      </c>
      <c r="M6" s="15" t="str">
        <f aca="false">IF(COUNTIF(응답입력!BO7:BQ7,"&lt;9")&gt;=2,AVERAGEIF(응답입력!BO7:BQ7,"&lt;9"),"")</f>
        <v/>
      </c>
      <c r="N6" s="15" t="str">
        <f aca="false">IF(COUNTIF(응답입력!BR7:BT7,"&lt;9")&gt;=2,AVERAGEIF(응답입력!BR7:BT7,"&lt;9"),"")</f>
        <v/>
      </c>
      <c r="O6" s="15" t="str">
        <f aca="false">IF(COUNTIF(응답입력!BU7:BW7,"&lt;9")&gt;=2,AVERAGEIF(응답입력!BU7:BW7,"&lt;9"),"")</f>
        <v/>
      </c>
      <c r="P6" s="15" t="str">
        <f aca="false">IF(COUNTIF(응답입력!BX7:BZ7,"&lt;9")&gt;=2,AVERAGEIF(응답입력!BX7:BZ7,"&lt;9"),"")</f>
        <v/>
      </c>
      <c r="Q6" s="15" t="str">
        <f aca="false">IF(COUNTIF(응답입력!CA7:CC7,"&lt;9")&gt;=2,AVERAGEIF(응답입력!CA7:CC7,"&lt;9"),"")</f>
        <v/>
      </c>
      <c r="R6" s="15" t="str">
        <f aca="false">IF(COUNTIF(응답입력!CD7:CF7,"&lt;9")&gt;=2,AVERAGEIF(응답입력!CD7:CF7,"&lt;9"),"")</f>
        <v/>
      </c>
      <c r="S6" s="15" t="str">
        <f aca="false">IF(COUNTIF(응답입력!CG7:CI7,"&lt;9")&gt;=2,AVERAGEIF(응답입력!CG7:CI7,"&lt;9"),"")</f>
        <v/>
      </c>
      <c r="T6" s="15" t="str">
        <f aca="false">IF(COUNTIF(응답입력!CJ7:CL7,"&lt;9")&gt;=2,AVERAGEIF(응답입력!CJ7:CL7,"&lt;9"),"")</f>
        <v/>
      </c>
      <c r="U6" s="15" t="str">
        <f aca="false">IF(COUNTIF(응답입력!CM7:CO7,"&lt;9")&gt;=2,AVERAGEIF(응답입력!CM7:CO7,"&lt;9"),"")</f>
        <v/>
      </c>
      <c r="V6" s="15" t="str">
        <f aca="false">IF(COUNTIF(응답입력!CP7:CR7,"&lt;9")&gt;=2,AVERAGEIF(응답입력!CP7:CR7,"&lt;9"),"")</f>
        <v/>
      </c>
      <c r="W6" s="15" t="str">
        <f aca="false">IF(COUNTIF(응답입력!CS7:CU7,"&lt;9")&gt;=2,AVERAGEIF(응답입력!CS7:CU7,"&lt;9"),"")</f>
        <v/>
      </c>
      <c r="X6" s="15" t="str">
        <f aca="false">IF(COUNTIF(응답입력!CV7:CX7,"&lt;9")&gt;=2,AVERAGEIF(응답입력!CV7:CX7,"&lt;9"),"")</f>
        <v/>
      </c>
      <c r="Y6" s="15" t="str">
        <f aca="false">IF(COUNTIF(응답입력!CY7:DA7,"&lt;9")&gt;=2,AVERAGEIF(응답입력!CY7:DA7,"&lt;9"),"")</f>
        <v/>
      </c>
      <c r="Z6" s="15" t="str">
        <f aca="false">IF(COUNTIF(응답입력!DB7:DD7,"&lt;9")&gt;=2,AVERAGEIF(응답입력!DB7:DD7,"&lt;9"),"")</f>
        <v/>
      </c>
      <c r="AA6" s="22" t="str">
        <f aca="false">IFERROR(AVERAGE(B6:Z6),"")</f>
        <v/>
      </c>
    </row>
    <row r="7" customFormat="false" ht="15" hidden="false" customHeight="false" outlineLevel="0" collapsed="false">
      <c r="A7" s="16" t="str">
        <f aca="false">IF(응답입력!A8="","",응답입력!A8)</f>
        <v/>
      </c>
      <c r="B7" s="15" t="str">
        <f aca="false">IF(COUNTIF(응답입력!AH8:AJ8,"&lt;9")&gt;=2,AVERAGEIF(응답입력!AH8:AJ8,"&lt;9"),"")</f>
        <v/>
      </c>
      <c r="C7" s="15" t="str">
        <f aca="false">IF(COUNTIF(응답입력!AK8:AM8,"&lt;9")&gt;=2,AVERAGEIF(응답입력!AK8:AM8,"&lt;9"),"")</f>
        <v/>
      </c>
      <c r="D7" s="15" t="str">
        <f aca="false">IF(COUNTIF(응답입력!AN8:AP8,"&lt;9")&gt;=2,AVERAGEIF(응답입력!AN8:AP8,"&lt;9"),"")</f>
        <v/>
      </c>
      <c r="E7" s="15" t="str">
        <f aca="false">IF(COUNTIF(응답입력!AQ8:AS8,"&lt;9")&gt;=2,AVERAGEIF(응답입력!AQ8:AS8,"&lt;9"),"")</f>
        <v/>
      </c>
      <c r="F7" s="15" t="str">
        <f aca="false">IF(COUNTIF(응답입력!AT8:AV8,"&lt;9")&gt;=2,AVERAGEIF(응답입력!AT8:AV8,"&lt;9"),"")</f>
        <v/>
      </c>
      <c r="G7" s="15" t="str">
        <f aca="false">IF(COUNTIF(응답입력!AW8:AY8,"&lt;9")&gt;=2,AVERAGEIF(응답입력!AW8:AY8,"&lt;9"),"")</f>
        <v/>
      </c>
      <c r="H7" s="15" t="str">
        <f aca="false">IF(COUNTIF(응답입력!AZ8:BB8,"&lt;9")&gt;=2,AVERAGEIF(응답입력!AZ8:BB8,"&lt;9"),"")</f>
        <v/>
      </c>
      <c r="I7" s="15" t="str">
        <f aca="false">IF(COUNTIF(응답입력!BC8:BE8,"&lt;9")&gt;=2,AVERAGEIF(응답입력!BC8:BE8,"&lt;9"),"")</f>
        <v/>
      </c>
      <c r="J7" s="15" t="str">
        <f aca="false">IF(COUNTIF(응답입력!BF8:BH8,"&lt;9")&gt;=2,AVERAGEIF(응답입력!BF8:BH8,"&lt;9"),"")</f>
        <v/>
      </c>
      <c r="K7" s="15" t="str">
        <f aca="false">IF(COUNTIF(응답입력!BI8:BK8,"&lt;9")&gt;=2,AVERAGEIF(응답입력!BI8:BK8,"&lt;9"),"")</f>
        <v/>
      </c>
      <c r="L7" s="15" t="str">
        <f aca="false">IF(COUNTIF(응답입력!BL8:BN8,"&lt;9")&gt;=2,AVERAGEIF(응답입력!BL8:BN8,"&lt;9"),"")</f>
        <v/>
      </c>
      <c r="M7" s="15" t="str">
        <f aca="false">IF(COUNTIF(응답입력!BO8:BQ8,"&lt;9")&gt;=2,AVERAGEIF(응답입력!BO8:BQ8,"&lt;9"),"")</f>
        <v/>
      </c>
      <c r="N7" s="15" t="str">
        <f aca="false">IF(COUNTIF(응답입력!BR8:BT8,"&lt;9")&gt;=2,AVERAGEIF(응답입력!BR8:BT8,"&lt;9"),"")</f>
        <v/>
      </c>
      <c r="O7" s="15" t="str">
        <f aca="false">IF(COUNTIF(응답입력!BU8:BW8,"&lt;9")&gt;=2,AVERAGEIF(응답입력!BU8:BW8,"&lt;9"),"")</f>
        <v/>
      </c>
      <c r="P7" s="15" t="str">
        <f aca="false">IF(COUNTIF(응답입력!BX8:BZ8,"&lt;9")&gt;=2,AVERAGEIF(응답입력!BX8:BZ8,"&lt;9"),"")</f>
        <v/>
      </c>
      <c r="Q7" s="15" t="str">
        <f aca="false">IF(COUNTIF(응답입력!CA8:CC8,"&lt;9")&gt;=2,AVERAGEIF(응답입력!CA8:CC8,"&lt;9"),"")</f>
        <v/>
      </c>
      <c r="R7" s="15" t="str">
        <f aca="false">IF(COUNTIF(응답입력!CD8:CF8,"&lt;9")&gt;=2,AVERAGEIF(응답입력!CD8:CF8,"&lt;9"),"")</f>
        <v/>
      </c>
      <c r="S7" s="15" t="str">
        <f aca="false">IF(COUNTIF(응답입력!CG8:CI8,"&lt;9")&gt;=2,AVERAGEIF(응답입력!CG8:CI8,"&lt;9"),"")</f>
        <v/>
      </c>
      <c r="T7" s="15" t="str">
        <f aca="false">IF(COUNTIF(응답입력!CJ8:CL8,"&lt;9")&gt;=2,AVERAGEIF(응답입력!CJ8:CL8,"&lt;9"),"")</f>
        <v/>
      </c>
      <c r="U7" s="15" t="str">
        <f aca="false">IF(COUNTIF(응답입력!CM8:CO8,"&lt;9")&gt;=2,AVERAGEIF(응답입력!CM8:CO8,"&lt;9"),"")</f>
        <v/>
      </c>
      <c r="V7" s="15" t="str">
        <f aca="false">IF(COUNTIF(응답입력!CP8:CR8,"&lt;9")&gt;=2,AVERAGEIF(응답입력!CP8:CR8,"&lt;9"),"")</f>
        <v/>
      </c>
      <c r="W7" s="15" t="str">
        <f aca="false">IF(COUNTIF(응답입력!CS8:CU8,"&lt;9")&gt;=2,AVERAGEIF(응답입력!CS8:CU8,"&lt;9"),"")</f>
        <v/>
      </c>
      <c r="X7" s="15" t="str">
        <f aca="false">IF(COUNTIF(응답입력!CV8:CX8,"&lt;9")&gt;=2,AVERAGEIF(응답입력!CV8:CX8,"&lt;9"),"")</f>
        <v/>
      </c>
      <c r="Y7" s="15" t="str">
        <f aca="false">IF(COUNTIF(응답입력!CY8:DA8,"&lt;9")&gt;=2,AVERAGEIF(응답입력!CY8:DA8,"&lt;9"),"")</f>
        <v/>
      </c>
      <c r="Z7" s="15" t="str">
        <f aca="false">IF(COUNTIF(응답입력!DB8:DD8,"&lt;9")&gt;=2,AVERAGEIF(응답입력!DB8:DD8,"&lt;9"),"")</f>
        <v/>
      </c>
      <c r="AA7" s="22" t="str">
        <f aca="false">IFERROR(AVERAGE(B7:Z7),"")</f>
        <v/>
      </c>
    </row>
    <row r="8" customFormat="false" ht="15" hidden="false" customHeight="false" outlineLevel="0" collapsed="false">
      <c r="A8" s="16" t="str">
        <f aca="false">IF(응답입력!A9="","",응답입력!A9)</f>
        <v/>
      </c>
      <c r="B8" s="15" t="str">
        <f aca="false">IF(COUNTIF(응답입력!AH9:AJ9,"&lt;9")&gt;=2,AVERAGEIF(응답입력!AH9:AJ9,"&lt;9"),"")</f>
        <v/>
      </c>
      <c r="C8" s="15" t="str">
        <f aca="false">IF(COUNTIF(응답입력!AK9:AM9,"&lt;9")&gt;=2,AVERAGEIF(응답입력!AK9:AM9,"&lt;9"),"")</f>
        <v/>
      </c>
      <c r="D8" s="15" t="str">
        <f aca="false">IF(COUNTIF(응답입력!AN9:AP9,"&lt;9")&gt;=2,AVERAGEIF(응답입력!AN9:AP9,"&lt;9"),"")</f>
        <v/>
      </c>
      <c r="E8" s="15" t="str">
        <f aca="false">IF(COUNTIF(응답입력!AQ9:AS9,"&lt;9")&gt;=2,AVERAGEIF(응답입력!AQ9:AS9,"&lt;9"),"")</f>
        <v/>
      </c>
      <c r="F8" s="15" t="str">
        <f aca="false">IF(COUNTIF(응답입력!AT9:AV9,"&lt;9")&gt;=2,AVERAGEIF(응답입력!AT9:AV9,"&lt;9"),"")</f>
        <v/>
      </c>
      <c r="G8" s="15" t="str">
        <f aca="false">IF(COUNTIF(응답입력!AW9:AY9,"&lt;9")&gt;=2,AVERAGEIF(응답입력!AW9:AY9,"&lt;9"),"")</f>
        <v/>
      </c>
      <c r="H8" s="15" t="str">
        <f aca="false">IF(COUNTIF(응답입력!AZ9:BB9,"&lt;9")&gt;=2,AVERAGEIF(응답입력!AZ9:BB9,"&lt;9"),"")</f>
        <v/>
      </c>
      <c r="I8" s="15" t="str">
        <f aca="false">IF(COUNTIF(응답입력!BC9:BE9,"&lt;9")&gt;=2,AVERAGEIF(응답입력!BC9:BE9,"&lt;9"),"")</f>
        <v/>
      </c>
      <c r="J8" s="15" t="str">
        <f aca="false">IF(COUNTIF(응답입력!BF9:BH9,"&lt;9")&gt;=2,AVERAGEIF(응답입력!BF9:BH9,"&lt;9"),"")</f>
        <v/>
      </c>
      <c r="K8" s="15" t="str">
        <f aca="false">IF(COUNTIF(응답입력!BI9:BK9,"&lt;9")&gt;=2,AVERAGEIF(응답입력!BI9:BK9,"&lt;9"),"")</f>
        <v/>
      </c>
      <c r="L8" s="15" t="str">
        <f aca="false">IF(COUNTIF(응답입력!BL9:BN9,"&lt;9")&gt;=2,AVERAGEIF(응답입력!BL9:BN9,"&lt;9"),"")</f>
        <v/>
      </c>
      <c r="M8" s="15" t="str">
        <f aca="false">IF(COUNTIF(응답입력!BO9:BQ9,"&lt;9")&gt;=2,AVERAGEIF(응답입력!BO9:BQ9,"&lt;9"),"")</f>
        <v/>
      </c>
      <c r="N8" s="15" t="str">
        <f aca="false">IF(COUNTIF(응답입력!BR9:BT9,"&lt;9")&gt;=2,AVERAGEIF(응답입력!BR9:BT9,"&lt;9"),"")</f>
        <v/>
      </c>
      <c r="O8" s="15" t="str">
        <f aca="false">IF(COUNTIF(응답입력!BU9:BW9,"&lt;9")&gt;=2,AVERAGEIF(응답입력!BU9:BW9,"&lt;9"),"")</f>
        <v/>
      </c>
      <c r="P8" s="15" t="str">
        <f aca="false">IF(COUNTIF(응답입력!BX9:BZ9,"&lt;9")&gt;=2,AVERAGEIF(응답입력!BX9:BZ9,"&lt;9"),"")</f>
        <v/>
      </c>
      <c r="Q8" s="15" t="str">
        <f aca="false">IF(COUNTIF(응답입력!CA9:CC9,"&lt;9")&gt;=2,AVERAGEIF(응답입력!CA9:CC9,"&lt;9"),"")</f>
        <v/>
      </c>
      <c r="R8" s="15" t="str">
        <f aca="false">IF(COUNTIF(응답입력!CD9:CF9,"&lt;9")&gt;=2,AVERAGEIF(응답입력!CD9:CF9,"&lt;9"),"")</f>
        <v/>
      </c>
      <c r="S8" s="15" t="str">
        <f aca="false">IF(COUNTIF(응답입력!CG9:CI9,"&lt;9")&gt;=2,AVERAGEIF(응답입력!CG9:CI9,"&lt;9"),"")</f>
        <v/>
      </c>
      <c r="T8" s="15" t="str">
        <f aca="false">IF(COUNTIF(응답입력!CJ9:CL9,"&lt;9")&gt;=2,AVERAGEIF(응답입력!CJ9:CL9,"&lt;9"),"")</f>
        <v/>
      </c>
      <c r="U8" s="15" t="str">
        <f aca="false">IF(COUNTIF(응답입력!CM9:CO9,"&lt;9")&gt;=2,AVERAGEIF(응답입력!CM9:CO9,"&lt;9"),"")</f>
        <v/>
      </c>
      <c r="V8" s="15" t="str">
        <f aca="false">IF(COUNTIF(응답입력!CP9:CR9,"&lt;9")&gt;=2,AVERAGEIF(응답입력!CP9:CR9,"&lt;9"),"")</f>
        <v/>
      </c>
      <c r="W8" s="15" t="str">
        <f aca="false">IF(COUNTIF(응답입력!CS9:CU9,"&lt;9")&gt;=2,AVERAGEIF(응답입력!CS9:CU9,"&lt;9"),"")</f>
        <v/>
      </c>
      <c r="X8" s="15" t="str">
        <f aca="false">IF(COUNTIF(응답입력!CV9:CX9,"&lt;9")&gt;=2,AVERAGEIF(응답입력!CV9:CX9,"&lt;9"),"")</f>
        <v/>
      </c>
      <c r="Y8" s="15" t="str">
        <f aca="false">IF(COUNTIF(응답입력!CY9:DA9,"&lt;9")&gt;=2,AVERAGEIF(응답입력!CY9:DA9,"&lt;9"),"")</f>
        <v/>
      </c>
      <c r="Z8" s="15" t="str">
        <f aca="false">IF(COUNTIF(응답입력!DB9:DD9,"&lt;9")&gt;=2,AVERAGEIF(응답입력!DB9:DD9,"&lt;9"),"")</f>
        <v/>
      </c>
      <c r="AA8" s="22" t="str">
        <f aca="false">IFERROR(AVERAGE(B8:Z8),"")</f>
        <v/>
      </c>
    </row>
    <row r="9" customFormat="false" ht="15" hidden="false" customHeight="false" outlineLevel="0" collapsed="false">
      <c r="A9" s="16" t="str">
        <f aca="false">IF(응답입력!A10="","",응답입력!A10)</f>
        <v/>
      </c>
      <c r="B9" s="15" t="str">
        <f aca="false">IF(COUNTIF(응답입력!AH10:AJ10,"&lt;9")&gt;=2,AVERAGEIF(응답입력!AH10:AJ10,"&lt;9"),"")</f>
        <v/>
      </c>
      <c r="C9" s="15" t="str">
        <f aca="false">IF(COUNTIF(응답입력!AK10:AM10,"&lt;9")&gt;=2,AVERAGEIF(응답입력!AK10:AM10,"&lt;9"),"")</f>
        <v/>
      </c>
      <c r="D9" s="15" t="str">
        <f aca="false">IF(COUNTIF(응답입력!AN10:AP10,"&lt;9")&gt;=2,AVERAGEIF(응답입력!AN10:AP10,"&lt;9"),"")</f>
        <v/>
      </c>
      <c r="E9" s="15" t="str">
        <f aca="false">IF(COUNTIF(응답입력!AQ10:AS10,"&lt;9")&gt;=2,AVERAGEIF(응답입력!AQ10:AS10,"&lt;9"),"")</f>
        <v/>
      </c>
      <c r="F9" s="15" t="str">
        <f aca="false">IF(COUNTIF(응답입력!AT10:AV10,"&lt;9")&gt;=2,AVERAGEIF(응답입력!AT10:AV10,"&lt;9"),"")</f>
        <v/>
      </c>
      <c r="G9" s="15" t="str">
        <f aca="false">IF(COUNTIF(응답입력!AW10:AY10,"&lt;9")&gt;=2,AVERAGEIF(응답입력!AW10:AY10,"&lt;9"),"")</f>
        <v/>
      </c>
      <c r="H9" s="15" t="str">
        <f aca="false">IF(COUNTIF(응답입력!AZ10:BB10,"&lt;9")&gt;=2,AVERAGEIF(응답입력!AZ10:BB10,"&lt;9"),"")</f>
        <v/>
      </c>
      <c r="I9" s="15" t="str">
        <f aca="false">IF(COUNTIF(응답입력!BC10:BE10,"&lt;9")&gt;=2,AVERAGEIF(응답입력!BC10:BE10,"&lt;9"),"")</f>
        <v/>
      </c>
      <c r="J9" s="15" t="str">
        <f aca="false">IF(COUNTIF(응답입력!BF10:BH10,"&lt;9")&gt;=2,AVERAGEIF(응답입력!BF10:BH10,"&lt;9"),"")</f>
        <v/>
      </c>
      <c r="K9" s="15" t="str">
        <f aca="false">IF(COUNTIF(응답입력!BI10:BK10,"&lt;9")&gt;=2,AVERAGEIF(응답입력!BI10:BK10,"&lt;9"),"")</f>
        <v/>
      </c>
      <c r="L9" s="15" t="str">
        <f aca="false">IF(COUNTIF(응답입력!BL10:BN10,"&lt;9")&gt;=2,AVERAGEIF(응답입력!BL10:BN10,"&lt;9"),"")</f>
        <v/>
      </c>
      <c r="M9" s="15" t="str">
        <f aca="false">IF(COUNTIF(응답입력!BO10:BQ10,"&lt;9")&gt;=2,AVERAGEIF(응답입력!BO10:BQ10,"&lt;9"),"")</f>
        <v/>
      </c>
      <c r="N9" s="15" t="str">
        <f aca="false">IF(COUNTIF(응답입력!BR10:BT10,"&lt;9")&gt;=2,AVERAGEIF(응답입력!BR10:BT10,"&lt;9"),"")</f>
        <v/>
      </c>
      <c r="O9" s="15" t="str">
        <f aca="false">IF(COUNTIF(응답입력!BU10:BW10,"&lt;9")&gt;=2,AVERAGEIF(응답입력!BU10:BW10,"&lt;9"),"")</f>
        <v/>
      </c>
      <c r="P9" s="15" t="str">
        <f aca="false">IF(COUNTIF(응답입력!BX10:BZ10,"&lt;9")&gt;=2,AVERAGEIF(응답입력!BX10:BZ10,"&lt;9"),"")</f>
        <v/>
      </c>
      <c r="Q9" s="15" t="str">
        <f aca="false">IF(COUNTIF(응답입력!CA10:CC10,"&lt;9")&gt;=2,AVERAGEIF(응답입력!CA10:CC10,"&lt;9"),"")</f>
        <v/>
      </c>
      <c r="R9" s="15" t="str">
        <f aca="false">IF(COUNTIF(응답입력!CD10:CF10,"&lt;9")&gt;=2,AVERAGEIF(응답입력!CD10:CF10,"&lt;9"),"")</f>
        <v/>
      </c>
      <c r="S9" s="15" t="str">
        <f aca="false">IF(COUNTIF(응답입력!CG10:CI10,"&lt;9")&gt;=2,AVERAGEIF(응답입력!CG10:CI10,"&lt;9"),"")</f>
        <v/>
      </c>
      <c r="T9" s="15" t="str">
        <f aca="false">IF(COUNTIF(응답입력!CJ10:CL10,"&lt;9")&gt;=2,AVERAGEIF(응답입력!CJ10:CL10,"&lt;9"),"")</f>
        <v/>
      </c>
      <c r="U9" s="15" t="str">
        <f aca="false">IF(COUNTIF(응답입력!CM10:CO10,"&lt;9")&gt;=2,AVERAGEIF(응답입력!CM10:CO10,"&lt;9"),"")</f>
        <v/>
      </c>
      <c r="V9" s="15" t="str">
        <f aca="false">IF(COUNTIF(응답입력!CP10:CR10,"&lt;9")&gt;=2,AVERAGEIF(응답입력!CP10:CR10,"&lt;9"),"")</f>
        <v/>
      </c>
      <c r="W9" s="15" t="str">
        <f aca="false">IF(COUNTIF(응답입력!CS10:CU10,"&lt;9")&gt;=2,AVERAGEIF(응답입력!CS10:CU10,"&lt;9"),"")</f>
        <v/>
      </c>
      <c r="X9" s="15" t="str">
        <f aca="false">IF(COUNTIF(응답입력!CV10:CX10,"&lt;9")&gt;=2,AVERAGEIF(응답입력!CV10:CX10,"&lt;9"),"")</f>
        <v/>
      </c>
      <c r="Y9" s="15" t="str">
        <f aca="false">IF(COUNTIF(응답입력!CY10:DA10,"&lt;9")&gt;=2,AVERAGEIF(응답입력!CY10:DA10,"&lt;9"),"")</f>
        <v/>
      </c>
      <c r="Z9" s="15" t="str">
        <f aca="false">IF(COUNTIF(응답입력!DB10:DD10,"&lt;9")&gt;=2,AVERAGEIF(응답입력!DB10:DD10,"&lt;9"),"")</f>
        <v/>
      </c>
      <c r="AA9" s="22" t="str">
        <f aca="false">IFERROR(AVERAGE(B9:Z9),"")</f>
        <v/>
      </c>
    </row>
    <row r="10" customFormat="false" ht="15" hidden="false" customHeight="false" outlineLevel="0" collapsed="false">
      <c r="A10" s="16" t="str">
        <f aca="false">IF(응답입력!A11="","",응답입력!A11)</f>
        <v/>
      </c>
      <c r="B10" s="15" t="str">
        <f aca="false">IF(COUNTIF(응답입력!AH11:AJ11,"&lt;9")&gt;=2,AVERAGEIF(응답입력!AH11:AJ11,"&lt;9"),"")</f>
        <v/>
      </c>
      <c r="C10" s="15" t="str">
        <f aca="false">IF(COUNTIF(응답입력!AK11:AM11,"&lt;9")&gt;=2,AVERAGEIF(응답입력!AK11:AM11,"&lt;9"),"")</f>
        <v/>
      </c>
      <c r="D10" s="15" t="str">
        <f aca="false">IF(COUNTIF(응답입력!AN11:AP11,"&lt;9")&gt;=2,AVERAGEIF(응답입력!AN11:AP11,"&lt;9"),"")</f>
        <v/>
      </c>
      <c r="E10" s="15" t="str">
        <f aca="false">IF(COUNTIF(응답입력!AQ11:AS11,"&lt;9")&gt;=2,AVERAGEIF(응답입력!AQ11:AS11,"&lt;9"),"")</f>
        <v/>
      </c>
      <c r="F10" s="15" t="str">
        <f aca="false">IF(COUNTIF(응답입력!AT11:AV11,"&lt;9")&gt;=2,AVERAGEIF(응답입력!AT11:AV11,"&lt;9"),"")</f>
        <v/>
      </c>
      <c r="G10" s="15" t="str">
        <f aca="false">IF(COUNTIF(응답입력!AW11:AY11,"&lt;9")&gt;=2,AVERAGEIF(응답입력!AW11:AY11,"&lt;9"),"")</f>
        <v/>
      </c>
      <c r="H10" s="15" t="str">
        <f aca="false">IF(COUNTIF(응답입력!AZ11:BB11,"&lt;9")&gt;=2,AVERAGEIF(응답입력!AZ11:BB11,"&lt;9"),"")</f>
        <v/>
      </c>
      <c r="I10" s="15" t="str">
        <f aca="false">IF(COUNTIF(응답입력!BC11:BE11,"&lt;9")&gt;=2,AVERAGEIF(응답입력!BC11:BE11,"&lt;9"),"")</f>
        <v/>
      </c>
      <c r="J10" s="15" t="str">
        <f aca="false">IF(COUNTIF(응답입력!BF11:BH11,"&lt;9")&gt;=2,AVERAGEIF(응답입력!BF11:BH11,"&lt;9"),"")</f>
        <v/>
      </c>
      <c r="K10" s="15" t="str">
        <f aca="false">IF(COUNTIF(응답입력!BI11:BK11,"&lt;9")&gt;=2,AVERAGEIF(응답입력!BI11:BK11,"&lt;9"),"")</f>
        <v/>
      </c>
      <c r="L10" s="15" t="str">
        <f aca="false">IF(COUNTIF(응답입력!BL11:BN11,"&lt;9")&gt;=2,AVERAGEIF(응답입력!BL11:BN11,"&lt;9"),"")</f>
        <v/>
      </c>
      <c r="M10" s="15" t="str">
        <f aca="false">IF(COUNTIF(응답입력!BO11:BQ11,"&lt;9")&gt;=2,AVERAGEIF(응답입력!BO11:BQ11,"&lt;9"),"")</f>
        <v/>
      </c>
      <c r="N10" s="15" t="str">
        <f aca="false">IF(COUNTIF(응답입력!BR11:BT11,"&lt;9")&gt;=2,AVERAGEIF(응답입력!BR11:BT11,"&lt;9"),"")</f>
        <v/>
      </c>
      <c r="O10" s="15" t="str">
        <f aca="false">IF(COUNTIF(응답입력!BU11:BW11,"&lt;9")&gt;=2,AVERAGEIF(응답입력!BU11:BW11,"&lt;9"),"")</f>
        <v/>
      </c>
      <c r="P10" s="15" t="str">
        <f aca="false">IF(COUNTIF(응답입력!BX11:BZ11,"&lt;9")&gt;=2,AVERAGEIF(응답입력!BX11:BZ11,"&lt;9"),"")</f>
        <v/>
      </c>
      <c r="Q10" s="15" t="str">
        <f aca="false">IF(COUNTIF(응답입력!CA11:CC11,"&lt;9")&gt;=2,AVERAGEIF(응답입력!CA11:CC11,"&lt;9"),"")</f>
        <v/>
      </c>
      <c r="R10" s="15" t="str">
        <f aca="false">IF(COUNTIF(응답입력!CD11:CF11,"&lt;9")&gt;=2,AVERAGEIF(응답입력!CD11:CF11,"&lt;9"),"")</f>
        <v/>
      </c>
      <c r="S10" s="15" t="str">
        <f aca="false">IF(COUNTIF(응답입력!CG11:CI11,"&lt;9")&gt;=2,AVERAGEIF(응답입력!CG11:CI11,"&lt;9"),"")</f>
        <v/>
      </c>
      <c r="T10" s="15" t="str">
        <f aca="false">IF(COUNTIF(응답입력!CJ11:CL11,"&lt;9")&gt;=2,AVERAGEIF(응답입력!CJ11:CL11,"&lt;9"),"")</f>
        <v/>
      </c>
      <c r="U10" s="15" t="str">
        <f aca="false">IF(COUNTIF(응답입력!CM11:CO11,"&lt;9")&gt;=2,AVERAGEIF(응답입력!CM11:CO11,"&lt;9"),"")</f>
        <v/>
      </c>
      <c r="V10" s="15" t="str">
        <f aca="false">IF(COUNTIF(응답입력!CP11:CR11,"&lt;9")&gt;=2,AVERAGEIF(응답입력!CP11:CR11,"&lt;9"),"")</f>
        <v/>
      </c>
      <c r="W10" s="15" t="str">
        <f aca="false">IF(COUNTIF(응답입력!CS11:CU11,"&lt;9")&gt;=2,AVERAGEIF(응답입력!CS11:CU11,"&lt;9"),"")</f>
        <v/>
      </c>
      <c r="X10" s="15" t="str">
        <f aca="false">IF(COUNTIF(응답입력!CV11:CX11,"&lt;9")&gt;=2,AVERAGEIF(응답입력!CV11:CX11,"&lt;9"),"")</f>
        <v/>
      </c>
      <c r="Y10" s="15" t="str">
        <f aca="false">IF(COUNTIF(응답입력!CY11:DA11,"&lt;9")&gt;=2,AVERAGEIF(응답입력!CY11:DA11,"&lt;9"),"")</f>
        <v/>
      </c>
      <c r="Z10" s="15" t="str">
        <f aca="false">IF(COUNTIF(응답입력!DB11:DD11,"&lt;9")&gt;=2,AVERAGEIF(응답입력!DB11:DD11,"&lt;9"),"")</f>
        <v/>
      </c>
      <c r="AA10" s="22" t="str">
        <f aca="false">IFERROR(AVERAGE(B10:Z10),"")</f>
        <v/>
      </c>
    </row>
    <row r="11" customFormat="false" ht="15" hidden="false" customHeight="false" outlineLevel="0" collapsed="false">
      <c r="A11" s="16" t="str">
        <f aca="false">IF(응답입력!A12="","",응답입력!A12)</f>
        <v/>
      </c>
      <c r="B11" s="15" t="str">
        <f aca="false">IF(COUNTIF(응답입력!AH12:AJ12,"&lt;9")&gt;=2,AVERAGEIF(응답입력!AH12:AJ12,"&lt;9"),"")</f>
        <v/>
      </c>
      <c r="C11" s="15" t="str">
        <f aca="false">IF(COUNTIF(응답입력!AK12:AM12,"&lt;9")&gt;=2,AVERAGEIF(응답입력!AK12:AM12,"&lt;9"),"")</f>
        <v/>
      </c>
      <c r="D11" s="15" t="str">
        <f aca="false">IF(COUNTIF(응답입력!AN12:AP12,"&lt;9")&gt;=2,AVERAGEIF(응답입력!AN12:AP12,"&lt;9"),"")</f>
        <v/>
      </c>
      <c r="E11" s="15" t="str">
        <f aca="false">IF(COUNTIF(응답입력!AQ12:AS12,"&lt;9")&gt;=2,AVERAGEIF(응답입력!AQ12:AS12,"&lt;9"),"")</f>
        <v/>
      </c>
      <c r="F11" s="15" t="str">
        <f aca="false">IF(COUNTIF(응답입력!AT12:AV12,"&lt;9")&gt;=2,AVERAGEIF(응답입력!AT12:AV12,"&lt;9"),"")</f>
        <v/>
      </c>
      <c r="G11" s="15" t="str">
        <f aca="false">IF(COUNTIF(응답입력!AW12:AY12,"&lt;9")&gt;=2,AVERAGEIF(응답입력!AW12:AY12,"&lt;9"),"")</f>
        <v/>
      </c>
      <c r="H11" s="15" t="str">
        <f aca="false">IF(COUNTIF(응답입력!AZ12:BB12,"&lt;9")&gt;=2,AVERAGEIF(응답입력!AZ12:BB12,"&lt;9"),"")</f>
        <v/>
      </c>
      <c r="I11" s="15" t="str">
        <f aca="false">IF(COUNTIF(응답입력!BC12:BE12,"&lt;9")&gt;=2,AVERAGEIF(응답입력!BC12:BE12,"&lt;9"),"")</f>
        <v/>
      </c>
      <c r="J11" s="15" t="str">
        <f aca="false">IF(COUNTIF(응답입력!BF12:BH12,"&lt;9")&gt;=2,AVERAGEIF(응답입력!BF12:BH12,"&lt;9"),"")</f>
        <v/>
      </c>
      <c r="K11" s="15" t="str">
        <f aca="false">IF(COUNTIF(응답입력!BI12:BK12,"&lt;9")&gt;=2,AVERAGEIF(응답입력!BI12:BK12,"&lt;9"),"")</f>
        <v/>
      </c>
      <c r="L11" s="15" t="str">
        <f aca="false">IF(COUNTIF(응답입력!BL12:BN12,"&lt;9")&gt;=2,AVERAGEIF(응답입력!BL12:BN12,"&lt;9"),"")</f>
        <v/>
      </c>
      <c r="M11" s="15" t="str">
        <f aca="false">IF(COUNTIF(응답입력!BO12:BQ12,"&lt;9")&gt;=2,AVERAGEIF(응답입력!BO12:BQ12,"&lt;9"),"")</f>
        <v/>
      </c>
      <c r="N11" s="15" t="str">
        <f aca="false">IF(COUNTIF(응답입력!BR12:BT12,"&lt;9")&gt;=2,AVERAGEIF(응답입력!BR12:BT12,"&lt;9"),"")</f>
        <v/>
      </c>
      <c r="O11" s="15" t="str">
        <f aca="false">IF(COUNTIF(응답입력!BU12:BW12,"&lt;9")&gt;=2,AVERAGEIF(응답입력!BU12:BW12,"&lt;9"),"")</f>
        <v/>
      </c>
      <c r="P11" s="15" t="str">
        <f aca="false">IF(COUNTIF(응답입력!BX12:BZ12,"&lt;9")&gt;=2,AVERAGEIF(응답입력!BX12:BZ12,"&lt;9"),"")</f>
        <v/>
      </c>
      <c r="Q11" s="15" t="str">
        <f aca="false">IF(COUNTIF(응답입력!CA12:CC12,"&lt;9")&gt;=2,AVERAGEIF(응답입력!CA12:CC12,"&lt;9"),"")</f>
        <v/>
      </c>
      <c r="R11" s="15" t="str">
        <f aca="false">IF(COUNTIF(응답입력!CD12:CF12,"&lt;9")&gt;=2,AVERAGEIF(응답입력!CD12:CF12,"&lt;9"),"")</f>
        <v/>
      </c>
      <c r="S11" s="15" t="str">
        <f aca="false">IF(COUNTIF(응답입력!CG12:CI12,"&lt;9")&gt;=2,AVERAGEIF(응답입력!CG12:CI12,"&lt;9"),"")</f>
        <v/>
      </c>
      <c r="T11" s="15" t="str">
        <f aca="false">IF(COUNTIF(응답입력!CJ12:CL12,"&lt;9")&gt;=2,AVERAGEIF(응답입력!CJ12:CL12,"&lt;9"),"")</f>
        <v/>
      </c>
      <c r="U11" s="15" t="str">
        <f aca="false">IF(COUNTIF(응답입력!CM12:CO12,"&lt;9")&gt;=2,AVERAGEIF(응답입력!CM12:CO12,"&lt;9"),"")</f>
        <v/>
      </c>
      <c r="V11" s="15" t="str">
        <f aca="false">IF(COUNTIF(응답입력!CP12:CR12,"&lt;9")&gt;=2,AVERAGEIF(응답입력!CP12:CR12,"&lt;9"),"")</f>
        <v/>
      </c>
      <c r="W11" s="15" t="str">
        <f aca="false">IF(COUNTIF(응답입력!CS12:CU12,"&lt;9")&gt;=2,AVERAGEIF(응답입력!CS12:CU12,"&lt;9"),"")</f>
        <v/>
      </c>
      <c r="X11" s="15" t="str">
        <f aca="false">IF(COUNTIF(응답입력!CV12:CX12,"&lt;9")&gt;=2,AVERAGEIF(응답입력!CV12:CX12,"&lt;9"),"")</f>
        <v/>
      </c>
      <c r="Y11" s="15" t="str">
        <f aca="false">IF(COUNTIF(응답입력!CY12:DA12,"&lt;9")&gt;=2,AVERAGEIF(응답입력!CY12:DA12,"&lt;9"),"")</f>
        <v/>
      </c>
      <c r="Z11" s="15" t="str">
        <f aca="false">IF(COUNTIF(응답입력!DB12:DD12,"&lt;9")&gt;=2,AVERAGEIF(응답입력!DB12:DD12,"&lt;9"),"")</f>
        <v/>
      </c>
      <c r="AA11" s="22" t="str">
        <f aca="false">IFERROR(AVERAGE(B11:Z11),"")</f>
        <v/>
      </c>
    </row>
    <row r="12" customFormat="false" ht="15" hidden="false" customHeight="false" outlineLevel="0" collapsed="false">
      <c r="A12" s="16" t="str">
        <f aca="false">IF(응답입력!A13="","",응답입력!A13)</f>
        <v/>
      </c>
      <c r="B12" s="15" t="str">
        <f aca="false">IF(COUNTIF(응답입력!AH13:AJ13,"&lt;9")&gt;=2,AVERAGEIF(응답입력!AH13:AJ13,"&lt;9"),"")</f>
        <v/>
      </c>
      <c r="C12" s="15" t="str">
        <f aca="false">IF(COUNTIF(응답입력!AK13:AM13,"&lt;9")&gt;=2,AVERAGEIF(응답입력!AK13:AM13,"&lt;9"),"")</f>
        <v/>
      </c>
      <c r="D12" s="15" t="str">
        <f aca="false">IF(COUNTIF(응답입력!AN13:AP13,"&lt;9")&gt;=2,AVERAGEIF(응답입력!AN13:AP13,"&lt;9"),"")</f>
        <v/>
      </c>
      <c r="E12" s="15" t="str">
        <f aca="false">IF(COUNTIF(응답입력!AQ13:AS13,"&lt;9")&gt;=2,AVERAGEIF(응답입력!AQ13:AS13,"&lt;9"),"")</f>
        <v/>
      </c>
      <c r="F12" s="15" t="str">
        <f aca="false">IF(COUNTIF(응답입력!AT13:AV13,"&lt;9")&gt;=2,AVERAGEIF(응답입력!AT13:AV13,"&lt;9"),"")</f>
        <v/>
      </c>
      <c r="G12" s="15" t="str">
        <f aca="false">IF(COUNTIF(응답입력!AW13:AY13,"&lt;9")&gt;=2,AVERAGEIF(응답입력!AW13:AY13,"&lt;9"),"")</f>
        <v/>
      </c>
      <c r="H12" s="15" t="str">
        <f aca="false">IF(COUNTIF(응답입력!AZ13:BB13,"&lt;9")&gt;=2,AVERAGEIF(응답입력!AZ13:BB13,"&lt;9"),"")</f>
        <v/>
      </c>
      <c r="I12" s="15" t="str">
        <f aca="false">IF(COUNTIF(응답입력!BC13:BE13,"&lt;9")&gt;=2,AVERAGEIF(응답입력!BC13:BE13,"&lt;9"),"")</f>
        <v/>
      </c>
      <c r="J12" s="15" t="str">
        <f aca="false">IF(COUNTIF(응답입력!BF13:BH13,"&lt;9")&gt;=2,AVERAGEIF(응답입력!BF13:BH13,"&lt;9"),"")</f>
        <v/>
      </c>
      <c r="K12" s="15" t="str">
        <f aca="false">IF(COUNTIF(응답입력!BI13:BK13,"&lt;9")&gt;=2,AVERAGEIF(응답입력!BI13:BK13,"&lt;9"),"")</f>
        <v/>
      </c>
      <c r="L12" s="15" t="str">
        <f aca="false">IF(COUNTIF(응답입력!BL13:BN13,"&lt;9")&gt;=2,AVERAGEIF(응답입력!BL13:BN13,"&lt;9"),"")</f>
        <v/>
      </c>
      <c r="M12" s="15" t="str">
        <f aca="false">IF(COUNTIF(응답입력!BO13:BQ13,"&lt;9")&gt;=2,AVERAGEIF(응답입력!BO13:BQ13,"&lt;9"),"")</f>
        <v/>
      </c>
      <c r="N12" s="15" t="str">
        <f aca="false">IF(COUNTIF(응답입력!BR13:BT13,"&lt;9")&gt;=2,AVERAGEIF(응답입력!BR13:BT13,"&lt;9"),"")</f>
        <v/>
      </c>
      <c r="O12" s="15" t="str">
        <f aca="false">IF(COUNTIF(응답입력!BU13:BW13,"&lt;9")&gt;=2,AVERAGEIF(응답입력!BU13:BW13,"&lt;9"),"")</f>
        <v/>
      </c>
      <c r="P12" s="15" t="str">
        <f aca="false">IF(COUNTIF(응답입력!BX13:BZ13,"&lt;9")&gt;=2,AVERAGEIF(응답입력!BX13:BZ13,"&lt;9"),"")</f>
        <v/>
      </c>
      <c r="Q12" s="15" t="str">
        <f aca="false">IF(COUNTIF(응답입력!CA13:CC13,"&lt;9")&gt;=2,AVERAGEIF(응답입력!CA13:CC13,"&lt;9"),"")</f>
        <v/>
      </c>
      <c r="R12" s="15" t="str">
        <f aca="false">IF(COUNTIF(응답입력!CD13:CF13,"&lt;9")&gt;=2,AVERAGEIF(응답입력!CD13:CF13,"&lt;9"),"")</f>
        <v/>
      </c>
      <c r="S12" s="15" t="str">
        <f aca="false">IF(COUNTIF(응답입력!CG13:CI13,"&lt;9")&gt;=2,AVERAGEIF(응답입력!CG13:CI13,"&lt;9"),"")</f>
        <v/>
      </c>
      <c r="T12" s="15" t="str">
        <f aca="false">IF(COUNTIF(응답입력!CJ13:CL13,"&lt;9")&gt;=2,AVERAGEIF(응답입력!CJ13:CL13,"&lt;9"),"")</f>
        <v/>
      </c>
      <c r="U12" s="15" t="str">
        <f aca="false">IF(COUNTIF(응답입력!CM13:CO13,"&lt;9")&gt;=2,AVERAGEIF(응답입력!CM13:CO13,"&lt;9"),"")</f>
        <v/>
      </c>
      <c r="V12" s="15" t="str">
        <f aca="false">IF(COUNTIF(응답입력!CP13:CR13,"&lt;9")&gt;=2,AVERAGEIF(응답입력!CP13:CR13,"&lt;9"),"")</f>
        <v/>
      </c>
      <c r="W12" s="15" t="str">
        <f aca="false">IF(COUNTIF(응답입력!CS13:CU13,"&lt;9")&gt;=2,AVERAGEIF(응답입력!CS13:CU13,"&lt;9"),"")</f>
        <v/>
      </c>
      <c r="X12" s="15" t="str">
        <f aca="false">IF(COUNTIF(응답입력!CV13:CX13,"&lt;9")&gt;=2,AVERAGEIF(응답입력!CV13:CX13,"&lt;9"),"")</f>
        <v/>
      </c>
      <c r="Y12" s="15" t="str">
        <f aca="false">IF(COUNTIF(응답입력!CY13:DA13,"&lt;9")&gt;=2,AVERAGEIF(응답입력!CY13:DA13,"&lt;9"),"")</f>
        <v/>
      </c>
      <c r="Z12" s="15" t="str">
        <f aca="false">IF(COUNTIF(응답입력!DB13:DD13,"&lt;9")&gt;=2,AVERAGEIF(응답입력!DB13:DD13,"&lt;9"),"")</f>
        <v/>
      </c>
      <c r="AA12" s="22" t="str">
        <f aca="false">IFERROR(AVERAGE(B12:Z12),"")</f>
        <v/>
      </c>
    </row>
    <row r="13" customFormat="false" ht="15" hidden="false" customHeight="false" outlineLevel="0" collapsed="false">
      <c r="A13" s="16" t="str">
        <f aca="false">IF(응답입력!A14="","",응답입력!A14)</f>
        <v/>
      </c>
      <c r="B13" s="15" t="str">
        <f aca="false">IF(COUNTIF(응답입력!AH14:AJ14,"&lt;9")&gt;=2,AVERAGEIF(응답입력!AH14:AJ14,"&lt;9"),"")</f>
        <v/>
      </c>
      <c r="C13" s="15" t="str">
        <f aca="false">IF(COUNTIF(응답입력!AK14:AM14,"&lt;9")&gt;=2,AVERAGEIF(응답입력!AK14:AM14,"&lt;9"),"")</f>
        <v/>
      </c>
      <c r="D13" s="15" t="str">
        <f aca="false">IF(COUNTIF(응답입력!AN14:AP14,"&lt;9")&gt;=2,AVERAGEIF(응답입력!AN14:AP14,"&lt;9"),"")</f>
        <v/>
      </c>
      <c r="E13" s="15" t="str">
        <f aca="false">IF(COUNTIF(응답입력!AQ14:AS14,"&lt;9")&gt;=2,AVERAGEIF(응답입력!AQ14:AS14,"&lt;9"),"")</f>
        <v/>
      </c>
      <c r="F13" s="15" t="str">
        <f aca="false">IF(COUNTIF(응답입력!AT14:AV14,"&lt;9")&gt;=2,AVERAGEIF(응답입력!AT14:AV14,"&lt;9"),"")</f>
        <v/>
      </c>
      <c r="G13" s="15" t="str">
        <f aca="false">IF(COUNTIF(응답입력!AW14:AY14,"&lt;9")&gt;=2,AVERAGEIF(응답입력!AW14:AY14,"&lt;9"),"")</f>
        <v/>
      </c>
      <c r="H13" s="15" t="str">
        <f aca="false">IF(COUNTIF(응답입력!AZ14:BB14,"&lt;9")&gt;=2,AVERAGEIF(응답입력!AZ14:BB14,"&lt;9"),"")</f>
        <v/>
      </c>
      <c r="I13" s="15" t="str">
        <f aca="false">IF(COUNTIF(응답입력!BC14:BE14,"&lt;9")&gt;=2,AVERAGEIF(응답입력!BC14:BE14,"&lt;9"),"")</f>
        <v/>
      </c>
      <c r="J13" s="15" t="str">
        <f aca="false">IF(COUNTIF(응답입력!BF14:BH14,"&lt;9")&gt;=2,AVERAGEIF(응답입력!BF14:BH14,"&lt;9"),"")</f>
        <v/>
      </c>
      <c r="K13" s="15" t="str">
        <f aca="false">IF(COUNTIF(응답입력!BI14:BK14,"&lt;9")&gt;=2,AVERAGEIF(응답입력!BI14:BK14,"&lt;9"),"")</f>
        <v/>
      </c>
      <c r="L13" s="15" t="str">
        <f aca="false">IF(COUNTIF(응답입력!BL14:BN14,"&lt;9")&gt;=2,AVERAGEIF(응답입력!BL14:BN14,"&lt;9"),"")</f>
        <v/>
      </c>
      <c r="M13" s="15" t="str">
        <f aca="false">IF(COUNTIF(응답입력!BO14:BQ14,"&lt;9")&gt;=2,AVERAGEIF(응답입력!BO14:BQ14,"&lt;9"),"")</f>
        <v/>
      </c>
      <c r="N13" s="15" t="str">
        <f aca="false">IF(COUNTIF(응답입력!BR14:BT14,"&lt;9")&gt;=2,AVERAGEIF(응답입력!BR14:BT14,"&lt;9"),"")</f>
        <v/>
      </c>
      <c r="O13" s="15" t="str">
        <f aca="false">IF(COUNTIF(응답입력!BU14:BW14,"&lt;9")&gt;=2,AVERAGEIF(응답입력!BU14:BW14,"&lt;9"),"")</f>
        <v/>
      </c>
      <c r="P13" s="15" t="str">
        <f aca="false">IF(COUNTIF(응답입력!BX14:BZ14,"&lt;9")&gt;=2,AVERAGEIF(응답입력!BX14:BZ14,"&lt;9"),"")</f>
        <v/>
      </c>
      <c r="Q13" s="15" t="str">
        <f aca="false">IF(COUNTIF(응답입력!CA14:CC14,"&lt;9")&gt;=2,AVERAGEIF(응답입력!CA14:CC14,"&lt;9"),"")</f>
        <v/>
      </c>
      <c r="R13" s="15" t="str">
        <f aca="false">IF(COUNTIF(응답입력!CD14:CF14,"&lt;9")&gt;=2,AVERAGEIF(응답입력!CD14:CF14,"&lt;9"),"")</f>
        <v/>
      </c>
      <c r="S13" s="15" t="str">
        <f aca="false">IF(COUNTIF(응답입력!CG14:CI14,"&lt;9")&gt;=2,AVERAGEIF(응답입력!CG14:CI14,"&lt;9"),"")</f>
        <v/>
      </c>
      <c r="T13" s="15" t="str">
        <f aca="false">IF(COUNTIF(응답입력!CJ14:CL14,"&lt;9")&gt;=2,AVERAGEIF(응답입력!CJ14:CL14,"&lt;9"),"")</f>
        <v/>
      </c>
      <c r="U13" s="15" t="str">
        <f aca="false">IF(COUNTIF(응답입력!CM14:CO14,"&lt;9")&gt;=2,AVERAGEIF(응답입력!CM14:CO14,"&lt;9"),"")</f>
        <v/>
      </c>
      <c r="V13" s="15" t="str">
        <f aca="false">IF(COUNTIF(응답입력!CP14:CR14,"&lt;9")&gt;=2,AVERAGEIF(응답입력!CP14:CR14,"&lt;9"),"")</f>
        <v/>
      </c>
      <c r="W13" s="15" t="str">
        <f aca="false">IF(COUNTIF(응답입력!CS14:CU14,"&lt;9")&gt;=2,AVERAGEIF(응답입력!CS14:CU14,"&lt;9"),"")</f>
        <v/>
      </c>
      <c r="X13" s="15" t="str">
        <f aca="false">IF(COUNTIF(응답입력!CV14:CX14,"&lt;9")&gt;=2,AVERAGEIF(응답입력!CV14:CX14,"&lt;9"),"")</f>
        <v/>
      </c>
      <c r="Y13" s="15" t="str">
        <f aca="false">IF(COUNTIF(응답입력!CY14:DA14,"&lt;9")&gt;=2,AVERAGEIF(응답입력!CY14:DA14,"&lt;9"),"")</f>
        <v/>
      </c>
      <c r="Z13" s="15" t="str">
        <f aca="false">IF(COUNTIF(응답입력!DB14:DD14,"&lt;9")&gt;=2,AVERAGEIF(응답입력!DB14:DD14,"&lt;9"),"")</f>
        <v/>
      </c>
      <c r="AA13" s="22" t="str">
        <f aca="false">IFERROR(AVERAGE(B13:Z13),"")</f>
        <v/>
      </c>
    </row>
    <row r="14" customFormat="false" ht="15" hidden="false" customHeight="false" outlineLevel="0" collapsed="false">
      <c r="A14" s="16" t="str">
        <f aca="false">IF(응답입력!A15="","",응답입력!A15)</f>
        <v/>
      </c>
      <c r="B14" s="15" t="str">
        <f aca="false">IF(COUNTIF(응답입력!AH15:AJ15,"&lt;9")&gt;=2,AVERAGEIF(응답입력!AH15:AJ15,"&lt;9"),"")</f>
        <v/>
      </c>
      <c r="C14" s="15" t="str">
        <f aca="false">IF(COUNTIF(응답입력!AK15:AM15,"&lt;9")&gt;=2,AVERAGEIF(응답입력!AK15:AM15,"&lt;9"),"")</f>
        <v/>
      </c>
      <c r="D14" s="15" t="str">
        <f aca="false">IF(COUNTIF(응답입력!AN15:AP15,"&lt;9")&gt;=2,AVERAGEIF(응답입력!AN15:AP15,"&lt;9"),"")</f>
        <v/>
      </c>
      <c r="E14" s="15" t="str">
        <f aca="false">IF(COUNTIF(응답입력!AQ15:AS15,"&lt;9")&gt;=2,AVERAGEIF(응답입력!AQ15:AS15,"&lt;9"),"")</f>
        <v/>
      </c>
      <c r="F14" s="15" t="str">
        <f aca="false">IF(COUNTIF(응답입력!AT15:AV15,"&lt;9")&gt;=2,AVERAGEIF(응답입력!AT15:AV15,"&lt;9"),"")</f>
        <v/>
      </c>
      <c r="G14" s="15" t="str">
        <f aca="false">IF(COUNTIF(응답입력!AW15:AY15,"&lt;9")&gt;=2,AVERAGEIF(응답입력!AW15:AY15,"&lt;9"),"")</f>
        <v/>
      </c>
      <c r="H14" s="15" t="str">
        <f aca="false">IF(COUNTIF(응답입력!AZ15:BB15,"&lt;9")&gt;=2,AVERAGEIF(응답입력!AZ15:BB15,"&lt;9"),"")</f>
        <v/>
      </c>
      <c r="I14" s="15" t="str">
        <f aca="false">IF(COUNTIF(응답입력!BC15:BE15,"&lt;9")&gt;=2,AVERAGEIF(응답입력!BC15:BE15,"&lt;9"),"")</f>
        <v/>
      </c>
      <c r="J14" s="15" t="str">
        <f aca="false">IF(COUNTIF(응답입력!BF15:BH15,"&lt;9")&gt;=2,AVERAGEIF(응답입력!BF15:BH15,"&lt;9"),"")</f>
        <v/>
      </c>
      <c r="K14" s="15" t="str">
        <f aca="false">IF(COUNTIF(응답입력!BI15:BK15,"&lt;9")&gt;=2,AVERAGEIF(응답입력!BI15:BK15,"&lt;9"),"")</f>
        <v/>
      </c>
      <c r="L14" s="15" t="str">
        <f aca="false">IF(COUNTIF(응답입력!BL15:BN15,"&lt;9")&gt;=2,AVERAGEIF(응답입력!BL15:BN15,"&lt;9"),"")</f>
        <v/>
      </c>
      <c r="M14" s="15" t="str">
        <f aca="false">IF(COUNTIF(응답입력!BO15:BQ15,"&lt;9")&gt;=2,AVERAGEIF(응답입력!BO15:BQ15,"&lt;9"),"")</f>
        <v/>
      </c>
      <c r="N14" s="15" t="str">
        <f aca="false">IF(COUNTIF(응답입력!BR15:BT15,"&lt;9")&gt;=2,AVERAGEIF(응답입력!BR15:BT15,"&lt;9"),"")</f>
        <v/>
      </c>
      <c r="O14" s="15" t="str">
        <f aca="false">IF(COUNTIF(응답입력!BU15:BW15,"&lt;9")&gt;=2,AVERAGEIF(응답입력!BU15:BW15,"&lt;9"),"")</f>
        <v/>
      </c>
      <c r="P14" s="15" t="str">
        <f aca="false">IF(COUNTIF(응답입력!BX15:BZ15,"&lt;9")&gt;=2,AVERAGEIF(응답입력!BX15:BZ15,"&lt;9"),"")</f>
        <v/>
      </c>
      <c r="Q14" s="15" t="str">
        <f aca="false">IF(COUNTIF(응답입력!CA15:CC15,"&lt;9")&gt;=2,AVERAGEIF(응답입력!CA15:CC15,"&lt;9"),"")</f>
        <v/>
      </c>
      <c r="R14" s="15" t="str">
        <f aca="false">IF(COUNTIF(응답입력!CD15:CF15,"&lt;9")&gt;=2,AVERAGEIF(응답입력!CD15:CF15,"&lt;9"),"")</f>
        <v/>
      </c>
      <c r="S14" s="15" t="str">
        <f aca="false">IF(COUNTIF(응답입력!CG15:CI15,"&lt;9")&gt;=2,AVERAGEIF(응답입력!CG15:CI15,"&lt;9"),"")</f>
        <v/>
      </c>
      <c r="T14" s="15" t="str">
        <f aca="false">IF(COUNTIF(응답입력!CJ15:CL15,"&lt;9")&gt;=2,AVERAGEIF(응답입력!CJ15:CL15,"&lt;9"),"")</f>
        <v/>
      </c>
      <c r="U14" s="15" t="str">
        <f aca="false">IF(COUNTIF(응답입력!CM15:CO15,"&lt;9")&gt;=2,AVERAGEIF(응답입력!CM15:CO15,"&lt;9"),"")</f>
        <v/>
      </c>
      <c r="V14" s="15" t="str">
        <f aca="false">IF(COUNTIF(응답입력!CP15:CR15,"&lt;9")&gt;=2,AVERAGEIF(응답입력!CP15:CR15,"&lt;9"),"")</f>
        <v/>
      </c>
      <c r="W14" s="15" t="str">
        <f aca="false">IF(COUNTIF(응답입력!CS15:CU15,"&lt;9")&gt;=2,AVERAGEIF(응답입력!CS15:CU15,"&lt;9"),"")</f>
        <v/>
      </c>
      <c r="X14" s="15" t="str">
        <f aca="false">IF(COUNTIF(응답입력!CV15:CX15,"&lt;9")&gt;=2,AVERAGEIF(응답입력!CV15:CX15,"&lt;9"),"")</f>
        <v/>
      </c>
      <c r="Y14" s="15" t="str">
        <f aca="false">IF(COUNTIF(응답입력!CY15:DA15,"&lt;9")&gt;=2,AVERAGEIF(응답입력!CY15:DA15,"&lt;9"),"")</f>
        <v/>
      </c>
      <c r="Z14" s="15" t="str">
        <f aca="false">IF(COUNTIF(응답입력!DB15:DD15,"&lt;9")&gt;=2,AVERAGEIF(응답입력!DB15:DD15,"&lt;9"),"")</f>
        <v/>
      </c>
      <c r="AA14" s="22" t="str">
        <f aca="false">IFERROR(AVERAGE(B14:Z14),"")</f>
        <v/>
      </c>
    </row>
    <row r="15" customFormat="false" ht="15" hidden="false" customHeight="false" outlineLevel="0" collapsed="false">
      <c r="A15" s="16" t="str">
        <f aca="false">IF(응답입력!A16="","",응답입력!A16)</f>
        <v/>
      </c>
      <c r="B15" s="15" t="str">
        <f aca="false">IF(COUNTIF(응답입력!AH16:AJ16,"&lt;9")&gt;=2,AVERAGEIF(응답입력!AH16:AJ16,"&lt;9"),"")</f>
        <v/>
      </c>
      <c r="C15" s="15" t="str">
        <f aca="false">IF(COUNTIF(응답입력!AK16:AM16,"&lt;9")&gt;=2,AVERAGEIF(응답입력!AK16:AM16,"&lt;9"),"")</f>
        <v/>
      </c>
      <c r="D15" s="15" t="str">
        <f aca="false">IF(COUNTIF(응답입력!AN16:AP16,"&lt;9")&gt;=2,AVERAGEIF(응답입력!AN16:AP16,"&lt;9"),"")</f>
        <v/>
      </c>
      <c r="E15" s="15" t="str">
        <f aca="false">IF(COUNTIF(응답입력!AQ16:AS16,"&lt;9")&gt;=2,AVERAGEIF(응답입력!AQ16:AS16,"&lt;9"),"")</f>
        <v/>
      </c>
      <c r="F15" s="15" t="str">
        <f aca="false">IF(COUNTIF(응답입력!AT16:AV16,"&lt;9")&gt;=2,AVERAGEIF(응답입력!AT16:AV16,"&lt;9"),"")</f>
        <v/>
      </c>
      <c r="G15" s="15" t="str">
        <f aca="false">IF(COUNTIF(응답입력!AW16:AY16,"&lt;9")&gt;=2,AVERAGEIF(응답입력!AW16:AY16,"&lt;9"),"")</f>
        <v/>
      </c>
      <c r="H15" s="15" t="str">
        <f aca="false">IF(COUNTIF(응답입력!AZ16:BB16,"&lt;9")&gt;=2,AVERAGEIF(응답입력!AZ16:BB16,"&lt;9"),"")</f>
        <v/>
      </c>
      <c r="I15" s="15" t="str">
        <f aca="false">IF(COUNTIF(응답입력!BC16:BE16,"&lt;9")&gt;=2,AVERAGEIF(응답입력!BC16:BE16,"&lt;9"),"")</f>
        <v/>
      </c>
      <c r="J15" s="15" t="str">
        <f aca="false">IF(COUNTIF(응답입력!BF16:BH16,"&lt;9")&gt;=2,AVERAGEIF(응답입력!BF16:BH16,"&lt;9"),"")</f>
        <v/>
      </c>
      <c r="K15" s="15" t="str">
        <f aca="false">IF(COUNTIF(응답입력!BI16:BK16,"&lt;9")&gt;=2,AVERAGEIF(응답입력!BI16:BK16,"&lt;9"),"")</f>
        <v/>
      </c>
      <c r="L15" s="15" t="str">
        <f aca="false">IF(COUNTIF(응답입력!BL16:BN16,"&lt;9")&gt;=2,AVERAGEIF(응답입력!BL16:BN16,"&lt;9"),"")</f>
        <v/>
      </c>
      <c r="M15" s="15" t="str">
        <f aca="false">IF(COUNTIF(응답입력!BO16:BQ16,"&lt;9")&gt;=2,AVERAGEIF(응답입력!BO16:BQ16,"&lt;9"),"")</f>
        <v/>
      </c>
      <c r="N15" s="15" t="str">
        <f aca="false">IF(COUNTIF(응답입력!BR16:BT16,"&lt;9")&gt;=2,AVERAGEIF(응답입력!BR16:BT16,"&lt;9"),"")</f>
        <v/>
      </c>
      <c r="O15" s="15" t="str">
        <f aca="false">IF(COUNTIF(응답입력!BU16:BW16,"&lt;9")&gt;=2,AVERAGEIF(응답입력!BU16:BW16,"&lt;9"),"")</f>
        <v/>
      </c>
      <c r="P15" s="15" t="str">
        <f aca="false">IF(COUNTIF(응답입력!BX16:BZ16,"&lt;9")&gt;=2,AVERAGEIF(응답입력!BX16:BZ16,"&lt;9"),"")</f>
        <v/>
      </c>
      <c r="Q15" s="15" t="str">
        <f aca="false">IF(COUNTIF(응답입력!CA16:CC16,"&lt;9")&gt;=2,AVERAGEIF(응답입력!CA16:CC16,"&lt;9"),"")</f>
        <v/>
      </c>
      <c r="R15" s="15" t="str">
        <f aca="false">IF(COUNTIF(응답입력!CD16:CF16,"&lt;9")&gt;=2,AVERAGEIF(응답입력!CD16:CF16,"&lt;9"),"")</f>
        <v/>
      </c>
      <c r="S15" s="15" t="str">
        <f aca="false">IF(COUNTIF(응답입력!CG16:CI16,"&lt;9")&gt;=2,AVERAGEIF(응답입력!CG16:CI16,"&lt;9"),"")</f>
        <v/>
      </c>
      <c r="T15" s="15" t="str">
        <f aca="false">IF(COUNTIF(응답입력!CJ16:CL16,"&lt;9")&gt;=2,AVERAGEIF(응답입력!CJ16:CL16,"&lt;9"),"")</f>
        <v/>
      </c>
      <c r="U15" s="15" t="str">
        <f aca="false">IF(COUNTIF(응답입력!CM16:CO16,"&lt;9")&gt;=2,AVERAGEIF(응답입력!CM16:CO16,"&lt;9"),"")</f>
        <v/>
      </c>
      <c r="V15" s="15" t="str">
        <f aca="false">IF(COUNTIF(응답입력!CP16:CR16,"&lt;9")&gt;=2,AVERAGEIF(응답입력!CP16:CR16,"&lt;9"),"")</f>
        <v/>
      </c>
      <c r="W15" s="15" t="str">
        <f aca="false">IF(COUNTIF(응답입력!CS16:CU16,"&lt;9")&gt;=2,AVERAGEIF(응답입력!CS16:CU16,"&lt;9"),"")</f>
        <v/>
      </c>
      <c r="X15" s="15" t="str">
        <f aca="false">IF(COUNTIF(응답입력!CV16:CX16,"&lt;9")&gt;=2,AVERAGEIF(응답입력!CV16:CX16,"&lt;9"),"")</f>
        <v/>
      </c>
      <c r="Y15" s="15" t="str">
        <f aca="false">IF(COUNTIF(응답입력!CY16:DA16,"&lt;9")&gt;=2,AVERAGEIF(응답입력!CY16:DA16,"&lt;9"),"")</f>
        <v/>
      </c>
      <c r="Z15" s="15" t="str">
        <f aca="false">IF(COUNTIF(응답입력!DB16:DD16,"&lt;9")&gt;=2,AVERAGEIF(응답입력!DB16:DD16,"&lt;9"),"")</f>
        <v/>
      </c>
      <c r="AA15" s="22" t="str">
        <f aca="false">IFERROR(AVERAGE(B15:Z15),"")</f>
        <v/>
      </c>
    </row>
    <row r="16" customFormat="false" ht="15" hidden="false" customHeight="false" outlineLevel="0" collapsed="false">
      <c r="A16" s="16" t="str">
        <f aca="false">IF(응답입력!A17="","",응답입력!A17)</f>
        <v/>
      </c>
      <c r="B16" s="15" t="str">
        <f aca="false">IF(COUNTIF(응답입력!AH17:AJ17,"&lt;9")&gt;=2,AVERAGEIF(응답입력!AH17:AJ17,"&lt;9"),"")</f>
        <v/>
      </c>
      <c r="C16" s="15" t="str">
        <f aca="false">IF(COUNTIF(응답입력!AK17:AM17,"&lt;9")&gt;=2,AVERAGEIF(응답입력!AK17:AM17,"&lt;9"),"")</f>
        <v/>
      </c>
      <c r="D16" s="15" t="str">
        <f aca="false">IF(COUNTIF(응답입력!AN17:AP17,"&lt;9")&gt;=2,AVERAGEIF(응답입력!AN17:AP17,"&lt;9"),"")</f>
        <v/>
      </c>
      <c r="E16" s="15" t="str">
        <f aca="false">IF(COUNTIF(응답입력!AQ17:AS17,"&lt;9")&gt;=2,AVERAGEIF(응답입력!AQ17:AS17,"&lt;9"),"")</f>
        <v/>
      </c>
      <c r="F16" s="15" t="str">
        <f aca="false">IF(COUNTIF(응답입력!AT17:AV17,"&lt;9")&gt;=2,AVERAGEIF(응답입력!AT17:AV17,"&lt;9"),"")</f>
        <v/>
      </c>
      <c r="G16" s="15" t="str">
        <f aca="false">IF(COUNTIF(응답입력!AW17:AY17,"&lt;9")&gt;=2,AVERAGEIF(응답입력!AW17:AY17,"&lt;9"),"")</f>
        <v/>
      </c>
      <c r="H16" s="15" t="str">
        <f aca="false">IF(COUNTIF(응답입력!AZ17:BB17,"&lt;9")&gt;=2,AVERAGEIF(응답입력!AZ17:BB17,"&lt;9"),"")</f>
        <v/>
      </c>
      <c r="I16" s="15" t="str">
        <f aca="false">IF(COUNTIF(응답입력!BC17:BE17,"&lt;9")&gt;=2,AVERAGEIF(응답입력!BC17:BE17,"&lt;9"),"")</f>
        <v/>
      </c>
      <c r="J16" s="15" t="str">
        <f aca="false">IF(COUNTIF(응답입력!BF17:BH17,"&lt;9")&gt;=2,AVERAGEIF(응답입력!BF17:BH17,"&lt;9"),"")</f>
        <v/>
      </c>
      <c r="K16" s="15" t="str">
        <f aca="false">IF(COUNTIF(응답입력!BI17:BK17,"&lt;9")&gt;=2,AVERAGEIF(응답입력!BI17:BK17,"&lt;9"),"")</f>
        <v/>
      </c>
      <c r="L16" s="15" t="str">
        <f aca="false">IF(COUNTIF(응답입력!BL17:BN17,"&lt;9")&gt;=2,AVERAGEIF(응답입력!BL17:BN17,"&lt;9"),"")</f>
        <v/>
      </c>
      <c r="M16" s="15" t="str">
        <f aca="false">IF(COUNTIF(응답입력!BO17:BQ17,"&lt;9")&gt;=2,AVERAGEIF(응답입력!BO17:BQ17,"&lt;9"),"")</f>
        <v/>
      </c>
      <c r="N16" s="15" t="str">
        <f aca="false">IF(COUNTIF(응답입력!BR17:BT17,"&lt;9")&gt;=2,AVERAGEIF(응답입력!BR17:BT17,"&lt;9"),"")</f>
        <v/>
      </c>
      <c r="O16" s="15" t="str">
        <f aca="false">IF(COUNTIF(응답입력!BU17:BW17,"&lt;9")&gt;=2,AVERAGEIF(응답입력!BU17:BW17,"&lt;9"),"")</f>
        <v/>
      </c>
      <c r="P16" s="15" t="str">
        <f aca="false">IF(COUNTIF(응답입력!BX17:BZ17,"&lt;9")&gt;=2,AVERAGEIF(응답입력!BX17:BZ17,"&lt;9"),"")</f>
        <v/>
      </c>
      <c r="Q16" s="15" t="str">
        <f aca="false">IF(COUNTIF(응답입력!CA17:CC17,"&lt;9")&gt;=2,AVERAGEIF(응답입력!CA17:CC17,"&lt;9"),"")</f>
        <v/>
      </c>
      <c r="R16" s="15" t="str">
        <f aca="false">IF(COUNTIF(응답입력!CD17:CF17,"&lt;9")&gt;=2,AVERAGEIF(응답입력!CD17:CF17,"&lt;9"),"")</f>
        <v/>
      </c>
      <c r="S16" s="15" t="str">
        <f aca="false">IF(COUNTIF(응답입력!CG17:CI17,"&lt;9")&gt;=2,AVERAGEIF(응답입력!CG17:CI17,"&lt;9"),"")</f>
        <v/>
      </c>
      <c r="T16" s="15" t="str">
        <f aca="false">IF(COUNTIF(응답입력!CJ17:CL17,"&lt;9")&gt;=2,AVERAGEIF(응답입력!CJ17:CL17,"&lt;9"),"")</f>
        <v/>
      </c>
      <c r="U16" s="15" t="str">
        <f aca="false">IF(COUNTIF(응답입력!CM17:CO17,"&lt;9")&gt;=2,AVERAGEIF(응답입력!CM17:CO17,"&lt;9"),"")</f>
        <v/>
      </c>
      <c r="V16" s="15" t="str">
        <f aca="false">IF(COUNTIF(응답입력!CP17:CR17,"&lt;9")&gt;=2,AVERAGEIF(응답입력!CP17:CR17,"&lt;9"),"")</f>
        <v/>
      </c>
      <c r="W16" s="15" t="str">
        <f aca="false">IF(COUNTIF(응답입력!CS17:CU17,"&lt;9")&gt;=2,AVERAGEIF(응답입력!CS17:CU17,"&lt;9"),"")</f>
        <v/>
      </c>
      <c r="X16" s="15" t="str">
        <f aca="false">IF(COUNTIF(응답입력!CV17:CX17,"&lt;9")&gt;=2,AVERAGEIF(응답입력!CV17:CX17,"&lt;9"),"")</f>
        <v/>
      </c>
      <c r="Y16" s="15" t="str">
        <f aca="false">IF(COUNTIF(응답입력!CY17:DA17,"&lt;9")&gt;=2,AVERAGEIF(응답입력!CY17:DA17,"&lt;9"),"")</f>
        <v/>
      </c>
      <c r="Z16" s="15" t="str">
        <f aca="false">IF(COUNTIF(응답입력!DB17:DD17,"&lt;9")&gt;=2,AVERAGEIF(응답입력!DB17:DD17,"&lt;9"),"")</f>
        <v/>
      </c>
      <c r="AA16" s="22" t="str">
        <f aca="false">IFERROR(AVERAGE(B16:Z16),"")</f>
        <v/>
      </c>
    </row>
    <row r="17" customFormat="false" ht="15" hidden="false" customHeight="false" outlineLevel="0" collapsed="false">
      <c r="A17" s="16" t="str">
        <f aca="false">IF(응답입력!A18="","",응답입력!A18)</f>
        <v/>
      </c>
      <c r="B17" s="15" t="str">
        <f aca="false">IF(COUNTIF(응답입력!AH18:AJ18,"&lt;9")&gt;=2,AVERAGEIF(응답입력!AH18:AJ18,"&lt;9"),"")</f>
        <v/>
      </c>
      <c r="C17" s="15" t="str">
        <f aca="false">IF(COUNTIF(응답입력!AK18:AM18,"&lt;9")&gt;=2,AVERAGEIF(응답입력!AK18:AM18,"&lt;9"),"")</f>
        <v/>
      </c>
      <c r="D17" s="15" t="str">
        <f aca="false">IF(COUNTIF(응답입력!AN18:AP18,"&lt;9")&gt;=2,AVERAGEIF(응답입력!AN18:AP18,"&lt;9"),"")</f>
        <v/>
      </c>
      <c r="E17" s="15" t="str">
        <f aca="false">IF(COUNTIF(응답입력!AQ18:AS18,"&lt;9")&gt;=2,AVERAGEIF(응답입력!AQ18:AS18,"&lt;9"),"")</f>
        <v/>
      </c>
      <c r="F17" s="15" t="str">
        <f aca="false">IF(COUNTIF(응답입력!AT18:AV18,"&lt;9")&gt;=2,AVERAGEIF(응답입력!AT18:AV18,"&lt;9"),"")</f>
        <v/>
      </c>
      <c r="G17" s="15" t="str">
        <f aca="false">IF(COUNTIF(응답입력!AW18:AY18,"&lt;9")&gt;=2,AVERAGEIF(응답입력!AW18:AY18,"&lt;9"),"")</f>
        <v/>
      </c>
      <c r="H17" s="15" t="str">
        <f aca="false">IF(COUNTIF(응답입력!AZ18:BB18,"&lt;9")&gt;=2,AVERAGEIF(응답입력!AZ18:BB18,"&lt;9"),"")</f>
        <v/>
      </c>
      <c r="I17" s="15" t="str">
        <f aca="false">IF(COUNTIF(응답입력!BC18:BE18,"&lt;9")&gt;=2,AVERAGEIF(응답입력!BC18:BE18,"&lt;9"),"")</f>
        <v/>
      </c>
      <c r="J17" s="15" t="str">
        <f aca="false">IF(COUNTIF(응답입력!BF18:BH18,"&lt;9")&gt;=2,AVERAGEIF(응답입력!BF18:BH18,"&lt;9"),"")</f>
        <v/>
      </c>
      <c r="K17" s="15" t="str">
        <f aca="false">IF(COUNTIF(응답입력!BI18:BK18,"&lt;9")&gt;=2,AVERAGEIF(응답입력!BI18:BK18,"&lt;9"),"")</f>
        <v/>
      </c>
      <c r="L17" s="15" t="str">
        <f aca="false">IF(COUNTIF(응답입력!BL18:BN18,"&lt;9")&gt;=2,AVERAGEIF(응답입력!BL18:BN18,"&lt;9"),"")</f>
        <v/>
      </c>
      <c r="M17" s="15" t="str">
        <f aca="false">IF(COUNTIF(응답입력!BO18:BQ18,"&lt;9")&gt;=2,AVERAGEIF(응답입력!BO18:BQ18,"&lt;9"),"")</f>
        <v/>
      </c>
      <c r="N17" s="15" t="str">
        <f aca="false">IF(COUNTIF(응답입력!BR18:BT18,"&lt;9")&gt;=2,AVERAGEIF(응답입력!BR18:BT18,"&lt;9"),"")</f>
        <v/>
      </c>
      <c r="O17" s="15" t="str">
        <f aca="false">IF(COUNTIF(응답입력!BU18:BW18,"&lt;9")&gt;=2,AVERAGEIF(응답입력!BU18:BW18,"&lt;9"),"")</f>
        <v/>
      </c>
      <c r="P17" s="15" t="str">
        <f aca="false">IF(COUNTIF(응답입력!BX18:BZ18,"&lt;9")&gt;=2,AVERAGEIF(응답입력!BX18:BZ18,"&lt;9"),"")</f>
        <v/>
      </c>
      <c r="Q17" s="15" t="str">
        <f aca="false">IF(COUNTIF(응답입력!CA18:CC18,"&lt;9")&gt;=2,AVERAGEIF(응답입력!CA18:CC18,"&lt;9"),"")</f>
        <v/>
      </c>
      <c r="R17" s="15" t="str">
        <f aca="false">IF(COUNTIF(응답입력!CD18:CF18,"&lt;9")&gt;=2,AVERAGEIF(응답입력!CD18:CF18,"&lt;9"),"")</f>
        <v/>
      </c>
      <c r="S17" s="15" t="str">
        <f aca="false">IF(COUNTIF(응답입력!CG18:CI18,"&lt;9")&gt;=2,AVERAGEIF(응답입력!CG18:CI18,"&lt;9"),"")</f>
        <v/>
      </c>
      <c r="T17" s="15" t="str">
        <f aca="false">IF(COUNTIF(응답입력!CJ18:CL18,"&lt;9")&gt;=2,AVERAGEIF(응답입력!CJ18:CL18,"&lt;9"),"")</f>
        <v/>
      </c>
      <c r="U17" s="15" t="str">
        <f aca="false">IF(COUNTIF(응답입력!CM18:CO18,"&lt;9")&gt;=2,AVERAGEIF(응답입력!CM18:CO18,"&lt;9"),"")</f>
        <v/>
      </c>
      <c r="V17" s="15" t="str">
        <f aca="false">IF(COUNTIF(응답입력!CP18:CR18,"&lt;9")&gt;=2,AVERAGEIF(응답입력!CP18:CR18,"&lt;9"),"")</f>
        <v/>
      </c>
      <c r="W17" s="15" t="str">
        <f aca="false">IF(COUNTIF(응답입력!CS18:CU18,"&lt;9")&gt;=2,AVERAGEIF(응답입력!CS18:CU18,"&lt;9"),"")</f>
        <v/>
      </c>
      <c r="X17" s="15" t="str">
        <f aca="false">IF(COUNTIF(응답입력!CV18:CX18,"&lt;9")&gt;=2,AVERAGEIF(응답입력!CV18:CX18,"&lt;9"),"")</f>
        <v/>
      </c>
      <c r="Y17" s="15" t="str">
        <f aca="false">IF(COUNTIF(응답입력!CY18:DA18,"&lt;9")&gt;=2,AVERAGEIF(응답입력!CY18:DA18,"&lt;9"),"")</f>
        <v/>
      </c>
      <c r="Z17" s="15" t="str">
        <f aca="false">IF(COUNTIF(응답입력!DB18:DD18,"&lt;9")&gt;=2,AVERAGEIF(응답입력!DB18:DD18,"&lt;9"),"")</f>
        <v/>
      </c>
      <c r="AA17" s="22" t="str">
        <f aca="false">IFERROR(AVERAGE(B17:Z17),"")</f>
        <v/>
      </c>
    </row>
    <row r="18" customFormat="false" ht="15" hidden="false" customHeight="false" outlineLevel="0" collapsed="false">
      <c r="A18" s="16" t="str">
        <f aca="false">IF(응답입력!A19="","",응답입력!A19)</f>
        <v/>
      </c>
      <c r="B18" s="15" t="str">
        <f aca="false">IF(COUNTIF(응답입력!AH19:AJ19,"&lt;9")&gt;=2,AVERAGEIF(응답입력!AH19:AJ19,"&lt;9"),"")</f>
        <v/>
      </c>
      <c r="C18" s="15" t="str">
        <f aca="false">IF(COUNTIF(응답입력!AK19:AM19,"&lt;9")&gt;=2,AVERAGEIF(응답입력!AK19:AM19,"&lt;9"),"")</f>
        <v/>
      </c>
      <c r="D18" s="15" t="str">
        <f aca="false">IF(COUNTIF(응답입력!AN19:AP19,"&lt;9")&gt;=2,AVERAGEIF(응답입력!AN19:AP19,"&lt;9"),"")</f>
        <v/>
      </c>
      <c r="E18" s="15" t="str">
        <f aca="false">IF(COUNTIF(응답입력!AQ19:AS19,"&lt;9")&gt;=2,AVERAGEIF(응답입력!AQ19:AS19,"&lt;9"),"")</f>
        <v/>
      </c>
      <c r="F18" s="15" t="str">
        <f aca="false">IF(COUNTIF(응답입력!AT19:AV19,"&lt;9")&gt;=2,AVERAGEIF(응답입력!AT19:AV19,"&lt;9"),"")</f>
        <v/>
      </c>
      <c r="G18" s="15" t="str">
        <f aca="false">IF(COUNTIF(응답입력!AW19:AY19,"&lt;9")&gt;=2,AVERAGEIF(응답입력!AW19:AY19,"&lt;9"),"")</f>
        <v/>
      </c>
      <c r="H18" s="15" t="str">
        <f aca="false">IF(COUNTIF(응답입력!AZ19:BB19,"&lt;9")&gt;=2,AVERAGEIF(응답입력!AZ19:BB19,"&lt;9"),"")</f>
        <v/>
      </c>
      <c r="I18" s="15" t="str">
        <f aca="false">IF(COUNTIF(응답입력!BC19:BE19,"&lt;9")&gt;=2,AVERAGEIF(응답입력!BC19:BE19,"&lt;9"),"")</f>
        <v/>
      </c>
      <c r="J18" s="15" t="str">
        <f aca="false">IF(COUNTIF(응답입력!BF19:BH19,"&lt;9")&gt;=2,AVERAGEIF(응답입력!BF19:BH19,"&lt;9"),"")</f>
        <v/>
      </c>
      <c r="K18" s="15" t="str">
        <f aca="false">IF(COUNTIF(응답입력!BI19:BK19,"&lt;9")&gt;=2,AVERAGEIF(응답입력!BI19:BK19,"&lt;9"),"")</f>
        <v/>
      </c>
      <c r="L18" s="15" t="str">
        <f aca="false">IF(COUNTIF(응답입력!BL19:BN19,"&lt;9")&gt;=2,AVERAGEIF(응답입력!BL19:BN19,"&lt;9"),"")</f>
        <v/>
      </c>
      <c r="M18" s="15" t="str">
        <f aca="false">IF(COUNTIF(응답입력!BO19:BQ19,"&lt;9")&gt;=2,AVERAGEIF(응답입력!BO19:BQ19,"&lt;9"),"")</f>
        <v/>
      </c>
      <c r="N18" s="15" t="str">
        <f aca="false">IF(COUNTIF(응답입력!BR19:BT19,"&lt;9")&gt;=2,AVERAGEIF(응답입력!BR19:BT19,"&lt;9"),"")</f>
        <v/>
      </c>
      <c r="O18" s="15" t="str">
        <f aca="false">IF(COUNTIF(응답입력!BU19:BW19,"&lt;9")&gt;=2,AVERAGEIF(응답입력!BU19:BW19,"&lt;9"),"")</f>
        <v/>
      </c>
      <c r="P18" s="15" t="str">
        <f aca="false">IF(COUNTIF(응답입력!BX19:BZ19,"&lt;9")&gt;=2,AVERAGEIF(응답입력!BX19:BZ19,"&lt;9"),"")</f>
        <v/>
      </c>
      <c r="Q18" s="15" t="str">
        <f aca="false">IF(COUNTIF(응답입력!CA19:CC19,"&lt;9")&gt;=2,AVERAGEIF(응답입력!CA19:CC19,"&lt;9"),"")</f>
        <v/>
      </c>
      <c r="R18" s="15" t="str">
        <f aca="false">IF(COUNTIF(응답입력!CD19:CF19,"&lt;9")&gt;=2,AVERAGEIF(응답입력!CD19:CF19,"&lt;9"),"")</f>
        <v/>
      </c>
      <c r="S18" s="15" t="str">
        <f aca="false">IF(COUNTIF(응답입력!CG19:CI19,"&lt;9")&gt;=2,AVERAGEIF(응답입력!CG19:CI19,"&lt;9"),"")</f>
        <v/>
      </c>
      <c r="T18" s="15" t="str">
        <f aca="false">IF(COUNTIF(응답입력!CJ19:CL19,"&lt;9")&gt;=2,AVERAGEIF(응답입력!CJ19:CL19,"&lt;9"),"")</f>
        <v/>
      </c>
      <c r="U18" s="15" t="str">
        <f aca="false">IF(COUNTIF(응답입력!CM19:CO19,"&lt;9")&gt;=2,AVERAGEIF(응답입력!CM19:CO19,"&lt;9"),"")</f>
        <v/>
      </c>
      <c r="V18" s="15" t="str">
        <f aca="false">IF(COUNTIF(응답입력!CP19:CR19,"&lt;9")&gt;=2,AVERAGEIF(응답입력!CP19:CR19,"&lt;9"),"")</f>
        <v/>
      </c>
      <c r="W18" s="15" t="str">
        <f aca="false">IF(COUNTIF(응답입력!CS19:CU19,"&lt;9")&gt;=2,AVERAGEIF(응답입력!CS19:CU19,"&lt;9"),"")</f>
        <v/>
      </c>
      <c r="X18" s="15" t="str">
        <f aca="false">IF(COUNTIF(응답입력!CV19:CX19,"&lt;9")&gt;=2,AVERAGEIF(응답입력!CV19:CX19,"&lt;9"),"")</f>
        <v/>
      </c>
      <c r="Y18" s="15" t="str">
        <f aca="false">IF(COUNTIF(응답입력!CY19:DA19,"&lt;9")&gt;=2,AVERAGEIF(응답입력!CY19:DA19,"&lt;9"),"")</f>
        <v/>
      </c>
      <c r="Z18" s="15" t="str">
        <f aca="false">IF(COUNTIF(응답입력!DB19:DD19,"&lt;9")&gt;=2,AVERAGEIF(응답입력!DB19:DD19,"&lt;9"),"")</f>
        <v/>
      </c>
      <c r="AA18" s="22" t="str">
        <f aca="false">IFERROR(AVERAGE(B18:Z18),"")</f>
        <v/>
      </c>
    </row>
    <row r="19" customFormat="false" ht="15" hidden="false" customHeight="false" outlineLevel="0" collapsed="false">
      <c r="A19" s="16" t="str">
        <f aca="false">IF(응답입력!A20="","",응답입력!A20)</f>
        <v/>
      </c>
      <c r="B19" s="15" t="str">
        <f aca="false">IF(COUNTIF(응답입력!AH20:AJ20,"&lt;9")&gt;=2,AVERAGEIF(응답입력!AH20:AJ20,"&lt;9"),"")</f>
        <v/>
      </c>
      <c r="C19" s="15" t="str">
        <f aca="false">IF(COUNTIF(응답입력!AK20:AM20,"&lt;9")&gt;=2,AVERAGEIF(응답입력!AK20:AM20,"&lt;9"),"")</f>
        <v/>
      </c>
      <c r="D19" s="15" t="str">
        <f aca="false">IF(COUNTIF(응답입력!AN20:AP20,"&lt;9")&gt;=2,AVERAGEIF(응답입력!AN20:AP20,"&lt;9"),"")</f>
        <v/>
      </c>
      <c r="E19" s="15" t="str">
        <f aca="false">IF(COUNTIF(응답입력!AQ20:AS20,"&lt;9")&gt;=2,AVERAGEIF(응답입력!AQ20:AS20,"&lt;9"),"")</f>
        <v/>
      </c>
      <c r="F19" s="15" t="str">
        <f aca="false">IF(COUNTIF(응답입력!AT20:AV20,"&lt;9")&gt;=2,AVERAGEIF(응답입력!AT20:AV20,"&lt;9"),"")</f>
        <v/>
      </c>
      <c r="G19" s="15" t="str">
        <f aca="false">IF(COUNTIF(응답입력!AW20:AY20,"&lt;9")&gt;=2,AVERAGEIF(응답입력!AW20:AY20,"&lt;9"),"")</f>
        <v/>
      </c>
      <c r="H19" s="15" t="str">
        <f aca="false">IF(COUNTIF(응답입력!AZ20:BB20,"&lt;9")&gt;=2,AVERAGEIF(응답입력!AZ20:BB20,"&lt;9"),"")</f>
        <v/>
      </c>
      <c r="I19" s="15" t="str">
        <f aca="false">IF(COUNTIF(응답입력!BC20:BE20,"&lt;9")&gt;=2,AVERAGEIF(응답입력!BC20:BE20,"&lt;9"),"")</f>
        <v/>
      </c>
      <c r="J19" s="15" t="str">
        <f aca="false">IF(COUNTIF(응답입력!BF20:BH20,"&lt;9")&gt;=2,AVERAGEIF(응답입력!BF20:BH20,"&lt;9"),"")</f>
        <v/>
      </c>
      <c r="K19" s="15" t="str">
        <f aca="false">IF(COUNTIF(응답입력!BI20:BK20,"&lt;9")&gt;=2,AVERAGEIF(응답입력!BI20:BK20,"&lt;9"),"")</f>
        <v/>
      </c>
      <c r="L19" s="15" t="str">
        <f aca="false">IF(COUNTIF(응답입력!BL20:BN20,"&lt;9")&gt;=2,AVERAGEIF(응답입력!BL20:BN20,"&lt;9"),"")</f>
        <v/>
      </c>
      <c r="M19" s="15" t="str">
        <f aca="false">IF(COUNTIF(응답입력!BO20:BQ20,"&lt;9")&gt;=2,AVERAGEIF(응답입력!BO20:BQ20,"&lt;9"),"")</f>
        <v/>
      </c>
      <c r="N19" s="15" t="str">
        <f aca="false">IF(COUNTIF(응답입력!BR20:BT20,"&lt;9")&gt;=2,AVERAGEIF(응답입력!BR20:BT20,"&lt;9"),"")</f>
        <v/>
      </c>
      <c r="O19" s="15" t="str">
        <f aca="false">IF(COUNTIF(응답입력!BU20:BW20,"&lt;9")&gt;=2,AVERAGEIF(응답입력!BU20:BW20,"&lt;9"),"")</f>
        <v/>
      </c>
      <c r="P19" s="15" t="str">
        <f aca="false">IF(COUNTIF(응답입력!BX20:BZ20,"&lt;9")&gt;=2,AVERAGEIF(응답입력!BX20:BZ20,"&lt;9"),"")</f>
        <v/>
      </c>
      <c r="Q19" s="15" t="str">
        <f aca="false">IF(COUNTIF(응답입력!CA20:CC20,"&lt;9")&gt;=2,AVERAGEIF(응답입력!CA20:CC20,"&lt;9"),"")</f>
        <v/>
      </c>
      <c r="R19" s="15" t="str">
        <f aca="false">IF(COUNTIF(응답입력!CD20:CF20,"&lt;9")&gt;=2,AVERAGEIF(응답입력!CD20:CF20,"&lt;9"),"")</f>
        <v/>
      </c>
      <c r="S19" s="15" t="str">
        <f aca="false">IF(COUNTIF(응답입력!CG20:CI20,"&lt;9")&gt;=2,AVERAGEIF(응답입력!CG20:CI20,"&lt;9"),"")</f>
        <v/>
      </c>
      <c r="T19" s="15" t="str">
        <f aca="false">IF(COUNTIF(응답입력!CJ20:CL20,"&lt;9")&gt;=2,AVERAGEIF(응답입력!CJ20:CL20,"&lt;9"),"")</f>
        <v/>
      </c>
      <c r="U19" s="15" t="str">
        <f aca="false">IF(COUNTIF(응답입력!CM20:CO20,"&lt;9")&gt;=2,AVERAGEIF(응답입력!CM20:CO20,"&lt;9"),"")</f>
        <v/>
      </c>
      <c r="V19" s="15" t="str">
        <f aca="false">IF(COUNTIF(응답입력!CP20:CR20,"&lt;9")&gt;=2,AVERAGEIF(응답입력!CP20:CR20,"&lt;9"),"")</f>
        <v/>
      </c>
      <c r="W19" s="15" t="str">
        <f aca="false">IF(COUNTIF(응답입력!CS20:CU20,"&lt;9")&gt;=2,AVERAGEIF(응답입력!CS20:CU20,"&lt;9"),"")</f>
        <v/>
      </c>
      <c r="X19" s="15" t="str">
        <f aca="false">IF(COUNTIF(응답입력!CV20:CX20,"&lt;9")&gt;=2,AVERAGEIF(응답입력!CV20:CX20,"&lt;9"),"")</f>
        <v/>
      </c>
      <c r="Y19" s="15" t="str">
        <f aca="false">IF(COUNTIF(응답입력!CY20:DA20,"&lt;9")&gt;=2,AVERAGEIF(응답입력!CY20:DA20,"&lt;9"),"")</f>
        <v/>
      </c>
      <c r="Z19" s="15" t="str">
        <f aca="false">IF(COUNTIF(응답입력!DB20:DD20,"&lt;9")&gt;=2,AVERAGEIF(응답입력!DB20:DD20,"&lt;9"),"")</f>
        <v/>
      </c>
      <c r="AA19" s="22" t="str">
        <f aca="false">IFERROR(AVERAGE(B19:Z19),"")</f>
        <v/>
      </c>
    </row>
    <row r="20" customFormat="false" ht="15" hidden="false" customHeight="false" outlineLevel="0" collapsed="false">
      <c r="A20" s="16" t="str">
        <f aca="false">IF(응답입력!A21="","",응답입력!A21)</f>
        <v/>
      </c>
      <c r="B20" s="15" t="str">
        <f aca="false">IF(COUNTIF(응답입력!AH21:AJ21,"&lt;9")&gt;=2,AVERAGEIF(응답입력!AH21:AJ21,"&lt;9"),"")</f>
        <v/>
      </c>
      <c r="C20" s="15" t="str">
        <f aca="false">IF(COUNTIF(응답입력!AK21:AM21,"&lt;9")&gt;=2,AVERAGEIF(응답입력!AK21:AM21,"&lt;9"),"")</f>
        <v/>
      </c>
      <c r="D20" s="15" t="str">
        <f aca="false">IF(COUNTIF(응답입력!AN21:AP21,"&lt;9")&gt;=2,AVERAGEIF(응답입력!AN21:AP21,"&lt;9"),"")</f>
        <v/>
      </c>
      <c r="E20" s="15" t="str">
        <f aca="false">IF(COUNTIF(응답입력!AQ21:AS21,"&lt;9")&gt;=2,AVERAGEIF(응답입력!AQ21:AS21,"&lt;9"),"")</f>
        <v/>
      </c>
      <c r="F20" s="15" t="str">
        <f aca="false">IF(COUNTIF(응답입력!AT21:AV21,"&lt;9")&gt;=2,AVERAGEIF(응답입력!AT21:AV21,"&lt;9"),"")</f>
        <v/>
      </c>
      <c r="G20" s="15" t="str">
        <f aca="false">IF(COUNTIF(응답입력!AW21:AY21,"&lt;9")&gt;=2,AVERAGEIF(응답입력!AW21:AY21,"&lt;9"),"")</f>
        <v/>
      </c>
      <c r="H20" s="15" t="str">
        <f aca="false">IF(COUNTIF(응답입력!AZ21:BB21,"&lt;9")&gt;=2,AVERAGEIF(응답입력!AZ21:BB21,"&lt;9"),"")</f>
        <v/>
      </c>
      <c r="I20" s="15" t="str">
        <f aca="false">IF(COUNTIF(응답입력!BC21:BE21,"&lt;9")&gt;=2,AVERAGEIF(응답입력!BC21:BE21,"&lt;9"),"")</f>
        <v/>
      </c>
      <c r="J20" s="15" t="str">
        <f aca="false">IF(COUNTIF(응답입력!BF21:BH21,"&lt;9")&gt;=2,AVERAGEIF(응답입력!BF21:BH21,"&lt;9"),"")</f>
        <v/>
      </c>
      <c r="K20" s="15" t="str">
        <f aca="false">IF(COUNTIF(응답입력!BI21:BK21,"&lt;9")&gt;=2,AVERAGEIF(응답입력!BI21:BK21,"&lt;9"),"")</f>
        <v/>
      </c>
      <c r="L20" s="15" t="str">
        <f aca="false">IF(COUNTIF(응답입력!BL21:BN21,"&lt;9")&gt;=2,AVERAGEIF(응답입력!BL21:BN21,"&lt;9"),"")</f>
        <v/>
      </c>
      <c r="M20" s="15" t="str">
        <f aca="false">IF(COUNTIF(응답입력!BO21:BQ21,"&lt;9")&gt;=2,AVERAGEIF(응답입력!BO21:BQ21,"&lt;9"),"")</f>
        <v/>
      </c>
      <c r="N20" s="15" t="str">
        <f aca="false">IF(COUNTIF(응답입력!BR21:BT21,"&lt;9")&gt;=2,AVERAGEIF(응답입력!BR21:BT21,"&lt;9"),"")</f>
        <v/>
      </c>
      <c r="O20" s="15" t="str">
        <f aca="false">IF(COUNTIF(응답입력!BU21:BW21,"&lt;9")&gt;=2,AVERAGEIF(응답입력!BU21:BW21,"&lt;9"),"")</f>
        <v/>
      </c>
      <c r="P20" s="15" t="str">
        <f aca="false">IF(COUNTIF(응답입력!BX21:BZ21,"&lt;9")&gt;=2,AVERAGEIF(응답입력!BX21:BZ21,"&lt;9"),"")</f>
        <v/>
      </c>
      <c r="Q20" s="15" t="str">
        <f aca="false">IF(COUNTIF(응답입력!CA21:CC21,"&lt;9")&gt;=2,AVERAGEIF(응답입력!CA21:CC21,"&lt;9"),"")</f>
        <v/>
      </c>
      <c r="R20" s="15" t="str">
        <f aca="false">IF(COUNTIF(응답입력!CD21:CF21,"&lt;9")&gt;=2,AVERAGEIF(응답입력!CD21:CF21,"&lt;9"),"")</f>
        <v/>
      </c>
      <c r="S20" s="15" t="str">
        <f aca="false">IF(COUNTIF(응답입력!CG21:CI21,"&lt;9")&gt;=2,AVERAGEIF(응답입력!CG21:CI21,"&lt;9"),"")</f>
        <v/>
      </c>
      <c r="T20" s="15" t="str">
        <f aca="false">IF(COUNTIF(응답입력!CJ21:CL21,"&lt;9")&gt;=2,AVERAGEIF(응답입력!CJ21:CL21,"&lt;9"),"")</f>
        <v/>
      </c>
      <c r="U20" s="15" t="str">
        <f aca="false">IF(COUNTIF(응답입력!CM21:CO21,"&lt;9")&gt;=2,AVERAGEIF(응답입력!CM21:CO21,"&lt;9"),"")</f>
        <v/>
      </c>
      <c r="V20" s="15" t="str">
        <f aca="false">IF(COUNTIF(응답입력!CP21:CR21,"&lt;9")&gt;=2,AVERAGEIF(응답입력!CP21:CR21,"&lt;9"),"")</f>
        <v/>
      </c>
      <c r="W20" s="15" t="str">
        <f aca="false">IF(COUNTIF(응답입력!CS21:CU21,"&lt;9")&gt;=2,AVERAGEIF(응답입력!CS21:CU21,"&lt;9"),"")</f>
        <v/>
      </c>
      <c r="X20" s="15" t="str">
        <f aca="false">IF(COUNTIF(응답입력!CV21:CX21,"&lt;9")&gt;=2,AVERAGEIF(응답입력!CV21:CX21,"&lt;9"),"")</f>
        <v/>
      </c>
      <c r="Y20" s="15" t="str">
        <f aca="false">IF(COUNTIF(응답입력!CY21:DA21,"&lt;9")&gt;=2,AVERAGEIF(응답입력!CY21:DA21,"&lt;9"),"")</f>
        <v/>
      </c>
      <c r="Z20" s="15" t="str">
        <f aca="false">IF(COUNTIF(응답입력!DB21:DD21,"&lt;9")&gt;=2,AVERAGEIF(응답입력!DB21:DD21,"&lt;9"),"")</f>
        <v/>
      </c>
      <c r="AA20" s="22" t="str">
        <f aca="false">IFERROR(AVERAGE(B20:Z20),"")</f>
        <v/>
      </c>
    </row>
    <row r="21" customFormat="false" ht="15" hidden="false" customHeight="false" outlineLevel="0" collapsed="false">
      <c r="A21" s="16" t="str">
        <f aca="false">IF(응답입력!A22="","",응답입력!A22)</f>
        <v/>
      </c>
      <c r="B21" s="15" t="str">
        <f aca="false">IF(COUNTIF(응답입력!AH22:AJ22,"&lt;9")&gt;=2,AVERAGEIF(응답입력!AH22:AJ22,"&lt;9"),"")</f>
        <v/>
      </c>
      <c r="C21" s="15" t="str">
        <f aca="false">IF(COUNTIF(응답입력!AK22:AM22,"&lt;9")&gt;=2,AVERAGEIF(응답입력!AK22:AM22,"&lt;9"),"")</f>
        <v/>
      </c>
      <c r="D21" s="15" t="str">
        <f aca="false">IF(COUNTIF(응답입력!AN22:AP22,"&lt;9")&gt;=2,AVERAGEIF(응답입력!AN22:AP22,"&lt;9"),"")</f>
        <v/>
      </c>
      <c r="E21" s="15" t="str">
        <f aca="false">IF(COUNTIF(응답입력!AQ22:AS22,"&lt;9")&gt;=2,AVERAGEIF(응답입력!AQ22:AS22,"&lt;9"),"")</f>
        <v/>
      </c>
      <c r="F21" s="15" t="str">
        <f aca="false">IF(COUNTIF(응답입력!AT22:AV22,"&lt;9")&gt;=2,AVERAGEIF(응답입력!AT22:AV22,"&lt;9"),"")</f>
        <v/>
      </c>
      <c r="G21" s="15" t="str">
        <f aca="false">IF(COUNTIF(응답입력!AW22:AY22,"&lt;9")&gt;=2,AVERAGEIF(응답입력!AW22:AY22,"&lt;9"),"")</f>
        <v/>
      </c>
      <c r="H21" s="15" t="str">
        <f aca="false">IF(COUNTIF(응답입력!AZ22:BB22,"&lt;9")&gt;=2,AVERAGEIF(응답입력!AZ22:BB22,"&lt;9"),"")</f>
        <v/>
      </c>
      <c r="I21" s="15" t="str">
        <f aca="false">IF(COUNTIF(응답입력!BC22:BE22,"&lt;9")&gt;=2,AVERAGEIF(응답입력!BC22:BE22,"&lt;9"),"")</f>
        <v/>
      </c>
      <c r="J21" s="15" t="str">
        <f aca="false">IF(COUNTIF(응답입력!BF22:BH22,"&lt;9")&gt;=2,AVERAGEIF(응답입력!BF22:BH22,"&lt;9"),"")</f>
        <v/>
      </c>
      <c r="K21" s="15" t="str">
        <f aca="false">IF(COUNTIF(응답입력!BI22:BK22,"&lt;9")&gt;=2,AVERAGEIF(응답입력!BI22:BK22,"&lt;9"),"")</f>
        <v/>
      </c>
      <c r="L21" s="15" t="str">
        <f aca="false">IF(COUNTIF(응답입력!BL22:BN22,"&lt;9")&gt;=2,AVERAGEIF(응답입력!BL22:BN22,"&lt;9"),"")</f>
        <v/>
      </c>
      <c r="M21" s="15" t="str">
        <f aca="false">IF(COUNTIF(응답입력!BO22:BQ22,"&lt;9")&gt;=2,AVERAGEIF(응답입력!BO22:BQ22,"&lt;9"),"")</f>
        <v/>
      </c>
      <c r="N21" s="15" t="str">
        <f aca="false">IF(COUNTIF(응답입력!BR22:BT22,"&lt;9")&gt;=2,AVERAGEIF(응답입력!BR22:BT22,"&lt;9"),"")</f>
        <v/>
      </c>
      <c r="O21" s="15" t="str">
        <f aca="false">IF(COUNTIF(응답입력!BU22:BW22,"&lt;9")&gt;=2,AVERAGEIF(응답입력!BU22:BW22,"&lt;9"),"")</f>
        <v/>
      </c>
      <c r="P21" s="15" t="str">
        <f aca="false">IF(COUNTIF(응답입력!BX22:BZ22,"&lt;9")&gt;=2,AVERAGEIF(응답입력!BX22:BZ22,"&lt;9"),"")</f>
        <v/>
      </c>
      <c r="Q21" s="15" t="str">
        <f aca="false">IF(COUNTIF(응답입력!CA22:CC22,"&lt;9")&gt;=2,AVERAGEIF(응답입력!CA22:CC22,"&lt;9"),"")</f>
        <v/>
      </c>
      <c r="R21" s="15" t="str">
        <f aca="false">IF(COUNTIF(응답입력!CD22:CF22,"&lt;9")&gt;=2,AVERAGEIF(응답입력!CD22:CF22,"&lt;9"),"")</f>
        <v/>
      </c>
      <c r="S21" s="15" t="str">
        <f aca="false">IF(COUNTIF(응답입력!CG22:CI22,"&lt;9")&gt;=2,AVERAGEIF(응답입력!CG22:CI22,"&lt;9"),"")</f>
        <v/>
      </c>
      <c r="T21" s="15" t="str">
        <f aca="false">IF(COUNTIF(응답입력!CJ22:CL22,"&lt;9")&gt;=2,AVERAGEIF(응답입력!CJ22:CL22,"&lt;9"),"")</f>
        <v/>
      </c>
      <c r="U21" s="15" t="str">
        <f aca="false">IF(COUNTIF(응답입력!CM22:CO22,"&lt;9")&gt;=2,AVERAGEIF(응답입력!CM22:CO22,"&lt;9"),"")</f>
        <v/>
      </c>
      <c r="V21" s="15" t="str">
        <f aca="false">IF(COUNTIF(응답입력!CP22:CR22,"&lt;9")&gt;=2,AVERAGEIF(응답입력!CP22:CR22,"&lt;9"),"")</f>
        <v/>
      </c>
      <c r="W21" s="15" t="str">
        <f aca="false">IF(COUNTIF(응답입력!CS22:CU22,"&lt;9")&gt;=2,AVERAGEIF(응답입력!CS22:CU22,"&lt;9"),"")</f>
        <v/>
      </c>
      <c r="X21" s="15" t="str">
        <f aca="false">IF(COUNTIF(응답입력!CV22:CX22,"&lt;9")&gt;=2,AVERAGEIF(응답입력!CV22:CX22,"&lt;9"),"")</f>
        <v/>
      </c>
      <c r="Y21" s="15" t="str">
        <f aca="false">IF(COUNTIF(응답입력!CY22:DA22,"&lt;9")&gt;=2,AVERAGEIF(응답입력!CY22:DA22,"&lt;9"),"")</f>
        <v/>
      </c>
      <c r="Z21" s="15" t="str">
        <f aca="false">IF(COUNTIF(응답입력!DB22:DD22,"&lt;9")&gt;=2,AVERAGEIF(응답입력!DB22:DD22,"&lt;9"),"")</f>
        <v/>
      </c>
      <c r="AA21" s="22" t="str">
        <f aca="false">IFERROR(AVERAGE(B21:Z21),"")</f>
        <v/>
      </c>
    </row>
    <row r="22" customFormat="false" ht="15" hidden="false" customHeight="false" outlineLevel="0" collapsed="false">
      <c r="A22" s="16" t="str">
        <f aca="false">IF(응답입력!A23="","",응답입력!A23)</f>
        <v/>
      </c>
      <c r="B22" s="15" t="str">
        <f aca="false">IF(COUNTIF(응답입력!AH23:AJ23,"&lt;9")&gt;=2,AVERAGEIF(응답입력!AH23:AJ23,"&lt;9"),"")</f>
        <v/>
      </c>
      <c r="C22" s="15" t="str">
        <f aca="false">IF(COUNTIF(응답입력!AK23:AM23,"&lt;9")&gt;=2,AVERAGEIF(응답입력!AK23:AM23,"&lt;9"),"")</f>
        <v/>
      </c>
      <c r="D22" s="15" t="str">
        <f aca="false">IF(COUNTIF(응답입력!AN23:AP23,"&lt;9")&gt;=2,AVERAGEIF(응답입력!AN23:AP23,"&lt;9"),"")</f>
        <v/>
      </c>
      <c r="E22" s="15" t="str">
        <f aca="false">IF(COUNTIF(응답입력!AQ23:AS23,"&lt;9")&gt;=2,AVERAGEIF(응답입력!AQ23:AS23,"&lt;9"),"")</f>
        <v/>
      </c>
      <c r="F22" s="15" t="str">
        <f aca="false">IF(COUNTIF(응답입력!AT23:AV23,"&lt;9")&gt;=2,AVERAGEIF(응답입력!AT23:AV23,"&lt;9"),"")</f>
        <v/>
      </c>
      <c r="G22" s="15" t="str">
        <f aca="false">IF(COUNTIF(응답입력!AW23:AY23,"&lt;9")&gt;=2,AVERAGEIF(응답입력!AW23:AY23,"&lt;9"),"")</f>
        <v/>
      </c>
      <c r="H22" s="15" t="str">
        <f aca="false">IF(COUNTIF(응답입력!AZ23:BB23,"&lt;9")&gt;=2,AVERAGEIF(응답입력!AZ23:BB23,"&lt;9"),"")</f>
        <v/>
      </c>
      <c r="I22" s="15" t="str">
        <f aca="false">IF(COUNTIF(응답입력!BC23:BE23,"&lt;9")&gt;=2,AVERAGEIF(응답입력!BC23:BE23,"&lt;9"),"")</f>
        <v/>
      </c>
      <c r="J22" s="15" t="str">
        <f aca="false">IF(COUNTIF(응답입력!BF23:BH23,"&lt;9")&gt;=2,AVERAGEIF(응답입력!BF23:BH23,"&lt;9"),"")</f>
        <v/>
      </c>
      <c r="K22" s="15" t="str">
        <f aca="false">IF(COUNTIF(응답입력!BI23:BK23,"&lt;9")&gt;=2,AVERAGEIF(응답입력!BI23:BK23,"&lt;9"),"")</f>
        <v/>
      </c>
      <c r="L22" s="15" t="str">
        <f aca="false">IF(COUNTIF(응답입력!BL23:BN23,"&lt;9")&gt;=2,AVERAGEIF(응답입력!BL23:BN23,"&lt;9"),"")</f>
        <v/>
      </c>
      <c r="M22" s="15" t="str">
        <f aca="false">IF(COUNTIF(응답입력!BO23:BQ23,"&lt;9")&gt;=2,AVERAGEIF(응답입력!BO23:BQ23,"&lt;9"),"")</f>
        <v/>
      </c>
      <c r="N22" s="15" t="str">
        <f aca="false">IF(COUNTIF(응답입력!BR23:BT23,"&lt;9")&gt;=2,AVERAGEIF(응답입력!BR23:BT23,"&lt;9"),"")</f>
        <v/>
      </c>
      <c r="O22" s="15" t="str">
        <f aca="false">IF(COUNTIF(응답입력!BU23:BW23,"&lt;9")&gt;=2,AVERAGEIF(응답입력!BU23:BW23,"&lt;9"),"")</f>
        <v/>
      </c>
      <c r="P22" s="15" t="str">
        <f aca="false">IF(COUNTIF(응답입력!BX23:BZ23,"&lt;9")&gt;=2,AVERAGEIF(응답입력!BX23:BZ23,"&lt;9"),"")</f>
        <v/>
      </c>
      <c r="Q22" s="15" t="str">
        <f aca="false">IF(COUNTIF(응답입력!CA23:CC23,"&lt;9")&gt;=2,AVERAGEIF(응답입력!CA23:CC23,"&lt;9"),"")</f>
        <v/>
      </c>
      <c r="R22" s="15" t="str">
        <f aca="false">IF(COUNTIF(응답입력!CD23:CF23,"&lt;9")&gt;=2,AVERAGEIF(응답입력!CD23:CF23,"&lt;9"),"")</f>
        <v/>
      </c>
      <c r="S22" s="15" t="str">
        <f aca="false">IF(COUNTIF(응답입력!CG23:CI23,"&lt;9")&gt;=2,AVERAGEIF(응답입력!CG23:CI23,"&lt;9"),"")</f>
        <v/>
      </c>
      <c r="T22" s="15" t="str">
        <f aca="false">IF(COUNTIF(응답입력!CJ23:CL23,"&lt;9")&gt;=2,AVERAGEIF(응답입력!CJ23:CL23,"&lt;9"),"")</f>
        <v/>
      </c>
      <c r="U22" s="15" t="str">
        <f aca="false">IF(COUNTIF(응답입력!CM23:CO23,"&lt;9")&gt;=2,AVERAGEIF(응답입력!CM23:CO23,"&lt;9"),"")</f>
        <v/>
      </c>
      <c r="V22" s="15" t="str">
        <f aca="false">IF(COUNTIF(응답입력!CP23:CR23,"&lt;9")&gt;=2,AVERAGEIF(응답입력!CP23:CR23,"&lt;9"),"")</f>
        <v/>
      </c>
      <c r="W22" s="15" t="str">
        <f aca="false">IF(COUNTIF(응답입력!CS23:CU23,"&lt;9")&gt;=2,AVERAGEIF(응답입력!CS23:CU23,"&lt;9"),"")</f>
        <v/>
      </c>
      <c r="X22" s="15" t="str">
        <f aca="false">IF(COUNTIF(응답입력!CV23:CX23,"&lt;9")&gt;=2,AVERAGEIF(응답입력!CV23:CX23,"&lt;9"),"")</f>
        <v/>
      </c>
      <c r="Y22" s="15" t="str">
        <f aca="false">IF(COUNTIF(응답입력!CY23:DA23,"&lt;9")&gt;=2,AVERAGEIF(응답입력!CY23:DA23,"&lt;9"),"")</f>
        <v/>
      </c>
      <c r="Z22" s="15" t="str">
        <f aca="false">IF(COUNTIF(응답입력!DB23:DD23,"&lt;9")&gt;=2,AVERAGEIF(응답입력!DB23:DD23,"&lt;9"),"")</f>
        <v/>
      </c>
      <c r="AA22" s="22" t="str">
        <f aca="false">IFERROR(AVERAGE(B22:Z22),"")</f>
        <v/>
      </c>
    </row>
    <row r="23" customFormat="false" ht="15" hidden="false" customHeight="false" outlineLevel="0" collapsed="false">
      <c r="A23" s="16" t="str">
        <f aca="false">IF(응답입력!A24="","",응답입력!A24)</f>
        <v/>
      </c>
      <c r="B23" s="15" t="str">
        <f aca="false">IF(COUNTIF(응답입력!AH24:AJ24,"&lt;9")&gt;=2,AVERAGEIF(응답입력!AH24:AJ24,"&lt;9"),"")</f>
        <v/>
      </c>
      <c r="C23" s="15" t="str">
        <f aca="false">IF(COUNTIF(응답입력!AK24:AM24,"&lt;9")&gt;=2,AVERAGEIF(응답입력!AK24:AM24,"&lt;9"),"")</f>
        <v/>
      </c>
      <c r="D23" s="15" t="str">
        <f aca="false">IF(COUNTIF(응답입력!AN24:AP24,"&lt;9")&gt;=2,AVERAGEIF(응답입력!AN24:AP24,"&lt;9"),"")</f>
        <v/>
      </c>
      <c r="E23" s="15" t="str">
        <f aca="false">IF(COUNTIF(응답입력!AQ24:AS24,"&lt;9")&gt;=2,AVERAGEIF(응답입력!AQ24:AS24,"&lt;9"),"")</f>
        <v/>
      </c>
      <c r="F23" s="15" t="str">
        <f aca="false">IF(COUNTIF(응답입력!AT24:AV24,"&lt;9")&gt;=2,AVERAGEIF(응답입력!AT24:AV24,"&lt;9"),"")</f>
        <v/>
      </c>
      <c r="G23" s="15" t="str">
        <f aca="false">IF(COUNTIF(응답입력!AW24:AY24,"&lt;9")&gt;=2,AVERAGEIF(응답입력!AW24:AY24,"&lt;9"),"")</f>
        <v/>
      </c>
      <c r="H23" s="15" t="str">
        <f aca="false">IF(COUNTIF(응답입력!AZ24:BB24,"&lt;9")&gt;=2,AVERAGEIF(응답입력!AZ24:BB24,"&lt;9"),"")</f>
        <v/>
      </c>
      <c r="I23" s="15" t="str">
        <f aca="false">IF(COUNTIF(응답입력!BC24:BE24,"&lt;9")&gt;=2,AVERAGEIF(응답입력!BC24:BE24,"&lt;9"),"")</f>
        <v/>
      </c>
      <c r="J23" s="15" t="str">
        <f aca="false">IF(COUNTIF(응답입력!BF24:BH24,"&lt;9")&gt;=2,AVERAGEIF(응답입력!BF24:BH24,"&lt;9"),"")</f>
        <v/>
      </c>
      <c r="K23" s="15" t="str">
        <f aca="false">IF(COUNTIF(응답입력!BI24:BK24,"&lt;9")&gt;=2,AVERAGEIF(응답입력!BI24:BK24,"&lt;9"),"")</f>
        <v/>
      </c>
      <c r="L23" s="15" t="str">
        <f aca="false">IF(COUNTIF(응답입력!BL24:BN24,"&lt;9")&gt;=2,AVERAGEIF(응답입력!BL24:BN24,"&lt;9"),"")</f>
        <v/>
      </c>
      <c r="M23" s="15" t="str">
        <f aca="false">IF(COUNTIF(응답입력!BO24:BQ24,"&lt;9")&gt;=2,AVERAGEIF(응답입력!BO24:BQ24,"&lt;9"),"")</f>
        <v/>
      </c>
      <c r="N23" s="15" t="str">
        <f aca="false">IF(COUNTIF(응답입력!BR24:BT24,"&lt;9")&gt;=2,AVERAGEIF(응답입력!BR24:BT24,"&lt;9"),"")</f>
        <v/>
      </c>
      <c r="O23" s="15" t="str">
        <f aca="false">IF(COUNTIF(응답입력!BU24:BW24,"&lt;9")&gt;=2,AVERAGEIF(응답입력!BU24:BW24,"&lt;9"),"")</f>
        <v/>
      </c>
      <c r="P23" s="15" t="str">
        <f aca="false">IF(COUNTIF(응답입력!BX24:BZ24,"&lt;9")&gt;=2,AVERAGEIF(응답입력!BX24:BZ24,"&lt;9"),"")</f>
        <v/>
      </c>
      <c r="Q23" s="15" t="str">
        <f aca="false">IF(COUNTIF(응답입력!CA24:CC24,"&lt;9")&gt;=2,AVERAGEIF(응답입력!CA24:CC24,"&lt;9"),"")</f>
        <v/>
      </c>
      <c r="R23" s="15" t="str">
        <f aca="false">IF(COUNTIF(응답입력!CD24:CF24,"&lt;9")&gt;=2,AVERAGEIF(응답입력!CD24:CF24,"&lt;9"),"")</f>
        <v/>
      </c>
      <c r="S23" s="15" t="str">
        <f aca="false">IF(COUNTIF(응답입력!CG24:CI24,"&lt;9")&gt;=2,AVERAGEIF(응답입력!CG24:CI24,"&lt;9"),"")</f>
        <v/>
      </c>
      <c r="T23" s="15" t="str">
        <f aca="false">IF(COUNTIF(응답입력!CJ24:CL24,"&lt;9")&gt;=2,AVERAGEIF(응답입력!CJ24:CL24,"&lt;9"),"")</f>
        <v/>
      </c>
      <c r="U23" s="15" t="str">
        <f aca="false">IF(COUNTIF(응답입력!CM24:CO24,"&lt;9")&gt;=2,AVERAGEIF(응답입력!CM24:CO24,"&lt;9"),"")</f>
        <v/>
      </c>
      <c r="V23" s="15" t="str">
        <f aca="false">IF(COUNTIF(응답입력!CP24:CR24,"&lt;9")&gt;=2,AVERAGEIF(응답입력!CP24:CR24,"&lt;9"),"")</f>
        <v/>
      </c>
      <c r="W23" s="15" t="str">
        <f aca="false">IF(COUNTIF(응답입력!CS24:CU24,"&lt;9")&gt;=2,AVERAGEIF(응답입력!CS24:CU24,"&lt;9"),"")</f>
        <v/>
      </c>
      <c r="X23" s="15" t="str">
        <f aca="false">IF(COUNTIF(응답입력!CV24:CX24,"&lt;9")&gt;=2,AVERAGEIF(응답입력!CV24:CX24,"&lt;9"),"")</f>
        <v/>
      </c>
      <c r="Y23" s="15" t="str">
        <f aca="false">IF(COUNTIF(응답입력!CY24:DA24,"&lt;9")&gt;=2,AVERAGEIF(응답입력!CY24:DA24,"&lt;9"),"")</f>
        <v/>
      </c>
      <c r="Z23" s="15" t="str">
        <f aca="false">IF(COUNTIF(응답입력!DB24:DD24,"&lt;9")&gt;=2,AVERAGEIF(응답입력!DB24:DD24,"&lt;9"),"")</f>
        <v/>
      </c>
      <c r="AA23" s="22" t="str">
        <f aca="false">IFERROR(AVERAGE(B23:Z23),"")</f>
        <v/>
      </c>
    </row>
    <row r="24" customFormat="false" ht="15" hidden="false" customHeight="false" outlineLevel="0" collapsed="false">
      <c r="A24" s="16" t="str">
        <f aca="false">IF(응답입력!A25="","",응답입력!A25)</f>
        <v/>
      </c>
      <c r="B24" s="15" t="str">
        <f aca="false">IF(COUNTIF(응답입력!AH25:AJ25,"&lt;9")&gt;=2,AVERAGEIF(응답입력!AH25:AJ25,"&lt;9"),"")</f>
        <v/>
      </c>
      <c r="C24" s="15" t="str">
        <f aca="false">IF(COUNTIF(응답입력!AK25:AM25,"&lt;9")&gt;=2,AVERAGEIF(응답입력!AK25:AM25,"&lt;9"),"")</f>
        <v/>
      </c>
      <c r="D24" s="15" t="str">
        <f aca="false">IF(COUNTIF(응답입력!AN25:AP25,"&lt;9")&gt;=2,AVERAGEIF(응답입력!AN25:AP25,"&lt;9"),"")</f>
        <v/>
      </c>
      <c r="E24" s="15" t="str">
        <f aca="false">IF(COUNTIF(응답입력!AQ25:AS25,"&lt;9")&gt;=2,AVERAGEIF(응답입력!AQ25:AS25,"&lt;9"),"")</f>
        <v/>
      </c>
      <c r="F24" s="15" t="str">
        <f aca="false">IF(COUNTIF(응답입력!AT25:AV25,"&lt;9")&gt;=2,AVERAGEIF(응답입력!AT25:AV25,"&lt;9"),"")</f>
        <v/>
      </c>
      <c r="G24" s="15" t="str">
        <f aca="false">IF(COUNTIF(응답입력!AW25:AY25,"&lt;9")&gt;=2,AVERAGEIF(응답입력!AW25:AY25,"&lt;9"),"")</f>
        <v/>
      </c>
      <c r="H24" s="15" t="str">
        <f aca="false">IF(COUNTIF(응답입력!AZ25:BB25,"&lt;9")&gt;=2,AVERAGEIF(응답입력!AZ25:BB25,"&lt;9"),"")</f>
        <v/>
      </c>
      <c r="I24" s="15" t="str">
        <f aca="false">IF(COUNTIF(응답입력!BC25:BE25,"&lt;9")&gt;=2,AVERAGEIF(응답입력!BC25:BE25,"&lt;9"),"")</f>
        <v/>
      </c>
      <c r="J24" s="15" t="str">
        <f aca="false">IF(COUNTIF(응답입력!BF25:BH25,"&lt;9")&gt;=2,AVERAGEIF(응답입력!BF25:BH25,"&lt;9"),"")</f>
        <v/>
      </c>
      <c r="K24" s="15" t="str">
        <f aca="false">IF(COUNTIF(응답입력!BI25:BK25,"&lt;9")&gt;=2,AVERAGEIF(응답입력!BI25:BK25,"&lt;9"),"")</f>
        <v/>
      </c>
      <c r="L24" s="15" t="str">
        <f aca="false">IF(COUNTIF(응답입력!BL25:BN25,"&lt;9")&gt;=2,AVERAGEIF(응답입력!BL25:BN25,"&lt;9"),"")</f>
        <v/>
      </c>
      <c r="M24" s="15" t="str">
        <f aca="false">IF(COUNTIF(응답입력!BO25:BQ25,"&lt;9")&gt;=2,AVERAGEIF(응답입력!BO25:BQ25,"&lt;9"),"")</f>
        <v/>
      </c>
      <c r="N24" s="15" t="str">
        <f aca="false">IF(COUNTIF(응답입력!BR25:BT25,"&lt;9")&gt;=2,AVERAGEIF(응답입력!BR25:BT25,"&lt;9"),"")</f>
        <v/>
      </c>
      <c r="O24" s="15" t="str">
        <f aca="false">IF(COUNTIF(응답입력!BU25:BW25,"&lt;9")&gt;=2,AVERAGEIF(응답입력!BU25:BW25,"&lt;9"),"")</f>
        <v/>
      </c>
      <c r="P24" s="15" t="str">
        <f aca="false">IF(COUNTIF(응답입력!BX25:BZ25,"&lt;9")&gt;=2,AVERAGEIF(응답입력!BX25:BZ25,"&lt;9"),"")</f>
        <v/>
      </c>
      <c r="Q24" s="15" t="str">
        <f aca="false">IF(COUNTIF(응답입력!CA25:CC25,"&lt;9")&gt;=2,AVERAGEIF(응답입력!CA25:CC25,"&lt;9"),"")</f>
        <v/>
      </c>
      <c r="R24" s="15" t="str">
        <f aca="false">IF(COUNTIF(응답입력!CD25:CF25,"&lt;9")&gt;=2,AVERAGEIF(응답입력!CD25:CF25,"&lt;9"),"")</f>
        <v/>
      </c>
      <c r="S24" s="15" t="str">
        <f aca="false">IF(COUNTIF(응답입력!CG25:CI25,"&lt;9")&gt;=2,AVERAGEIF(응답입력!CG25:CI25,"&lt;9"),"")</f>
        <v/>
      </c>
      <c r="T24" s="15" t="str">
        <f aca="false">IF(COUNTIF(응답입력!CJ25:CL25,"&lt;9")&gt;=2,AVERAGEIF(응답입력!CJ25:CL25,"&lt;9"),"")</f>
        <v/>
      </c>
      <c r="U24" s="15" t="str">
        <f aca="false">IF(COUNTIF(응답입력!CM25:CO25,"&lt;9")&gt;=2,AVERAGEIF(응답입력!CM25:CO25,"&lt;9"),"")</f>
        <v/>
      </c>
      <c r="V24" s="15" t="str">
        <f aca="false">IF(COUNTIF(응답입력!CP25:CR25,"&lt;9")&gt;=2,AVERAGEIF(응답입력!CP25:CR25,"&lt;9"),"")</f>
        <v/>
      </c>
      <c r="W24" s="15" t="str">
        <f aca="false">IF(COUNTIF(응답입력!CS25:CU25,"&lt;9")&gt;=2,AVERAGEIF(응답입력!CS25:CU25,"&lt;9"),"")</f>
        <v/>
      </c>
      <c r="X24" s="15" t="str">
        <f aca="false">IF(COUNTIF(응답입력!CV25:CX25,"&lt;9")&gt;=2,AVERAGEIF(응답입력!CV25:CX25,"&lt;9"),"")</f>
        <v/>
      </c>
      <c r="Y24" s="15" t="str">
        <f aca="false">IF(COUNTIF(응답입력!CY25:DA25,"&lt;9")&gt;=2,AVERAGEIF(응답입력!CY25:DA25,"&lt;9"),"")</f>
        <v/>
      </c>
      <c r="Z24" s="15" t="str">
        <f aca="false">IF(COUNTIF(응답입력!DB25:DD25,"&lt;9")&gt;=2,AVERAGEIF(응답입력!DB25:DD25,"&lt;9"),"")</f>
        <v/>
      </c>
      <c r="AA24" s="22" t="str">
        <f aca="false">IFERROR(AVERAGE(B24:Z24),"")</f>
        <v/>
      </c>
    </row>
    <row r="25" customFormat="false" ht="15" hidden="false" customHeight="false" outlineLevel="0" collapsed="false">
      <c r="A25" s="16" t="str">
        <f aca="false">IF(응답입력!A26="","",응답입력!A26)</f>
        <v/>
      </c>
      <c r="B25" s="15" t="str">
        <f aca="false">IF(COUNTIF(응답입력!AH26:AJ26,"&lt;9")&gt;=2,AVERAGEIF(응답입력!AH26:AJ26,"&lt;9"),"")</f>
        <v/>
      </c>
      <c r="C25" s="15" t="str">
        <f aca="false">IF(COUNTIF(응답입력!AK26:AM26,"&lt;9")&gt;=2,AVERAGEIF(응답입력!AK26:AM26,"&lt;9"),"")</f>
        <v/>
      </c>
      <c r="D25" s="15" t="str">
        <f aca="false">IF(COUNTIF(응답입력!AN26:AP26,"&lt;9")&gt;=2,AVERAGEIF(응답입력!AN26:AP26,"&lt;9"),"")</f>
        <v/>
      </c>
      <c r="E25" s="15" t="str">
        <f aca="false">IF(COUNTIF(응답입력!AQ26:AS26,"&lt;9")&gt;=2,AVERAGEIF(응답입력!AQ26:AS26,"&lt;9"),"")</f>
        <v/>
      </c>
      <c r="F25" s="15" t="str">
        <f aca="false">IF(COUNTIF(응답입력!AT26:AV26,"&lt;9")&gt;=2,AVERAGEIF(응답입력!AT26:AV26,"&lt;9"),"")</f>
        <v/>
      </c>
      <c r="G25" s="15" t="str">
        <f aca="false">IF(COUNTIF(응답입력!AW26:AY26,"&lt;9")&gt;=2,AVERAGEIF(응답입력!AW26:AY26,"&lt;9"),"")</f>
        <v/>
      </c>
      <c r="H25" s="15" t="str">
        <f aca="false">IF(COUNTIF(응답입력!AZ26:BB26,"&lt;9")&gt;=2,AVERAGEIF(응답입력!AZ26:BB26,"&lt;9"),"")</f>
        <v/>
      </c>
      <c r="I25" s="15" t="str">
        <f aca="false">IF(COUNTIF(응답입력!BC26:BE26,"&lt;9")&gt;=2,AVERAGEIF(응답입력!BC26:BE26,"&lt;9"),"")</f>
        <v/>
      </c>
      <c r="J25" s="15" t="str">
        <f aca="false">IF(COUNTIF(응답입력!BF26:BH26,"&lt;9")&gt;=2,AVERAGEIF(응답입력!BF26:BH26,"&lt;9"),"")</f>
        <v/>
      </c>
      <c r="K25" s="15" t="str">
        <f aca="false">IF(COUNTIF(응답입력!BI26:BK26,"&lt;9")&gt;=2,AVERAGEIF(응답입력!BI26:BK26,"&lt;9"),"")</f>
        <v/>
      </c>
      <c r="L25" s="15" t="str">
        <f aca="false">IF(COUNTIF(응답입력!BL26:BN26,"&lt;9")&gt;=2,AVERAGEIF(응답입력!BL26:BN26,"&lt;9"),"")</f>
        <v/>
      </c>
      <c r="M25" s="15" t="str">
        <f aca="false">IF(COUNTIF(응답입력!BO26:BQ26,"&lt;9")&gt;=2,AVERAGEIF(응답입력!BO26:BQ26,"&lt;9"),"")</f>
        <v/>
      </c>
      <c r="N25" s="15" t="str">
        <f aca="false">IF(COUNTIF(응답입력!BR26:BT26,"&lt;9")&gt;=2,AVERAGEIF(응답입력!BR26:BT26,"&lt;9"),"")</f>
        <v/>
      </c>
      <c r="O25" s="15" t="str">
        <f aca="false">IF(COUNTIF(응답입력!BU26:BW26,"&lt;9")&gt;=2,AVERAGEIF(응답입력!BU26:BW26,"&lt;9"),"")</f>
        <v/>
      </c>
      <c r="P25" s="15" t="str">
        <f aca="false">IF(COUNTIF(응답입력!BX26:BZ26,"&lt;9")&gt;=2,AVERAGEIF(응답입력!BX26:BZ26,"&lt;9"),"")</f>
        <v/>
      </c>
      <c r="Q25" s="15" t="str">
        <f aca="false">IF(COUNTIF(응답입력!CA26:CC26,"&lt;9")&gt;=2,AVERAGEIF(응답입력!CA26:CC26,"&lt;9"),"")</f>
        <v/>
      </c>
      <c r="R25" s="15" t="str">
        <f aca="false">IF(COUNTIF(응답입력!CD26:CF26,"&lt;9")&gt;=2,AVERAGEIF(응답입력!CD26:CF26,"&lt;9"),"")</f>
        <v/>
      </c>
      <c r="S25" s="15" t="str">
        <f aca="false">IF(COUNTIF(응답입력!CG26:CI26,"&lt;9")&gt;=2,AVERAGEIF(응답입력!CG26:CI26,"&lt;9"),"")</f>
        <v/>
      </c>
      <c r="T25" s="15" t="str">
        <f aca="false">IF(COUNTIF(응답입력!CJ26:CL26,"&lt;9")&gt;=2,AVERAGEIF(응답입력!CJ26:CL26,"&lt;9"),"")</f>
        <v/>
      </c>
      <c r="U25" s="15" t="str">
        <f aca="false">IF(COUNTIF(응답입력!CM26:CO26,"&lt;9")&gt;=2,AVERAGEIF(응답입력!CM26:CO26,"&lt;9"),"")</f>
        <v/>
      </c>
      <c r="V25" s="15" t="str">
        <f aca="false">IF(COUNTIF(응답입력!CP26:CR26,"&lt;9")&gt;=2,AVERAGEIF(응답입력!CP26:CR26,"&lt;9"),"")</f>
        <v/>
      </c>
      <c r="W25" s="15" t="str">
        <f aca="false">IF(COUNTIF(응답입력!CS26:CU26,"&lt;9")&gt;=2,AVERAGEIF(응답입력!CS26:CU26,"&lt;9"),"")</f>
        <v/>
      </c>
      <c r="X25" s="15" t="str">
        <f aca="false">IF(COUNTIF(응답입력!CV26:CX26,"&lt;9")&gt;=2,AVERAGEIF(응답입력!CV26:CX26,"&lt;9"),"")</f>
        <v/>
      </c>
      <c r="Y25" s="15" t="str">
        <f aca="false">IF(COUNTIF(응답입력!CY26:DA26,"&lt;9")&gt;=2,AVERAGEIF(응답입력!CY26:DA26,"&lt;9"),"")</f>
        <v/>
      </c>
      <c r="Z25" s="15" t="str">
        <f aca="false">IF(COUNTIF(응답입력!DB26:DD26,"&lt;9")&gt;=2,AVERAGEIF(응답입력!DB26:DD26,"&lt;9"),"")</f>
        <v/>
      </c>
      <c r="AA25" s="22" t="str">
        <f aca="false">IFERROR(AVERAGE(B25:Z25),"")</f>
        <v/>
      </c>
    </row>
    <row r="26" customFormat="false" ht="15" hidden="false" customHeight="false" outlineLevel="0" collapsed="false">
      <c r="A26" s="16" t="str">
        <f aca="false">IF(응답입력!A27="","",응답입력!A27)</f>
        <v/>
      </c>
      <c r="B26" s="15" t="str">
        <f aca="false">IF(COUNTIF(응답입력!AH27:AJ27,"&lt;9")&gt;=2,AVERAGEIF(응답입력!AH27:AJ27,"&lt;9"),"")</f>
        <v/>
      </c>
      <c r="C26" s="15" t="str">
        <f aca="false">IF(COUNTIF(응답입력!AK27:AM27,"&lt;9")&gt;=2,AVERAGEIF(응답입력!AK27:AM27,"&lt;9"),"")</f>
        <v/>
      </c>
      <c r="D26" s="15" t="str">
        <f aca="false">IF(COUNTIF(응답입력!AN27:AP27,"&lt;9")&gt;=2,AVERAGEIF(응답입력!AN27:AP27,"&lt;9"),"")</f>
        <v/>
      </c>
      <c r="E26" s="15" t="str">
        <f aca="false">IF(COUNTIF(응답입력!AQ27:AS27,"&lt;9")&gt;=2,AVERAGEIF(응답입력!AQ27:AS27,"&lt;9"),"")</f>
        <v/>
      </c>
      <c r="F26" s="15" t="str">
        <f aca="false">IF(COUNTIF(응답입력!AT27:AV27,"&lt;9")&gt;=2,AVERAGEIF(응답입력!AT27:AV27,"&lt;9"),"")</f>
        <v/>
      </c>
      <c r="G26" s="15" t="str">
        <f aca="false">IF(COUNTIF(응답입력!AW27:AY27,"&lt;9")&gt;=2,AVERAGEIF(응답입력!AW27:AY27,"&lt;9"),"")</f>
        <v/>
      </c>
      <c r="H26" s="15" t="str">
        <f aca="false">IF(COUNTIF(응답입력!AZ27:BB27,"&lt;9")&gt;=2,AVERAGEIF(응답입력!AZ27:BB27,"&lt;9"),"")</f>
        <v/>
      </c>
      <c r="I26" s="15" t="str">
        <f aca="false">IF(COUNTIF(응답입력!BC27:BE27,"&lt;9")&gt;=2,AVERAGEIF(응답입력!BC27:BE27,"&lt;9"),"")</f>
        <v/>
      </c>
      <c r="J26" s="15" t="str">
        <f aca="false">IF(COUNTIF(응답입력!BF27:BH27,"&lt;9")&gt;=2,AVERAGEIF(응답입력!BF27:BH27,"&lt;9"),"")</f>
        <v/>
      </c>
      <c r="K26" s="15" t="str">
        <f aca="false">IF(COUNTIF(응답입력!BI27:BK27,"&lt;9")&gt;=2,AVERAGEIF(응답입력!BI27:BK27,"&lt;9"),"")</f>
        <v/>
      </c>
      <c r="L26" s="15" t="str">
        <f aca="false">IF(COUNTIF(응답입력!BL27:BN27,"&lt;9")&gt;=2,AVERAGEIF(응답입력!BL27:BN27,"&lt;9"),"")</f>
        <v/>
      </c>
      <c r="M26" s="15" t="str">
        <f aca="false">IF(COUNTIF(응답입력!BO27:BQ27,"&lt;9")&gt;=2,AVERAGEIF(응답입력!BO27:BQ27,"&lt;9"),"")</f>
        <v/>
      </c>
      <c r="N26" s="15" t="str">
        <f aca="false">IF(COUNTIF(응답입력!BR27:BT27,"&lt;9")&gt;=2,AVERAGEIF(응답입력!BR27:BT27,"&lt;9"),"")</f>
        <v/>
      </c>
      <c r="O26" s="15" t="str">
        <f aca="false">IF(COUNTIF(응답입력!BU27:BW27,"&lt;9")&gt;=2,AVERAGEIF(응답입력!BU27:BW27,"&lt;9"),"")</f>
        <v/>
      </c>
      <c r="P26" s="15" t="str">
        <f aca="false">IF(COUNTIF(응답입력!BX27:BZ27,"&lt;9")&gt;=2,AVERAGEIF(응답입력!BX27:BZ27,"&lt;9"),"")</f>
        <v/>
      </c>
      <c r="Q26" s="15" t="str">
        <f aca="false">IF(COUNTIF(응답입력!CA27:CC27,"&lt;9")&gt;=2,AVERAGEIF(응답입력!CA27:CC27,"&lt;9"),"")</f>
        <v/>
      </c>
      <c r="R26" s="15" t="str">
        <f aca="false">IF(COUNTIF(응답입력!CD27:CF27,"&lt;9")&gt;=2,AVERAGEIF(응답입력!CD27:CF27,"&lt;9"),"")</f>
        <v/>
      </c>
      <c r="S26" s="15" t="str">
        <f aca="false">IF(COUNTIF(응답입력!CG27:CI27,"&lt;9")&gt;=2,AVERAGEIF(응답입력!CG27:CI27,"&lt;9"),"")</f>
        <v/>
      </c>
      <c r="T26" s="15" t="str">
        <f aca="false">IF(COUNTIF(응답입력!CJ27:CL27,"&lt;9")&gt;=2,AVERAGEIF(응답입력!CJ27:CL27,"&lt;9"),"")</f>
        <v/>
      </c>
      <c r="U26" s="15" t="str">
        <f aca="false">IF(COUNTIF(응답입력!CM27:CO27,"&lt;9")&gt;=2,AVERAGEIF(응답입력!CM27:CO27,"&lt;9"),"")</f>
        <v/>
      </c>
      <c r="V26" s="15" t="str">
        <f aca="false">IF(COUNTIF(응답입력!CP27:CR27,"&lt;9")&gt;=2,AVERAGEIF(응답입력!CP27:CR27,"&lt;9"),"")</f>
        <v/>
      </c>
      <c r="W26" s="15" t="str">
        <f aca="false">IF(COUNTIF(응답입력!CS27:CU27,"&lt;9")&gt;=2,AVERAGEIF(응답입력!CS27:CU27,"&lt;9"),"")</f>
        <v/>
      </c>
      <c r="X26" s="15" t="str">
        <f aca="false">IF(COUNTIF(응답입력!CV27:CX27,"&lt;9")&gt;=2,AVERAGEIF(응답입력!CV27:CX27,"&lt;9"),"")</f>
        <v/>
      </c>
      <c r="Y26" s="15" t="str">
        <f aca="false">IF(COUNTIF(응답입력!CY27:DA27,"&lt;9")&gt;=2,AVERAGEIF(응답입력!CY27:DA27,"&lt;9"),"")</f>
        <v/>
      </c>
      <c r="Z26" s="15" t="str">
        <f aca="false">IF(COUNTIF(응답입력!DB27:DD27,"&lt;9")&gt;=2,AVERAGEIF(응답입력!DB27:DD27,"&lt;9"),"")</f>
        <v/>
      </c>
      <c r="AA26" s="22" t="str">
        <f aca="false">IFERROR(AVERAGE(B26:Z26),"")</f>
        <v/>
      </c>
    </row>
    <row r="27" customFormat="false" ht="15" hidden="false" customHeight="false" outlineLevel="0" collapsed="false">
      <c r="A27" s="16" t="str">
        <f aca="false">IF(응답입력!A28="","",응답입력!A28)</f>
        <v/>
      </c>
      <c r="B27" s="15" t="str">
        <f aca="false">IF(COUNTIF(응답입력!AH28:AJ28,"&lt;9")&gt;=2,AVERAGEIF(응답입력!AH28:AJ28,"&lt;9"),"")</f>
        <v/>
      </c>
      <c r="C27" s="15" t="str">
        <f aca="false">IF(COUNTIF(응답입력!AK28:AM28,"&lt;9")&gt;=2,AVERAGEIF(응답입력!AK28:AM28,"&lt;9"),"")</f>
        <v/>
      </c>
      <c r="D27" s="15" t="str">
        <f aca="false">IF(COUNTIF(응답입력!AN28:AP28,"&lt;9")&gt;=2,AVERAGEIF(응답입력!AN28:AP28,"&lt;9"),"")</f>
        <v/>
      </c>
      <c r="E27" s="15" t="str">
        <f aca="false">IF(COUNTIF(응답입력!AQ28:AS28,"&lt;9")&gt;=2,AVERAGEIF(응답입력!AQ28:AS28,"&lt;9"),"")</f>
        <v/>
      </c>
      <c r="F27" s="15" t="str">
        <f aca="false">IF(COUNTIF(응답입력!AT28:AV28,"&lt;9")&gt;=2,AVERAGEIF(응답입력!AT28:AV28,"&lt;9"),"")</f>
        <v/>
      </c>
      <c r="G27" s="15" t="str">
        <f aca="false">IF(COUNTIF(응답입력!AW28:AY28,"&lt;9")&gt;=2,AVERAGEIF(응답입력!AW28:AY28,"&lt;9"),"")</f>
        <v/>
      </c>
      <c r="H27" s="15" t="str">
        <f aca="false">IF(COUNTIF(응답입력!AZ28:BB28,"&lt;9")&gt;=2,AVERAGEIF(응답입력!AZ28:BB28,"&lt;9"),"")</f>
        <v/>
      </c>
      <c r="I27" s="15" t="str">
        <f aca="false">IF(COUNTIF(응답입력!BC28:BE28,"&lt;9")&gt;=2,AVERAGEIF(응답입력!BC28:BE28,"&lt;9"),"")</f>
        <v/>
      </c>
      <c r="J27" s="15" t="str">
        <f aca="false">IF(COUNTIF(응답입력!BF28:BH28,"&lt;9")&gt;=2,AVERAGEIF(응답입력!BF28:BH28,"&lt;9"),"")</f>
        <v/>
      </c>
      <c r="K27" s="15" t="str">
        <f aca="false">IF(COUNTIF(응답입력!BI28:BK28,"&lt;9")&gt;=2,AVERAGEIF(응답입력!BI28:BK28,"&lt;9"),"")</f>
        <v/>
      </c>
      <c r="L27" s="15" t="str">
        <f aca="false">IF(COUNTIF(응답입력!BL28:BN28,"&lt;9")&gt;=2,AVERAGEIF(응답입력!BL28:BN28,"&lt;9"),"")</f>
        <v/>
      </c>
      <c r="M27" s="15" t="str">
        <f aca="false">IF(COUNTIF(응답입력!BO28:BQ28,"&lt;9")&gt;=2,AVERAGEIF(응답입력!BO28:BQ28,"&lt;9"),"")</f>
        <v/>
      </c>
      <c r="N27" s="15" t="str">
        <f aca="false">IF(COUNTIF(응답입력!BR28:BT28,"&lt;9")&gt;=2,AVERAGEIF(응답입력!BR28:BT28,"&lt;9"),"")</f>
        <v/>
      </c>
      <c r="O27" s="15" t="str">
        <f aca="false">IF(COUNTIF(응답입력!BU28:BW28,"&lt;9")&gt;=2,AVERAGEIF(응답입력!BU28:BW28,"&lt;9"),"")</f>
        <v/>
      </c>
      <c r="P27" s="15" t="str">
        <f aca="false">IF(COUNTIF(응답입력!BX28:BZ28,"&lt;9")&gt;=2,AVERAGEIF(응답입력!BX28:BZ28,"&lt;9"),"")</f>
        <v/>
      </c>
      <c r="Q27" s="15" t="str">
        <f aca="false">IF(COUNTIF(응답입력!CA28:CC28,"&lt;9")&gt;=2,AVERAGEIF(응답입력!CA28:CC28,"&lt;9"),"")</f>
        <v/>
      </c>
      <c r="R27" s="15" t="str">
        <f aca="false">IF(COUNTIF(응답입력!CD28:CF28,"&lt;9")&gt;=2,AVERAGEIF(응답입력!CD28:CF28,"&lt;9"),"")</f>
        <v/>
      </c>
      <c r="S27" s="15" t="str">
        <f aca="false">IF(COUNTIF(응답입력!CG28:CI28,"&lt;9")&gt;=2,AVERAGEIF(응답입력!CG28:CI28,"&lt;9"),"")</f>
        <v/>
      </c>
      <c r="T27" s="15" t="str">
        <f aca="false">IF(COUNTIF(응답입력!CJ28:CL28,"&lt;9")&gt;=2,AVERAGEIF(응답입력!CJ28:CL28,"&lt;9"),"")</f>
        <v/>
      </c>
      <c r="U27" s="15" t="str">
        <f aca="false">IF(COUNTIF(응답입력!CM28:CO28,"&lt;9")&gt;=2,AVERAGEIF(응답입력!CM28:CO28,"&lt;9"),"")</f>
        <v/>
      </c>
      <c r="V27" s="15" t="str">
        <f aca="false">IF(COUNTIF(응답입력!CP28:CR28,"&lt;9")&gt;=2,AVERAGEIF(응답입력!CP28:CR28,"&lt;9"),"")</f>
        <v/>
      </c>
      <c r="W27" s="15" t="str">
        <f aca="false">IF(COUNTIF(응답입력!CS28:CU28,"&lt;9")&gt;=2,AVERAGEIF(응답입력!CS28:CU28,"&lt;9"),"")</f>
        <v/>
      </c>
      <c r="X27" s="15" t="str">
        <f aca="false">IF(COUNTIF(응답입력!CV28:CX28,"&lt;9")&gt;=2,AVERAGEIF(응답입력!CV28:CX28,"&lt;9"),"")</f>
        <v/>
      </c>
      <c r="Y27" s="15" t="str">
        <f aca="false">IF(COUNTIF(응답입력!CY28:DA28,"&lt;9")&gt;=2,AVERAGEIF(응답입력!CY28:DA28,"&lt;9"),"")</f>
        <v/>
      </c>
      <c r="Z27" s="15" t="str">
        <f aca="false">IF(COUNTIF(응답입력!DB28:DD28,"&lt;9")&gt;=2,AVERAGEIF(응답입력!DB28:DD28,"&lt;9"),"")</f>
        <v/>
      </c>
      <c r="AA27" s="22" t="str">
        <f aca="false">IFERROR(AVERAGE(B27:Z27),"")</f>
        <v/>
      </c>
    </row>
    <row r="28" customFormat="false" ht="15" hidden="false" customHeight="false" outlineLevel="0" collapsed="false">
      <c r="A28" s="16" t="str">
        <f aca="false">IF(응답입력!A29="","",응답입력!A29)</f>
        <v/>
      </c>
      <c r="B28" s="15" t="str">
        <f aca="false">IF(COUNTIF(응답입력!AH29:AJ29,"&lt;9")&gt;=2,AVERAGEIF(응답입력!AH29:AJ29,"&lt;9"),"")</f>
        <v/>
      </c>
      <c r="C28" s="15" t="str">
        <f aca="false">IF(COUNTIF(응답입력!AK29:AM29,"&lt;9")&gt;=2,AVERAGEIF(응답입력!AK29:AM29,"&lt;9"),"")</f>
        <v/>
      </c>
      <c r="D28" s="15" t="str">
        <f aca="false">IF(COUNTIF(응답입력!AN29:AP29,"&lt;9")&gt;=2,AVERAGEIF(응답입력!AN29:AP29,"&lt;9"),"")</f>
        <v/>
      </c>
      <c r="E28" s="15" t="str">
        <f aca="false">IF(COUNTIF(응답입력!AQ29:AS29,"&lt;9")&gt;=2,AVERAGEIF(응답입력!AQ29:AS29,"&lt;9"),"")</f>
        <v/>
      </c>
      <c r="F28" s="15" t="str">
        <f aca="false">IF(COUNTIF(응답입력!AT29:AV29,"&lt;9")&gt;=2,AVERAGEIF(응답입력!AT29:AV29,"&lt;9"),"")</f>
        <v/>
      </c>
      <c r="G28" s="15" t="str">
        <f aca="false">IF(COUNTIF(응답입력!AW29:AY29,"&lt;9")&gt;=2,AVERAGEIF(응답입력!AW29:AY29,"&lt;9"),"")</f>
        <v/>
      </c>
      <c r="H28" s="15" t="str">
        <f aca="false">IF(COUNTIF(응답입력!AZ29:BB29,"&lt;9")&gt;=2,AVERAGEIF(응답입력!AZ29:BB29,"&lt;9"),"")</f>
        <v/>
      </c>
      <c r="I28" s="15" t="str">
        <f aca="false">IF(COUNTIF(응답입력!BC29:BE29,"&lt;9")&gt;=2,AVERAGEIF(응답입력!BC29:BE29,"&lt;9"),"")</f>
        <v/>
      </c>
      <c r="J28" s="15" t="str">
        <f aca="false">IF(COUNTIF(응답입력!BF29:BH29,"&lt;9")&gt;=2,AVERAGEIF(응답입력!BF29:BH29,"&lt;9"),"")</f>
        <v/>
      </c>
      <c r="K28" s="15" t="str">
        <f aca="false">IF(COUNTIF(응답입력!BI29:BK29,"&lt;9")&gt;=2,AVERAGEIF(응답입력!BI29:BK29,"&lt;9"),"")</f>
        <v/>
      </c>
      <c r="L28" s="15" t="str">
        <f aca="false">IF(COUNTIF(응답입력!BL29:BN29,"&lt;9")&gt;=2,AVERAGEIF(응답입력!BL29:BN29,"&lt;9"),"")</f>
        <v/>
      </c>
      <c r="M28" s="15" t="str">
        <f aca="false">IF(COUNTIF(응답입력!BO29:BQ29,"&lt;9")&gt;=2,AVERAGEIF(응답입력!BO29:BQ29,"&lt;9"),"")</f>
        <v/>
      </c>
      <c r="N28" s="15" t="str">
        <f aca="false">IF(COUNTIF(응답입력!BR29:BT29,"&lt;9")&gt;=2,AVERAGEIF(응답입력!BR29:BT29,"&lt;9"),"")</f>
        <v/>
      </c>
      <c r="O28" s="15" t="str">
        <f aca="false">IF(COUNTIF(응답입력!BU29:BW29,"&lt;9")&gt;=2,AVERAGEIF(응답입력!BU29:BW29,"&lt;9"),"")</f>
        <v/>
      </c>
      <c r="P28" s="15" t="str">
        <f aca="false">IF(COUNTIF(응답입력!BX29:BZ29,"&lt;9")&gt;=2,AVERAGEIF(응답입력!BX29:BZ29,"&lt;9"),"")</f>
        <v/>
      </c>
      <c r="Q28" s="15" t="str">
        <f aca="false">IF(COUNTIF(응답입력!CA29:CC29,"&lt;9")&gt;=2,AVERAGEIF(응답입력!CA29:CC29,"&lt;9"),"")</f>
        <v/>
      </c>
      <c r="R28" s="15" t="str">
        <f aca="false">IF(COUNTIF(응답입력!CD29:CF29,"&lt;9")&gt;=2,AVERAGEIF(응답입력!CD29:CF29,"&lt;9"),"")</f>
        <v/>
      </c>
      <c r="S28" s="15" t="str">
        <f aca="false">IF(COUNTIF(응답입력!CG29:CI29,"&lt;9")&gt;=2,AVERAGEIF(응답입력!CG29:CI29,"&lt;9"),"")</f>
        <v/>
      </c>
      <c r="T28" s="15" t="str">
        <f aca="false">IF(COUNTIF(응답입력!CJ29:CL29,"&lt;9")&gt;=2,AVERAGEIF(응답입력!CJ29:CL29,"&lt;9"),"")</f>
        <v/>
      </c>
      <c r="U28" s="15" t="str">
        <f aca="false">IF(COUNTIF(응답입력!CM29:CO29,"&lt;9")&gt;=2,AVERAGEIF(응답입력!CM29:CO29,"&lt;9"),"")</f>
        <v/>
      </c>
      <c r="V28" s="15" t="str">
        <f aca="false">IF(COUNTIF(응답입력!CP29:CR29,"&lt;9")&gt;=2,AVERAGEIF(응답입력!CP29:CR29,"&lt;9"),"")</f>
        <v/>
      </c>
      <c r="W28" s="15" t="str">
        <f aca="false">IF(COUNTIF(응답입력!CS29:CU29,"&lt;9")&gt;=2,AVERAGEIF(응답입력!CS29:CU29,"&lt;9"),"")</f>
        <v/>
      </c>
      <c r="X28" s="15" t="str">
        <f aca="false">IF(COUNTIF(응답입력!CV29:CX29,"&lt;9")&gt;=2,AVERAGEIF(응답입력!CV29:CX29,"&lt;9"),"")</f>
        <v/>
      </c>
      <c r="Y28" s="15" t="str">
        <f aca="false">IF(COUNTIF(응답입력!CY29:DA29,"&lt;9")&gt;=2,AVERAGEIF(응답입력!CY29:DA29,"&lt;9"),"")</f>
        <v/>
      </c>
      <c r="Z28" s="15" t="str">
        <f aca="false">IF(COUNTIF(응답입력!DB29:DD29,"&lt;9")&gt;=2,AVERAGEIF(응답입력!DB29:DD29,"&lt;9"),"")</f>
        <v/>
      </c>
      <c r="AA28" s="22" t="str">
        <f aca="false">IFERROR(AVERAGE(B28:Z28),"")</f>
        <v/>
      </c>
    </row>
    <row r="29" customFormat="false" ht="15" hidden="false" customHeight="false" outlineLevel="0" collapsed="false">
      <c r="A29" s="16" t="str">
        <f aca="false">IF(응답입력!A30="","",응답입력!A30)</f>
        <v/>
      </c>
      <c r="B29" s="15" t="str">
        <f aca="false">IF(COUNTIF(응답입력!AH30:AJ30,"&lt;9")&gt;=2,AVERAGEIF(응답입력!AH30:AJ30,"&lt;9"),"")</f>
        <v/>
      </c>
      <c r="C29" s="15" t="str">
        <f aca="false">IF(COUNTIF(응답입력!AK30:AM30,"&lt;9")&gt;=2,AVERAGEIF(응답입력!AK30:AM30,"&lt;9"),"")</f>
        <v/>
      </c>
      <c r="D29" s="15" t="str">
        <f aca="false">IF(COUNTIF(응답입력!AN30:AP30,"&lt;9")&gt;=2,AVERAGEIF(응답입력!AN30:AP30,"&lt;9"),"")</f>
        <v/>
      </c>
      <c r="E29" s="15" t="str">
        <f aca="false">IF(COUNTIF(응답입력!AQ30:AS30,"&lt;9")&gt;=2,AVERAGEIF(응답입력!AQ30:AS30,"&lt;9"),"")</f>
        <v/>
      </c>
      <c r="F29" s="15" t="str">
        <f aca="false">IF(COUNTIF(응답입력!AT30:AV30,"&lt;9")&gt;=2,AVERAGEIF(응답입력!AT30:AV30,"&lt;9"),"")</f>
        <v/>
      </c>
      <c r="G29" s="15" t="str">
        <f aca="false">IF(COUNTIF(응답입력!AW30:AY30,"&lt;9")&gt;=2,AVERAGEIF(응답입력!AW30:AY30,"&lt;9"),"")</f>
        <v/>
      </c>
      <c r="H29" s="15" t="str">
        <f aca="false">IF(COUNTIF(응답입력!AZ30:BB30,"&lt;9")&gt;=2,AVERAGEIF(응답입력!AZ30:BB30,"&lt;9"),"")</f>
        <v/>
      </c>
      <c r="I29" s="15" t="str">
        <f aca="false">IF(COUNTIF(응답입력!BC30:BE30,"&lt;9")&gt;=2,AVERAGEIF(응답입력!BC30:BE30,"&lt;9"),"")</f>
        <v/>
      </c>
      <c r="J29" s="15" t="str">
        <f aca="false">IF(COUNTIF(응답입력!BF30:BH30,"&lt;9")&gt;=2,AVERAGEIF(응답입력!BF30:BH30,"&lt;9"),"")</f>
        <v/>
      </c>
      <c r="K29" s="15" t="str">
        <f aca="false">IF(COUNTIF(응답입력!BI30:BK30,"&lt;9")&gt;=2,AVERAGEIF(응답입력!BI30:BK30,"&lt;9"),"")</f>
        <v/>
      </c>
      <c r="L29" s="15" t="str">
        <f aca="false">IF(COUNTIF(응답입력!BL30:BN30,"&lt;9")&gt;=2,AVERAGEIF(응답입력!BL30:BN30,"&lt;9"),"")</f>
        <v/>
      </c>
      <c r="M29" s="15" t="str">
        <f aca="false">IF(COUNTIF(응답입력!BO30:BQ30,"&lt;9")&gt;=2,AVERAGEIF(응답입력!BO30:BQ30,"&lt;9"),"")</f>
        <v/>
      </c>
      <c r="N29" s="15" t="str">
        <f aca="false">IF(COUNTIF(응답입력!BR30:BT30,"&lt;9")&gt;=2,AVERAGEIF(응답입력!BR30:BT30,"&lt;9"),"")</f>
        <v/>
      </c>
      <c r="O29" s="15" t="str">
        <f aca="false">IF(COUNTIF(응답입력!BU30:BW30,"&lt;9")&gt;=2,AVERAGEIF(응답입력!BU30:BW30,"&lt;9"),"")</f>
        <v/>
      </c>
      <c r="P29" s="15" t="str">
        <f aca="false">IF(COUNTIF(응답입력!BX30:BZ30,"&lt;9")&gt;=2,AVERAGEIF(응답입력!BX30:BZ30,"&lt;9"),"")</f>
        <v/>
      </c>
      <c r="Q29" s="15" t="str">
        <f aca="false">IF(COUNTIF(응답입력!CA30:CC30,"&lt;9")&gt;=2,AVERAGEIF(응답입력!CA30:CC30,"&lt;9"),"")</f>
        <v/>
      </c>
      <c r="R29" s="15" t="str">
        <f aca="false">IF(COUNTIF(응답입력!CD30:CF30,"&lt;9")&gt;=2,AVERAGEIF(응답입력!CD30:CF30,"&lt;9"),"")</f>
        <v/>
      </c>
      <c r="S29" s="15" t="str">
        <f aca="false">IF(COUNTIF(응답입력!CG30:CI30,"&lt;9")&gt;=2,AVERAGEIF(응답입력!CG30:CI30,"&lt;9"),"")</f>
        <v/>
      </c>
      <c r="T29" s="15" t="str">
        <f aca="false">IF(COUNTIF(응답입력!CJ30:CL30,"&lt;9")&gt;=2,AVERAGEIF(응답입력!CJ30:CL30,"&lt;9"),"")</f>
        <v/>
      </c>
      <c r="U29" s="15" t="str">
        <f aca="false">IF(COUNTIF(응답입력!CM30:CO30,"&lt;9")&gt;=2,AVERAGEIF(응답입력!CM30:CO30,"&lt;9"),"")</f>
        <v/>
      </c>
      <c r="V29" s="15" t="str">
        <f aca="false">IF(COUNTIF(응답입력!CP30:CR30,"&lt;9")&gt;=2,AVERAGEIF(응답입력!CP30:CR30,"&lt;9"),"")</f>
        <v/>
      </c>
      <c r="W29" s="15" t="str">
        <f aca="false">IF(COUNTIF(응답입력!CS30:CU30,"&lt;9")&gt;=2,AVERAGEIF(응답입력!CS30:CU30,"&lt;9"),"")</f>
        <v/>
      </c>
      <c r="X29" s="15" t="str">
        <f aca="false">IF(COUNTIF(응답입력!CV30:CX30,"&lt;9")&gt;=2,AVERAGEIF(응답입력!CV30:CX30,"&lt;9"),"")</f>
        <v/>
      </c>
      <c r="Y29" s="15" t="str">
        <f aca="false">IF(COUNTIF(응답입력!CY30:DA30,"&lt;9")&gt;=2,AVERAGEIF(응답입력!CY30:DA30,"&lt;9"),"")</f>
        <v/>
      </c>
      <c r="Z29" s="15" t="str">
        <f aca="false">IF(COUNTIF(응답입력!DB30:DD30,"&lt;9")&gt;=2,AVERAGEIF(응답입력!DB30:DD30,"&lt;9"),"")</f>
        <v/>
      </c>
      <c r="AA29" s="22" t="str">
        <f aca="false">IFERROR(AVERAGE(B29:Z29),"")</f>
        <v/>
      </c>
    </row>
    <row r="30" customFormat="false" ht="15" hidden="false" customHeight="false" outlineLevel="0" collapsed="false">
      <c r="A30" s="16" t="str">
        <f aca="false">IF(응답입력!A31="","",응답입력!A31)</f>
        <v/>
      </c>
      <c r="B30" s="15" t="str">
        <f aca="false">IF(COUNTIF(응답입력!AH31:AJ31,"&lt;9")&gt;=2,AVERAGEIF(응답입력!AH31:AJ31,"&lt;9"),"")</f>
        <v/>
      </c>
      <c r="C30" s="15" t="str">
        <f aca="false">IF(COUNTIF(응답입력!AK31:AM31,"&lt;9")&gt;=2,AVERAGEIF(응답입력!AK31:AM31,"&lt;9"),"")</f>
        <v/>
      </c>
      <c r="D30" s="15" t="str">
        <f aca="false">IF(COUNTIF(응답입력!AN31:AP31,"&lt;9")&gt;=2,AVERAGEIF(응답입력!AN31:AP31,"&lt;9"),"")</f>
        <v/>
      </c>
      <c r="E30" s="15" t="str">
        <f aca="false">IF(COUNTIF(응답입력!AQ31:AS31,"&lt;9")&gt;=2,AVERAGEIF(응답입력!AQ31:AS31,"&lt;9"),"")</f>
        <v/>
      </c>
      <c r="F30" s="15" t="str">
        <f aca="false">IF(COUNTIF(응답입력!AT31:AV31,"&lt;9")&gt;=2,AVERAGEIF(응답입력!AT31:AV31,"&lt;9"),"")</f>
        <v/>
      </c>
      <c r="G30" s="15" t="str">
        <f aca="false">IF(COUNTIF(응답입력!AW31:AY31,"&lt;9")&gt;=2,AVERAGEIF(응답입력!AW31:AY31,"&lt;9"),"")</f>
        <v/>
      </c>
      <c r="H30" s="15" t="str">
        <f aca="false">IF(COUNTIF(응답입력!AZ31:BB31,"&lt;9")&gt;=2,AVERAGEIF(응답입력!AZ31:BB31,"&lt;9"),"")</f>
        <v/>
      </c>
      <c r="I30" s="15" t="str">
        <f aca="false">IF(COUNTIF(응답입력!BC31:BE31,"&lt;9")&gt;=2,AVERAGEIF(응답입력!BC31:BE31,"&lt;9"),"")</f>
        <v/>
      </c>
      <c r="J30" s="15" t="str">
        <f aca="false">IF(COUNTIF(응답입력!BF31:BH31,"&lt;9")&gt;=2,AVERAGEIF(응답입력!BF31:BH31,"&lt;9"),"")</f>
        <v/>
      </c>
      <c r="K30" s="15" t="str">
        <f aca="false">IF(COUNTIF(응답입력!BI31:BK31,"&lt;9")&gt;=2,AVERAGEIF(응답입력!BI31:BK31,"&lt;9"),"")</f>
        <v/>
      </c>
      <c r="L30" s="15" t="str">
        <f aca="false">IF(COUNTIF(응답입력!BL31:BN31,"&lt;9")&gt;=2,AVERAGEIF(응답입력!BL31:BN31,"&lt;9"),"")</f>
        <v/>
      </c>
      <c r="M30" s="15" t="str">
        <f aca="false">IF(COUNTIF(응답입력!BO31:BQ31,"&lt;9")&gt;=2,AVERAGEIF(응답입력!BO31:BQ31,"&lt;9"),"")</f>
        <v/>
      </c>
      <c r="N30" s="15" t="str">
        <f aca="false">IF(COUNTIF(응답입력!BR31:BT31,"&lt;9")&gt;=2,AVERAGEIF(응답입력!BR31:BT31,"&lt;9"),"")</f>
        <v/>
      </c>
      <c r="O30" s="15" t="str">
        <f aca="false">IF(COUNTIF(응답입력!BU31:BW31,"&lt;9")&gt;=2,AVERAGEIF(응답입력!BU31:BW31,"&lt;9"),"")</f>
        <v/>
      </c>
      <c r="P30" s="15" t="str">
        <f aca="false">IF(COUNTIF(응답입력!BX31:BZ31,"&lt;9")&gt;=2,AVERAGEIF(응답입력!BX31:BZ31,"&lt;9"),"")</f>
        <v/>
      </c>
      <c r="Q30" s="15" t="str">
        <f aca="false">IF(COUNTIF(응답입력!CA31:CC31,"&lt;9")&gt;=2,AVERAGEIF(응답입력!CA31:CC31,"&lt;9"),"")</f>
        <v/>
      </c>
      <c r="R30" s="15" t="str">
        <f aca="false">IF(COUNTIF(응답입력!CD31:CF31,"&lt;9")&gt;=2,AVERAGEIF(응답입력!CD31:CF31,"&lt;9"),"")</f>
        <v/>
      </c>
      <c r="S30" s="15" t="str">
        <f aca="false">IF(COUNTIF(응답입력!CG31:CI31,"&lt;9")&gt;=2,AVERAGEIF(응답입력!CG31:CI31,"&lt;9"),"")</f>
        <v/>
      </c>
      <c r="T30" s="15" t="str">
        <f aca="false">IF(COUNTIF(응답입력!CJ31:CL31,"&lt;9")&gt;=2,AVERAGEIF(응답입력!CJ31:CL31,"&lt;9"),"")</f>
        <v/>
      </c>
      <c r="U30" s="15" t="str">
        <f aca="false">IF(COUNTIF(응답입력!CM31:CO31,"&lt;9")&gt;=2,AVERAGEIF(응답입력!CM31:CO31,"&lt;9"),"")</f>
        <v/>
      </c>
      <c r="V30" s="15" t="str">
        <f aca="false">IF(COUNTIF(응답입력!CP31:CR31,"&lt;9")&gt;=2,AVERAGEIF(응답입력!CP31:CR31,"&lt;9"),"")</f>
        <v/>
      </c>
      <c r="W30" s="15" t="str">
        <f aca="false">IF(COUNTIF(응답입력!CS31:CU31,"&lt;9")&gt;=2,AVERAGEIF(응답입력!CS31:CU31,"&lt;9"),"")</f>
        <v/>
      </c>
      <c r="X30" s="15" t="str">
        <f aca="false">IF(COUNTIF(응답입력!CV31:CX31,"&lt;9")&gt;=2,AVERAGEIF(응답입력!CV31:CX31,"&lt;9"),"")</f>
        <v/>
      </c>
      <c r="Y30" s="15" t="str">
        <f aca="false">IF(COUNTIF(응답입력!CY31:DA31,"&lt;9")&gt;=2,AVERAGEIF(응답입력!CY31:DA31,"&lt;9"),"")</f>
        <v/>
      </c>
      <c r="Z30" s="15" t="str">
        <f aca="false">IF(COUNTIF(응답입력!DB31:DD31,"&lt;9")&gt;=2,AVERAGEIF(응답입력!DB31:DD31,"&lt;9"),"")</f>
        <v/>
      </c>
      <c r="AA30" s="22" t="str">
        <f aca="false">IFERROR(AVERAGE(B30:Z30),"")</f>
        <v/>
      </c>
    </row>
    <row r="31" customFormat="false" ht="15" hidden="false" customHeight="false" outlineLevel="0" collapsed="false">
      <c r="A31" s="16" t="str">
        <f aca="false">IF(응답입력!A32="","",응답입력!A32)</f>
        <v/>
      </c>
      <c r="B31" s="15" t="str">
        <f aca="false">IF(COUNTIF(응답입력!AH32:AJ32,"&lt;9")&gt;=2,AVERAGEIF(응답입력!AH32:AJ32,"&lt;9"),"")</f>
        <v/>
      </c>
      <c r="C31" s="15" t="str">
        <f aca="false">IF(COUNTIF(응답입력!AK32:AM32,"&lt;9")&gt;=2,AVERAGEIF(응답입력!AK32:AM32,"&lt;9"),"")</f>
        <v/>
      </c>
      <c r="D31" s="15" t="str">
        <f aca="false">IF(COUNTIF(응답입력!AN32:AP32,"&lt;9")&gt;=2,AVERAGEIF(응답입력!AN32:AP32,"&lt;9"),"")</f>
        <v/>
      </c>
      <c r="E31" s="15" t="str">
        <f aca="false">IF(COUNTIF(응답입력!AQ32:AS32,"&lt;9")&gt;=2,AVERAGEIF(응답입력!AQ32:AS32,"&lt;9"),"")</f>
        <v/>
      </c>
      <c r="F31" s="15" t="str">
        <f aca="false">IF(COUNTIF(응답입력!AT32:AV32,"&lt;9")&gt;=2,AVERAGEIF(응답입력!AT32:AV32,"&lt;9"),"")</f>
        <v/>
      </c>
      <c r="G31" s="15" t="str">
        <f aca="false">IF(COUNTIF(응답입력!AW32:AY32,"&lt;9")&gt;=2,AVERAGEIF(응답입력!AW32:AY32,"&lt;9"),"")</f>
        <v/>
      </c>
      <c r="H31" s="15" t="str">
        <f aca="false">IF(COUNTIF(응답입력!AZ32:BB32,"&lt;9")&gt;=2,AVERAGEIF(응답입력!AZ32:BB32,"&lt;9"),"")</f>
        <v/>
      </c>
      <c r="I31" s="15" t="str">
        <f aca="false">IF(COUNTIF(응답입력!BC32:BE32,"&lt;9")&gt;=2,AVERAGEIF(응답입력!BC32:BE32,"&lt;9"),"")</f>
        <v/>
      </c>
      <c r="J31" s="15" t="str">
        <f aca="false">IF(COUNTIF(응답입력!BF32:BH32,"&lt;9")&gt;=2,AVERAGEIF(응답입력!BF32:BH32,"&lt;9"),"")</f>
        <v/>
      </c>
      <c r="K31" s="15" t="str">
        <f aca="false">IF(COUNTIF(응답입력!BI32:BK32,"&lt;9")&gt;=2,AVERAGEIF(응답입력!BI32:BK32,"&lt;9"),"")</f>
        <v/>
      </c>
      <c r="L31" s="15" t="str">
        <f aca="false">IF(COUNTIF(응답입력!BL32:BN32,"&lt;9")&gt;=2,AVERAGEIF(응답입력!BL32:BN32,"&lt;9"),"")</f>
        <v/>
      </c>
      <c r="M31" s="15" t="str">
        <f aca="false">IF(COUNTIF(응답입력!BO32:BQ32,"&lt;9")&gt;=2,AVERAGEIF(응답입력!BO32:BQ32,"&lt;9"),"")</f>
        <v/>
      </c>
      <c r="N31" s="15" t="str">
        <f aca="false">IF(COUNTIF(응답입력!BR32:BT32,"&lt;9")&gt;=2,AVERAGEIF(응답입력!BR32:BT32,"&lt;9"),"")</f>
        <v/>
      </c>
      <c r="O31" s="15" t="str">
        <f aca="false">IF(COUNTIF(응답입력!BU32:BW32,"&lt;9")&gt;=2,AVERAGEIF(응답입력!BU32:BW32,"&lt;9"),"")</f>
        <v/>
      </c>
      <c r="P31" s="15" t="str">
        <f aca="false">IF(COUNTIF(응답입력!BX32:BZ32,"&lt;9")&gt;=2,AVERAGEIF(응답입력!BX32:BZ32,"&lt;9"),"")</f>
        <v/>
      </c>
      <c r="Q31" s="15" t="str">
        <f aca="false">IF(COUNTIF(응답입력!CA32:CC32,"&lt;9")&gt;=2,AVERAGEIF(응답입력!CA32:CC32,"&lt;9"),"")</f>
        <v/>
      </c>
      <c r="R31" s="15" t="str">
        <f aca="false">IF(COUNTIF(응답입력!CD32:CF32,"&lt;9")&gt;=2,AVERAGEIF(응답입력!CD32:CF32,"&lt;9"),"")</f>
        <v/>
      </c>
      <c r="S31" s="15" t="str">
        <f aca="false">IF(COUNTIF(응답입력!CG32:CI32,"&lt;9")&gt;=2,AVERAGEIF(응답입력!CG32:CI32,"&lt;9"),"")</f>
        <v/>
      </c>
      <c r="T31" s="15" t="str">
        <f aca="false">IF(COUNTIF(응답입력!CJ32:CL32,"&lt;9")&gt;=2,AVERAGEIF(응답입력!CJ32:CL32,"&lt;9"),"")</f>
        <v/>
      </c>
      <c r="U31" s="15" t="str">
        <f aca="false">IF(COUNTIF(응답입력!CM32:CO32,"&lt;9")&gt;=2,AVERAGEIF(응답입력!CM32:CO32,"&lt;9"),"")</f>
        <v/>
      </c>
      <c r="V31" s="15" t="str">
        <f aca="false">IF(COUNTIF(응답입력!CP32:CR32,"&lt;9")&gt;=2,AVERAGEIF(응답입력!CP32:CR32,"&lt;9"),"")</f>
        <v/>
      </c>
      <c r="W31" s="15" t="str">
        <f aca="false">IF(COUNTIF(응답입력!CS32:CU32,"&lt;9")&gt;=2,AVERAGEIF(응답입력!CS32:CU32,"&lt;9"),"")</f>
        <v/>
      </c>
      <c r="X31" s="15" t="str">
        <f aca="false">IF(COUNTIF(응답입력!CV32:CX32,"&lt;9")&gt;=2,AVERAGEIF(응답입력!CV32:CX32,"&lt;9"),"")</f>
        <v/>
      </c>
      <c r="Y31" s="15" t="str">
        <f aca="false">IF(COUNTIF(응답입력!CY32:DA32,"&lt;9")&gt;=2,AVERAGEIF(응답입력!CY32:DA32,"&lt;9"),"")</f>
        <v/>
      </c>
      <c r="Z31" s="15" t="str">
        <f aca="false">IF(COUNTIF(응답입력!DB32:DD32,"&lt;9")&gt;=2,AVERAGEIF(응답입력!DB32:DD32,"&lt;9"),"")</f>
        <v/>
      </c>
      <c r="AA31" s="22" t="str">
        <f aca="false">IFERROR(AVERAGE(B31:Z31),"")</f>
        <v/>
      </c>
    </row>
    <row r="32" customFormat="false" ht="15" hidden="false" customHeight="false" outlineLevel="0" collapsed="false">
      <c r="A32" s="16" t="str">
        <f aca="false">IF(응답입력!A33="","",응답입력!A33)</f>
        <v/>
      </c>
      <c r="B32" s="15" t="str">
        <f aca="false">IF(COUNTIF(응답입력!AH33:AJ33,"&lt;9")&gt;=2,AVERAGEIF(응답입력!AH33:AJ33,"&lt;9"),"")</f>
        <v/>
      </c>
      <c r="C32" s="15" t="str">
        <f aca="false">IF(COUNTIF(응답입력!AK33:AM33,"&lt;9")&gt;=2,AVERAGEIF(응답입력!AK33:AM33,"&lt;9"),"")</f>
        <v/>
      </c>
      <c r="D32" s="15" t="str">
        <f aca="false">IF(COUNTIF(응답입력!AN33:AP33,"&lt;9")&gt;=2,AVERAGEIF(응답입력!AN33:AP33,"&lt;9"),"")</f>
        <v/>
      </c>
      <c r="E32" s="15" t="str">
        <f aca="false">IF(COUNTIF(응답입력!AQ33:AS33,"&lt;9")&gt;=2,AVERAGEIF(응답입력!AQ33:AS33,"&lt;9"),"")</f>
        <v/>
      </c>
      <c r="F32" s="15" t="str">
        <f aca="false">IF(COUNTIF(응답입력!AT33:AV33,"&lt;9")&gt;=2,AVERAGEIF(응답입력!AT33:AV33,"&lt;9"),"")</f>
        <v/>
      </c>
      <c r="G32" s="15" t="str">
        <f aca="false">IF(COUNTIF(응답입력!AW33:AY33,"&lt;9")&gt;=2,AVERAGEIF(응답입력!AW33:AY33,"&lt;9"),"")</f>
        <v/>
      </c>
      <c r="H32" s="15" t="str">
        <f aca="false">IF(COUNTIF(응답입력!AZ33:BB33,"&lt;9")&gt;=2,AVERAGEIF(응답입력!AZ33:BB33,"&lt;9"),"")</f>
        <v/>
      </c>
      <c r="I32" s="15" t="str">
        <f aca="false">IF(COUNTIF(응답입력!BC33:BE33,"&lt;9")&gt;=2,AVERAGEIF(응답입력!BC33:BE33,"&lt;9"),"")</f>
        <v/>
      </c>
      <c r="J32" s="15" t="str">
        <f aca="false">IF(COUNTIF(응답입력!BF33:BH33,"&lt;9")&gt;=2,AVERAGEIF(응답입력!BF33:BH33,"&lt;9"),"")</f>
        <v/>
      </c>
      <c r="K32" s="15" t="str">
        <f aca="false">IF(COUNTIF(응답입력!BI33:BK33,"&lt;9")&gt;=2,AVERAGEIF(응답입력!BI33:BK33,"&lt;9"),"")</f>
        <v/>
      </c>
      <c r="L32" s="15" t="str">
        <f aca="false">IF(COUNTIF(응답입력!BL33:BN33,"&lt;9")&gt;=2,AVERAGEIF(응답입력!BL33:BN33,"&lt;9"),"")</f>
        <v/>
      </c>
      <c r="M32" s="15" t="str">
        <f aca="false">IF(COUNTIF(응답입력!BO33:BQ33,"&lt;9")&gt;=2,AVERAGEIF(응답입력!BO33:BQ33,"&lt;9"),"")</f>
        <v/>
      </c>
      <c r="N32" s="15" t="str">
        <f aca="false">IF(COUNTIF(응답입력!BR33:BT33,"&lt;9")&gt;=2,AVERAGEIF(응답입력!BR33:BT33,"&lt;9"),"")</f>
        <v/>
      </c>
      <c r="O32" s="15" t="str">
        <f aca="false">IF(COUNTIF(응답입력!BU33:BW33,"&lt;9")&gt;=2,AVERAGEIF(응답입력!BU33:BW33,"&lt;9"),"")</f>
        <v/>
      </c>
      <c r="P32" s="15" t="str">
        <f aca="false">IF(COUNTIF(응답입력!BX33:BZ33,"&lt;9")&gt;=2,AVERAGEIF(응답입력!BX33:BZ33,"&lt;9"),"")</f>
        <v/>
      </c>
      <c r="Q32" s="15" t="str">
        <f aca="false">IF(COUNTIF(응답입력!CA33:CC33,"&lt;9")&gt;=2,AVERAGEIF(응답입력!CA33:CC33,"&lt;9"),"")</f>
        <v/>
      </c>
      <c r="R32" s="15" t="str">
        <f aca="false">IF(COUNTIF(응답입력!CD33:CF33,"&lt;9")&gt;=2,AVERAGEIF(응답입력!CD33:CF33,"&lt;9"),"")</f>
        <v/>
      </c>
      <c r="S32" s="15" t="str">
        <f aca="false">IF(COUNTIF(응답입력!CG33:CI33,"&lt;9")&gt;=2,AVERAGEIF(응답입력!CG33:CI33,"&lt;9"),"")</f>
        <v/>
      </c>
      <c r="T32" s="15" t="str">
        <f aca="false">IF(COUNTIF(응답입력!CJ33:CL33,"&lt;9")&gt;=2,AVERAGEIF(응답입력!CJ33:CL33,"&lt;9"),"")</f>
        <v/>
      </c>
      <c r="U32" s="15" t="str">
        <f aca="false">IF(COUNTIF(응답입력!CM33:CO33,"&lt;9")&gt;=2,AVERAGEIF(응답입력!CM33:CO33,"&lt;9"),"")</f>
        <v/>
      </c>
      <c r="V32" s="15" t="str">
        <f aca="false">IF(COUNTIF(응답입력!CP33:CR33,"&lt;9")&gt;=2,AVERAGEIF(응답입력!CP33:CR33,"&lt;9"),"")</f>
        <v/>
      </c>
      <c r="W32" s="15" t="str">
        <f aca="false">IF(COUNTIF(응답입력!CS33:CU33,"&lt;9")&gt;=2,AVERAGEIF(응답입력!CS33:CU33,"&lt;9"),"")</f>
        <v/>
      </c>
      <c r="X32" s="15" t="str">
        <f aca="false">IF(COUNTIF(응답입력!CV33:CX33,"&lt;9")&gt;=2,AVERAGEIF(응답입력!CV33:CX33,"&lt;9"),"")</f>
        <v/>
      </c>
      <c r="Y32" s="15" t="str">
        <f aca="false">IF(COUNTIF(응답입력!CY33:DA33,"&lt;9")&gt;=2,AVERAGEIF(응답입력!CY33:DA33,"&lt;9"),"")</f>
        <v/>
      </c>
      <c r="Z32" s="15" t="str">
        <f aca="false">IF(COUNTIF(응답입력!DB33:DD33,"&lt;9")&gt;=2,AVERAGEIF(응답입력!DB33:DD33,"&lt;9"),"")</f>
        <v/>
      </c>
      <c r="AA32" s="22" t="str">
        <f aca="false">IFERROR(AVERAGE(B32:Z32),"")</f>
        <v/>
      </c>
    </row>
    <row r="33" customFormat="false" ht="15" hidden="false" customHeight="false" outlineLevel="0" collapsed="false">
      <c r="A33" s="16" t="str">
        <f aca="false">IF(응답입력!A34="","",응답입력!A34)</f>
        <v/>
      </c>
      <c r="B33" s="15" t="str">
        <f aca="false">IF(COUNTIF(응답입력!AH34:AJ34,"&lt;9")&gt;=2,AVERAGEIF(응답입력!AH34:AJ34,"&lt;9"),"")</f>
        <v/>
      </c>
      <c r="C33" s="15" t="str">
        <f aca="false">IF(COUNTIF(응답입력!AK34:AM34,"&lt;9")&gt;=2,AVERAGEIF(응답입력!AK34:AM34,"&lt;9"),"")</f>
        <v/>
      </c>
      <c r="D33" s="15" t="str">
        <f aca="false">IF(COUNTIF(응답입력!AN34:AP34,"&lt;9")&gt;=2,AVERAGEIF(응답입력!AN34:AP34,"&lt;9"),"")</f>
        <v/>
      </c>
      <c r="E33" s="15" t="str">
        <f aca="false">IF(COUNTIF(응답입력!AQ34:AS34,"&lt;9")&gt;=2,AVERAGEIF(응답입력!AQ34:AS34,"&lt;9"),"")</f>
        <v/>
      </c>
      <c r="F33" s="15" t="str">
        <f aca="false">IF(COUNTIF(응답입력!AT34:AV34,"&lt;9")&gt;=2,AVERAGEIF(응답입력!AT34:AV34,"&lt;9"),"")</f>
        <v/>
      </c>
      <c r="G33" s="15" t="str">
        <f aca="false">IF(COUNTIF(응답입력!AW34:AY34,"&lt;9")&gt;=2,AVERAGEIF(응답입력!AW34:AY34,"&lt;9"),"")</f>
        <v/>
      </c>
      <c r="H33" s="15" t="str">
        <f aca="false">IF(COUNTIF(응답입력!AZ34:BB34,"&lt;9")&gt;=2,AVERAGEIF(응답입력!AZ34:BB34,"&lt;9"),"")</f>
        <v/>
      </c>
      <c r="I33" s="15" t="str">
        <f aca="false">IF(COUNTIF(응답입력!BC34:BE34,"&lt;9")&gt;=2,AVERAGEIF(응답입력!BC34:BE34,"&lt;9"),"")</f>
        <v/>
      </c>
      <c r="J33" s="15" t="str">
        <f aca="false">IF(COUNTIF(응답입력!BF34:BH34,"&lt;9")&gt;=2,AVERAGEIF(응답입력!BF34:BH34,"&lt;9"),"")</f>
        <v/>
      </c>
      <c r="K33" s="15" t="str">
        <f aca="false">IF(COUNTIF(응답입력!BI34:BK34,"&lt;9")&gt;=2,AVERAGEIF(응답입력!BI34:BK34,"&lt;9"),"")</f>
        <v/>
      </c>
      <c r="L33" s="15" t="str">
        <f aca="false">IF(COUNTIF(응답입력!BL34:BN34,"&lt;9")&gt;=2,AVERAGEIF(응답입력!BL34:BN34,"&lt;9"),"")</f>
        <v/>
      </c>
      <c r="M33" s="15" t="str">
        <f aca="false">IF(COUNTIF(응답입력!BO34:BQ34,"&lt;9")&gt;=2,AVERAGEIF(응답입력!BO34:BQ34,"&lt;9"),"")</f>
        <v/>
      </c>
      <c r="N33" s="15" t="str">
        <f aca="false">IF(COUNTIF(응답입력!BR34:BT34,"&lt;9")&gt;=2,AVERAGEIF(응답입력!BR34:BT34,"&lt;9"),"")</f>
        <v/>
      </c>
      <c r="O33" s="15" t="str">
        <f aca="false">IF(COUNTIF(응답입력!BU34:BW34,"&lt;9")&gt;=2,AVERAGEIF(응답입력!BU34:BW34,"&lt;9"),"")</f>
        <v/>
      </c>
      <c r="P33" s="15" t="str">
        <f aca="false">IF(COUNTIF(응답입력!BX34:BZ34,"&lt;9")&gt;=2,AVERAGEIF(응답입력!BX34:BZ34,"&lt;9"),"")</f>
        <v/>
      </c>
      <c r="Q33" s="15" t="str">
        <f aca="false">IF(COUNTIF(응답입력!CA34:CC34,"&lt;9")&gt;=2,AVERAGEIF(응답입력!CA34:CC34,"&lt;9"),"")</f>
        <v/>
      </c>
      <c r="R33" s="15" t="str">
        <f aca="false">IF(COUNTIF(응답입력!CD34:CF34,"&lt;9")&gt;=2,AVERAGEIF(응답입력!CD34:CF34,"&lt;9"),"")</f>
        <v/>
      </c>
      <c r="S33" s="15" t="str">
        <f aca="false">IF(COUNTIF(응답입력!CG34:CI34,"&lt;9")&gt;=2,AVERAGEIF(응답입력!CG34:CI34,"&lt;9"),"")</f>
        <v/>
      </c>
      <c r="T33" s="15" t="str">
        <f aca="false">IF(COUNTIF(응답입력!CJ34:CL34,"&lt;9")&gt;=2,AVERAGEIF(응답입력!CJ34:CL34,"&lt;9"),"")</f>
        <v/>
      </c>
      <c r="U33" s="15" t="str">
        <f aca="false">IF(COUNTIF(응답입력!CM34:CO34,"&lt;9")&gt;=2,AVERAGEIF(응답입력!CM34:CO34,"&lt;9"),"")</f>
        <v/>
      </c>
      <c r="V33" s="15" t="str">
        <f aca="false">IF(COUNTIF(응답입력!CP34:CR34,"&lt;9")&gt;=2,AVERAGEIF(응답입력!CP34:CR34,"&lt;9"),"")</f>
        <v/>
      </c>
      <c r="W33" s="15" t="str">
        <f aca="false">IF(COUNTIF(응답입력!CS34:CU34,"&lt;9")&gt;=2,AVERAGEIF(응답입력!CS34:CU34,"&lt;9"),"")</f>
        <v/>
      </c>
      <c r="X33" s="15" t="str">
        <f aca="false">IF(COUNTIF(응답입력!CV34:CX34,"&lt;9")&gt;=2,AVERAGEIF(응답입력!CV34:CX34,"&lt;9"),"")</f>
        <v/>
      </c>
      <c r="Y33" s="15" t="str">
        <f aca="false">IF(COUNTIF(응답입력!CY34:DA34,"&lt;9")&gt;=2,AVERAGEIF(응답입력!CY34:DA34,"&lt;9"),"")</f>
        <v/>
      </c>
      <c r="Z33" s="15" t="str">
        <f aca="false">IF(COUNTIF(응답입력!DB34:DD34,"&lt;9")&gt;=2,AVERAGEIF(응답입력!DB34:DD34,"&lt;9"),"")</f>
        <v/>
      </c>
      <c r="AA33" s="22" t="str">
        <f aca="false">IFERROR(AVERAGE(B33:Z33),"")</f>
        <v/>
      </c>
    </row>
    <row r="34" customFormat="false" ht="15" hidden="false" customHeight="false" outlineLevel="0" collapsed="false">
      <c r="A34" s="16" t="str">
        <f aca="false">IF(응답입력!A35="","",응답입력!A35)</f>
        <v/>
      </c>
      <c r="B34" s="15" t="str">
        <f aca="false">IF(COUNTIF(응답입력!AH35:AJ35,"&lt;9")&gt;=2,AVERAGEIF(응답입력!AH35:AJ35,"&lt;9"),"")</f>
        <v/>
      </c>
      <c r="C34" s="15" t="str">
        <f aca="false">IF(COUNTIF(응답입력!AK35:AM35,"&lt;9")&gt;=2,AVERAGEIF(응답입력!AK35:AM35,"&lt;9"),"")</f>
        <v/>
      </c>
      <c r="D34" s="15" t="str">
        <f aca="false">IF(COUNTIF(응답입력!AN35:AP35,"&lt;9")&gt;=2,AVERAGEIF(응답입력!AN35:AP35,"&lt;9"),"")</f>
        <v/>
      </c>
      <c r="E34" s="15" t="str">
        <f aca="false">IF(COUNTIF(응답입력!AQ35:AS35,"&lt;9")&gt;=2,AVERAGEIF(응답입력!AQ35:AS35,"&lt;9"),"")</f>
        <v/>
      </c>
      <c r="F34" s="15" t="str">
        <f aca="false">IF(COUNTIF(응답입력!AT35:AV35,"&lt;9")&gt;=2,AVERAGEIF(응답입력!AT35:AV35,"&lt;9"),"")</f>
        <v/>
      </c>
      <c r="G34" s="15" t="str">
        <f aca="false">IF(COUNTIF(응답입력!AW35:AY35,"&lt;9")&gt;=2,AVERAGEIF(응답입력!AW35:AY35,"&lt;9"),"")</f>
        <v/>
      </c>
      <c r="H34" s="15" t="str">
        <f aca="false">IF(COUNTIF(응답입력!AZ35:BB35,"&lt;9")&gt;=2,AVERAGEIF(응답입력!AZ35:BB35,"&lt;9"),"")</f>
        <v/>
      </c>
      <c r="I34" s="15" t="str">
        <f aca="false">IF(COUNTIF(응답입력!BC35:BE35,"&lt;9")&gt;=2,AVERAGEIF(응답입력!BC35:BE35,"&lt;9"),"")</f>
        <v/>
      </c>
      <c r="J34" s="15" t="str">
        <f aca="false">IF(COUNTIF(응답입력!BF35:BH35,"&lt;9")&gt;=2,AVERAGEIF(응답입력!BF35:BH35,"&lt;9"),"")</f>
        <v/>
      </c>
      <c r="K34" s="15" t="str">
        <f aca="false">IF(COUNTIF(응답입력!BI35:BK35,"&lt;9")&gt;=2,AVERAGEIF(응답입력!BI35:BK35,"&lt;9"),"")</f>
        <v/>
      </c>
      <c r="L34" s="15" t="str">
        <f aca="false">IF(COUNTIF(응답입력!BL35:BN35,"&lt;9")&gt;=2,AVERAGEIF(응답입력!BL35:BN35,"&lt;9"),"")</f>
        <v/>
      </c>
      <c r="M34" s="15" t="str">
        <f aca="false">IF(COUNTIF(응답입력!BO35:BQ35,"&lt;9")&gt;=2,AVERAGEIF(응답입력!BO35:BQ35,"&lt;9"),"")</f>
        <v/>
      </c>
      <c r="N34" s="15" t="str">
        <f aca="false">IF(COUNTIF(응답입력!BR35:BT35,"&lt;9")&gt;=2,AVERAGEIF(응답입력!BR35:BT35,"&lt;9"),"")</f>
        <v/>
      </c>
      <c r="O34" s="15" t="str">
        <f aca="false">IF(COUNTIF(응답입력!BU35:BW35,"&lt;9")&gt;=2,AVERAGEIF(응답입력!BU35:BW35,"&lt;9"),"")</f>
        <v/>
      </c>
      <c r="P34" s="15" t="str">
        <f aca="false">IF(COUNTIF(응답입력!BX35:BZ35,"&lt;9")&gt;=2,AVERAGEIF(응답입력!BX35:BZ35,"&lt;9"),"")</f>
        <v/>
      </c>
      <c r="Q34" s="15" t="str">
        <f aca="false">IF(COUNTIF(응답입력!CA35:CC35,"&lt;9")&gt;=2,AVERAGEIF(응답입력!CA35:CC35,"&lt;9"),"")</f>
        <v/>
      </c>
      <c r="R34" s="15" t="str">
        <f aca="false">IF(COUNTIF(응답입력!CD35:CF35,"&lt;9")&gt;=2,AVERAGEIF(응답입력!CD35:CF35,"&lt;9"),"")</f>
        <v/>
      </c>
      <c r="S34" s="15" t="str">
        <f aca="false">IF(COUNTIF(응답입력!CG35:CI35,"&lt;9")&gt;=2,AVERAGEIF(응답입력!CG35:CI35,"&lt;9"),"")</f>
        <v/>
      </c>
      <c r="T34" s="15" t="str">
        <f aca="false">IF(COUNTIF(응답입력!CJ35:CL35,"&lt;9")&gt;=2,AVERAGEIF(응답입력!CJ35:CL35,"&lt;9"),"")</f>
        <v/>
      </c>
      <c r="U34" s="15" t="str">
        <f aca="false">IF(COUNTIF(응답입력!CM35:CO35,"&lt;9")&gt;=2,AVERAGEIF(응답입력!CM35:CO35,"&lt;9"),"")</f>
        <v/>
      </c>
      <c r="V34" s="15" t="str">
        <f aca="false">IF(COUNTIF(응답입력!CP35:CR35,"&lt;9")&gt;=2,AVERAGEIF(응답입력!CP35:CR35,"&lt;9"),"")</f>
        <v/>
      </c>
      <c r="W34" s="15" t="str">
        <f aca="false">IF(COUNTIF(응답입력!CS35:CU35,"&lt;9")&gt;=2,AVERAGEIF(응답입력!CS35:CU35,"&lt;9"),"")</f>
        <v/>
      </c>
      <c r="X34" s="15" t="str">
        <f aca="false">IF(COUNTIF(응답입력!CV35:CX35,"&lt;9")&gt;=2,AVERAGEIF(응답입력!CV35:CX35,"&lt;9"),"")</f>
        <v/>
      </c>
      <c r="Y34" s="15" t="str">
        <f aca="false">IF(COUNTIF(응답입력!CY35:DA35,"&lt;9")&gt;=2,AVERAGEIF(응답입력!CY35:DA35,"&lt;9"),"")</f>
        <v/>
      </c>
      <c r="Z34" s="15" t="str">
        <f aca="false">IF(COUNTIF(응답입력!DB35:DD35,"&lt;9")&gt;=2,AVERAGEIF(응답입력!DB35:DD35,"&lt;9"),"")</f>
        <v/>
      </c>
      <c r="AA34" s="22" t="str">
        <f aca="false">IFERROR(AVERAGE(B34:Z34),"")</f>
        <v/>
      </c>
    </row>
    <row r="35" customFormat="false" ht="15" hidden="false" customHeight="false" outlineLevel="0" collapsed="false">
      <c r="A35" s="16" t="str">
        <f aca="false">IF(응답입력!A36="","",응답입력!A36)</f>
        <v/>
      </c>
      <c r="B35" s="15" t="str">
        <f aca="false">IF(COUNTIF(응답입력!AH36:AJ36,"&lt;9")&gt;=2,AVERAGEIF(응답입력!AH36:AJ36,"&lt;9"),"")</f>
        <v/>
      </c>
      <c r="C35" s="15" t="str">
        <f aca="false">IF(COUNTIF(응답입력!AK36:AM36,"&lt;9")&gt;=2,AVERAGEIF(응답입력!AK36:AM36,"&lt;9"),"")</f>
        <v/>
      </c>
      <c r="D35" s="15" t="str">
        <f aca="false">IF(COUNTIF(응답입력!AN36:AP36,"&lt;9")&gt;=2,AVERAGEIF(응답입력!AN36:AP36,"&lt;9"),"")</f>
        <v/>
      </c>
      <c r="E35" s="15" t="str">
        <f aca="false">IF(COUNTIF(응답입력!AQ36:AS36,"&lt;9")&gt;=2,AVERAGEIF(응답입력!AQ36:AS36,"&lt;9"),"")</f>
        <v/>
      </c>
      <c r="F35" s="15" t="str">
        <f aca="false">IF(COUNTIF(응답입력!AT36:AV36,"&lt;9")&gt;=2,AVERAGEIF(응답입력!AT36:AV36,"&lt;9"),"")</f>
        <v/>
      </c>
      <c r="G35" s="15" t="str">
        <f aca="false">IF(COUNTIF(응답입력!AW36:AY36,"&lt;9")&gt;=2,AVERAGEIF(응답입력!AW36:AY36,"&lt;9"),"")</f>
        <v/>
      </c>
      <c r="H35" s="15" t="str">
        <f aca="false">IF(COUNTIF(응답입력!AZ36:BB36,"&lt;9")&gt;=2,AVERAGEIF(응답입력!AZ36:BB36,"&lt;9"),"")</f>
        <v/>
      </c>
      <c r="I35" s="15" t="str">
        <f aca="false">IF(COUNTIF(응답입력!BC36:BE36,"&lt;9")&gt;=2,AVERAGEIF(응답입력!BC36:BE36,"&lt;9"),"")</f>
        <v/>
      </c>
      <c r="J35" s="15" t="str">
        <f aca="false">IF(COUNTIF(응답입력!BF36:BH36,"&lt;9")&gt;=2,AVERAGEIF(응답입력!BF36:BH36,"&lt;9"),"")</f>
        <v/>
      </c>
      <c r="K35" s="15" t="str">
        <f aca="false">IF(COUNTIF(응답입력!BI36:BK36,"&lt;9")&gt;=2,AVERAGEIF(응답입력!BI36:BK36,"&lt;9"),"")</f>
        <v/>
      </c>
      <c r="L35" s="15" t="str">
        <f aca="false">IF(COUNTIF(응답입력!BL36:BN36,"&lt;9")&gt;=2,AVERAGEIF(응답입력!BL36:BN36,"&lt;9"),"")</f>
        <v/>
      </c>
      <c r="M35" s="15" t="str">
        <f aca="false">IF(COUNTIF(응답입력!BO36:BQ36,"&lt;9")&gt;=2,AVERAGEIF(응답입력!BO36:BQ36,"&lt;9"),"")</f>
        <v/>
      </c>
      <c r="N35" s="15" t="str">
        <f aca="false">IF(COUNTIF(응답입력!BR36:BT36,"&lt;9")&gt;=2,AVERAGEIF(응답입력!BR36:BT36,"&lt;9"),"")</f>
        <v/>
      </c>
      <c r="O35" s="15" t="str">
        <f aca="false">IF(COUNTIF(응답입력!BU36:BW36,"&lt;9")&gt;=2,AVERAGEIF(응답입력!BU36:BW36,"&lt;9"),"")</f>
        <v/>
      </c>
      <c r="P35" s="15" t="str">
        <f aca="false">IF(COUNTIF(응답입력!BX36:BZ36,"&lt;9")&gt;=2,AVERAGEIF(응답입력!BX36:BZ36,"&lt;9"),"")</f>
        <v/>
      </c>
      <c r="Q35" s="15" t="str">
        <f aca="false">IF(COUNTIF(응답입력!CA36:CC36,"&lt;9")&gt;=2,AVERAGEIF(응답입력!CA36:CC36,"&lt;9"),"")</f>
        <v/>
      </c>
      <c r="R35" s="15" t="str">
        <f aca="false">IF(COUNTIF(응답입력!CD36:CF36,"&lt;9")&gt;=2,AVERAGEIF(응답입력!CD36:CF36,"&lt;9"),"")</f>
        <v/>
      </c>
      <c r="S35" s="15" t="str">
        <f aca="false">IF(COUNTIF(응답입력!CG36:CI36,"&lt;9")&gt;=2,AVERAGEIF(응답입력!CG36:CI36,"&lt;9"),"")</f>
        <v/>
      </c>
      <c r="T35" s="15" t="str">
        <f aca="false">IF(COUNTIF(응답입력!CJ36:CL36,"&lt;9")&gt;=2,AVERAGEIF(응답입력!CJ36:CL36,"&lt;9"),"")</f>
        <v/>
      </c>
      <c r="U35" s="15" t="str">
        <f aca="false">IF(COUNTIF(응답입력!CM36:CO36,"&lt;9")&gt;=2,AVERAGEIF(응답입력!CM36:CO36,"&lt;9"),"")</f>
        <v/>
      </c>
      <c r="V35" s="15" t="str">
        <f aca="false">IF(COUNTIF(응답입력!CP36:CR36,"&lt;9")&gt;=2,AVERAGEIF(응답입력!CP36:CR36,"&lt;9"),"")</f>
        <v/>
      </c>
      <c r="W35" s="15" t="str">
        <f aca="false">IF(COUNTIF(응답입력!CS36:CU36,"&lt;9")&gt;=2,AVERAGEIF(응답입력!CS36:CU36,"&lt;9"),"")</f>
        <v/>
      </c>
      <c r="X35" s="15" t="str">
        <f aca="false">IF(COUNTIF(응답입력!CV36:CX36,"&lt;9")&gt;=2,AVERAGEIF(응답입력!CV36:CX36,"&lt;9"),"")</f>
        <v/>
      </c>
      <c r="Y35" s="15" t="str">
        <f aca="false">IF(COUNTIF(응답입력!CY36:DA36,"&lt;9")&gt;=2,AVERAGEIF(응답입력!CY36:DA36,"&lt;9"),"")</f>
        <v/>
      </c>
      <c r="Z35" s="15" t="str">
        <f aca="false">IF(COUNTIF(응답입력!DB36:DD36,"&lt;9")&gt;=2,AVERAGEIF(응답입력!DB36:DD36,"&lt;9"),"")</f>
        <v/>
      </c>
      <c r="AA35" s="22" t="str">
        <f aca="false">IFERROR(AVERAGE(B35:Z35),"")</f>
        <v/>
      </c>
    </row>
    <row r="36" customFormat="false" ht="15" hidden="false" customHeight="false" outlineLevel="0" collapsed="false">
      <c r="A36" s="16" t="str">
        <f aca="false">IF(응답입력!A37="","",응답입력!A37)</f>
        <v/>
      </c>
      <c r="B36" s="15" t="str">
        <f aca="false">IF(COUNTIF(응답입력!AH37:AJ37,"&lt;9")&gt;=2,AVERAGEIF(응답입력!AH37:AJ37,"&lt;9"),"")</f>
        <v/>
      </c>
      <c r="C36" s="15" t="str">
        <f aca="false">IF(COUNTIF(응답입력!AK37:AM37,"&lt;9")&gt;=2,AVERAGEIF(응답입력!AK37:AM37,"&lt;9"),"")</f>
        <v/>
      </c>
      <c r="D36" s="15" t="str">
        <f aca="false">IF(COUNTIF(응답입력!AN37:AP37,"&lt;9")&gt;=2,AVERAGEIF(응답입력!AN37:AP37,"&lt;9"),"")</f>
        <v/>
      </c>
      <c r="E36" s="15" t="str">
        <f aca="false">IF(COUNTIF(응답입력!AQ37:AS37,"&lt;9")&gt;=2,AVERAGEIF(응답입력!AQ37:AS37,"&lt;9"),"")</f>
        <v/>
      </c>
      <c r="F36" s="15" t="str">
        <f aca="false">IF(COUNTIF(응답입력!AT37:AV37,"&lt;9")&gt;=2,AVERAGEIF(응답입력!AT37:AV37,"&lt;9"),"")</f>
        <v/>
      </c>
      <c r="G36" s="15" t="str">
        <f aca="false">IF(COUNTIF(응답입력!AW37:AY37,"&lt;9")&gt;=2,AVERAGEIF(응답입력!AW37:AY37,"&lt;9"),"")</f>
        <v/>
      </c>
      <c r="H36" s="15" t="str">
        <f aca="false">IF(COUNTIF(응답입력!AZ37:BB37,"&lt;9")&gt;=2,AVERAGEIF(응답입력!AZ37:BB37,"&lt;9"),"")</f>
        <v/>
      </c>
      <c r="I36" s="15" t="str">
        <f aca="false">IF(COUNTIF(응답입력!BC37:BE37,"&lt;9")&gt;=2,AVERAGEIF(응답입력!BC37:BE37,"&lt;9"),"")</f>
        <v/>
      </c>
      <c r="J36" s="15" t="str">
        <f aca="false">IF(COUNTIF(응답입력!BF37:BH37,"&lt;9")&gt;=2,AVERAGEIF(응답입력!BF37:BH37,"&lt;9"),"")</f>
        <v/>
      </c>
      <c r="K36" s="15" t="str">
        <f aca="false">IF(COUNTIF(응답입력!BI37:BK37,"&lt;9")&gt;=2,AVERAGEIF(응답입력!BI37:BK37,"&lt;9"),"")</f>
        <v/>
      </c>
      <c r="L36" s="15" t="str">
        <f aca="false">IF(COUNTIF(응답입력!BL37:BN37,"&lt;9")&gt;=2,AVERAGEIF(응답입력!BL37:BN37,"&lt;9"),"")</f>
        <v/>
      </c>
      <c r="M36" s="15" t="str">
        <f aca="false">IF(COUNTIF(응답입력!BO37:BQ37,"&lt;9")&gt;=2,AVERAGEIF(응답입력!BO37:BQ37,"&lt;9"),"")</f>
        <v/>
      </c>
      <c r="N36" s="15" t="str">
        <f aca="false">IF(COUNTIF(응답입력!BR37:BT37,"&lt;9")&gt;=2,AVERAGEIF(응답입력!BR37:BT37,"&lt;9"),"")</f>
        <v/>
      </c>
      <c r="O36" s="15" t="str">
        <f aca="false">IF(COUNTIF(응답입력!BU37:BW37,"&lt;9")&gt;=2,AVERAGEIF(응답입력!BU37:BW37,"&lt;9"),"")</f>
        <v/>
      </c>
      <c r="P36" s="15" t="str">
        <f aca="false">IF(COUNTIF(응답입력!BX37:BZ37,"&lt;9")&gt;=2,AVERAGEIF(응답입력!BX37:BZ37,"&lt;9"),"")</f>
        <v/>
      </c>
      <c r="Q36" s="15" t="str">
        <f aca="false">IF(COUNTIF(응답입력!CA37:CC37,"&lt;9")&gt;=2,AVERAGEIF(응답입력!CA37:CC37,"&lt;9"),"")</f>
        <v/>
      </c>
      <c r="R36" s="15" t="str">
        <f aca="false">IF(COUNTIF(응답입력!CD37:CF37,"&lt;9")&gt;=2,AVERAGEIF(응답입력!CD37:CF37,"&lt;9"),"")</f>
        <v/>
      </c>
      <c r="S36" s="15" t="str">
        <f aca="false">IF(COUNTIF(응답입력!CG37:CI37,"&lt;9")&gt;=2,AVERAGEIF(응답입력!CG37:CI37,"&lt;9"),"")</f>
        <v/>
      </c>
      <c r="T36" s="15" t="str">
        <f aca="false">IF(COUNTIF(응답입력!CJ37:CL37,"&lt;9")&gt;=2,AVERAGEIF(응답입력!CJ37:CL37,"&lt;9"),"")</f>
        <v/>
      </c>
      <c r="U36" s="15" t="str">
        <f aca="false">IF(COUNTIF(응답입력!CM37:CO37,"&lt;9")&gt;=2,AVERAGEIF(응답입력!CM37:CO37,"&lt;9"),"")</f>
        <v/>
      </c>
      <c r="V36" s="15" t="str">
        <f aca="false">IF(COUNTIF(응답입력!CP37:CR37,"&lt;9")&gt;=2,AVERAGEIF(응답입력!CP37:CR37,"&lt;9"),"")</f>
        <v/>
      </c>
      <c r="W36" s="15" t="str">
        <f aca="false">IF(COUNTIF(응답입력!CS37:CU37,"&lt;9")&gt;=2,AVERAGEIF(응답입력!CS37:CU37,"&lt;9"),"")</f>
        <v/>
      </c>
      <c r="X36" s="15" t="str">
        <f aca="false">IF(COUNTIF(응답입력!CV37:CX37,"&lt;9")&gt;=2,AVERAGEIF(응답입력!CV37:CX37,"&lt;9"),"")</f>
        <v/>
      </c>
      <c r="Y36" s="15" t="str">
        <f aca="false">IF(COUNTIF(응답입력!CY37:DA37,"&lt;9")&gt;=2,AVERAGEIF(응답입력!CY37:DA37,"&lt;9"),"")</f>
        <v/>
      </c>
      <c r="Z36" s="15" t="str">
        <f aca="false">IF(COUNTIF(응답입력!DB37:DD37,"&lt;9")&gt;=2,AVERAGEIF(응답입력!DB37:DD37,"&lt;9"),"")</f>
        <v/>
      </c>
      <c r="AA36" s="22" t="str">
        <f aca="false">IFERROR(AVERAGE(B36:Z36),"")</f>
        <v/>
      </c>
    </row>
    <row r="37" customFormat="false" ht="15" hidden="false" customHeight="false" outlineLevel="0" collapsed="false">
      <c r="A37" s="16" t="str">
        <f aca="false">IF(응답입력!A38="","",응답입력!A38)</f>
        <v/>
      </c>
      <c r="B37" s="15" t="str">
        <f aca="false">IF(COUNTIF(응답입력!AH38:AJ38,"&lt;9")&gt;=2,AVERAGEIF(응답입력!AH38:AJ38,"&lt;9"),"")</f>
        <v/>
      </c>
      <c r="C37" s="15" t="str">
        <f aca="false">IF(COUNTIF(응답입력!AK38:AM38,"&lt;9")&gt;=2,AVERAGEIF(응답입력!AK38:AM38,"&lt;9"),"")</f>
        <v/>
      </c>
      <c r="D37" s="15" t="str">
        <f aca="false">IF(COUNTIF(응답입력!AN38:AP38,"&lt;9")&gt;=2,AVERAGEIF(응답입력!AN38:AP38,"&lt;9"),"")</f>
        <v/>
      </c>
      <c r="E37" s="15" t="str">
        <f aca="false">IF(COUNTIF(응답입력!AQ38:AS38,"&lt;9")&gt;=2,AVERAGEIF(응답입력!AQ38:AS38,"&lt;9"),"")</f>
        <v/>
      </c>
      <c r="F37" s="15" t="str">
        <f aca="false">IF(COUNTIF(응답입력!AT38:AV38,"&lt;9")&gt;=2,AVERAGEIF(응답입력!AT38:AV38,"&lt;9"),"")</f>
        <v/>
      </c>
      <c r="G37" s="15" t="str">
        <f aca="false">IF(COUNTIF(응답입력!AW38:AY38,"&lt;9")&gt;=2,AVERAGEIF(응답입력!AW38:AY38,"&lt;9"),"")</f>
        <v/>
      </c>
      <c r="H37" s="15" t="str">
        <f aca="false">IF(COUNTIF(응답입력!AZ38:BB38,"&lt;9")&gt;=2,AVERAGEIF(응답입력!AZ38:BB38,"&lt;9"),"")</f>
        <v/>
      </c>
      <c r="I37" s="15" t="str">
        <f aca="false">IF(COUNTIF(응답입력!BC38:BE38,"&lt;9")&gt;=2,AVERAGEIF(응답입력!BC38:BE38,"&lt;9"),"")</f>
        <v/>
      </c>
      <c r="J37" s="15" t="str">
        <f aca="false">IF(COUNTIF(응답입력!BF38:BH38,"&lt;9")&gt;=2,AVERAGEIF(응답입력!BF38:BH38,"&lt;9"),"")</f>
        <v/>
      </c>
      <c r="K37" s="15" t="str">
        <f aca="false">IF(COUNTIF(응답입력!BI38:BK38,"&lt;9")&gt;=2,AVERAGEIF(응답입력!BI38:BK38,"&lt;9"),"")</f>
        <v/>
      </c>
      <c r="L37" s="15" t="str">
        <f aca="false">IF(COUNTIF(응답입력!BL38:BN38,"&lt;9")&gt;=2,AVERAGEIF(응답입력!BL38:BN38,"&lt;9"),"")</f>
        <v/>
      </c>
      <c r="M37" s="15" t="str">
        <f aca="false">IF(COUNTIF(응답입력!BO38:BQ38,"&lt;9")&gt;=2,AVERAGEIF(응답입력!BO38:BQ38,"&lt;9"),"")</f>
        <v/>
      </c>
      <c r="N37" s="15" t="str">
        <f aca="false">IF(COUNTIF(응답입력!BR38:BT38,"&lt;9")&gt;=2,AVERAGEIF(응답입력!BR38:BT38,"&lt;9"),"")</f>
        <v/>
      </c>
      <c r="O37" s="15" t="str">
        <f aca="false">IF(COUNTIF(응답입력!BU38:BW38,"&lt;9")&gt;=2,AVERAGEIF(응답입력!BU38:BW38,"&lt;9"),"")</f>
        <v/>
      </c>
      <c r="P37" s="15" t="str">
        <f aca="false">IF(COUNTIF(응답입력!BX38:BZ38,"&lt;9")&gt;=2,AVERAGEIF(응답입력!BX38:BZ38,"&lt;9"),"")</f>
        <v/>
      </c>
      <c r="Q37" s="15" t="str">
        <f aca="false">IF(COUNTIF(응답입력!CA38:CC38,"&lt;9")&gt;=2,AVERAGEIF(응답입력!CA38:CC38,"&lt;9"),"")</f>
        <v/>
      </c>
      <c r="R37" s="15" t="str">
        <f aca="false">IF(COUNTIF(응답입력!CD38:CF38,"&lt;9")&gt;=2,AVERAGEIF(응답입력!CD38:CF38,"&lt;9"),"")</f>
        <v/>
      </c>
      <c r="S37" s="15" t="str">
        <f aca="false">IF(COUNTIF(응답입력!CG38:CI38,"&lt;9")&gt;=2,AVERAGEIF(응답입력!CG38:CI38,"&lt;9"),"")</f>
        <v/>
      </c>
      <c r="T37" s="15" t="str">
        <f aca="false">IF(COUNTIF(응답입력!CJ38:CL38,"&lt;9")&gt;=2,AVERAGEIF(응답입력!CJ38:CL38,"&lt;9"),"")</f>
        <v/>
      </c>
      <c r="U37" s="15" t="str">
        <f aca="false">IF(COUNTIF(응답입력!CM38:CO38,"&lt;9")&gt;=2,AVERAGEIF(응답입력!CM38:CO38,"&lt;9"),"")</f>
        <v/>
      </c>
      <c r="V37" s="15" t="str">
        <f aca="false">IF(COUNTIF(응답입력!CP38:CR38,"&lt;9")&gt;=2,AVERAGEIF(응답입력!CP38:CR38,"&lt;9"),"")</f>
        <v/>
      </c>
      <c r="W37" s="15" t="str">
        <f aca="false">IF(COUNTIF(응답입력!CS38:CU38,"&lt;9")&gt;=2,AVERAGEIF(응답입력!CS38:CU38,"&lt;9"),"")</f>
        <v/>
      </c>
      <c r="X37" s="15" t="str">
        <f aca="false">IF(COUNTIF(응답입력!CV38:CX38,"&lt;9")&gt;=2,AVERAGEIF(응답입력!CV38:CX38,"&lt;9"),"")</f>
        <v/>
      </c>
      <c r="Y37" s="15" t="str">
        <f aca="false">IF(COUNTIF(응답입력!CY38:DA38,"&lt;9")&gt;=2,AVERAGEIF(응답입력!CY38:DA38,"&lt;9"),"")</f>
        <v/>
      </c>
      <c r="Z37" s="15" t="str">
        <f aca="false">IF(COUNTIF(응답입력!DB38:DD38,"&lt;9")&gt;=2,AVERAGEIF(응답입력!DB38:DD38,"&lt;9"),"")</f>
        <v/>
      </c>
      <c r="AA37" s="22" t="str">
        <f aca="false">IFERROR(AVERAGE(B37:Z37),"")</f>
        <v/>
      </c>
    </row>
    <row r="38" customFormat="false" ht="15" hidden="false" customHeight="false" outlineLevel="0" collapsed="false">
      <c r="A38" s="16" t="str">
        <f aca="false">IF(응답입력!A39="","",응답입력!A39)</f>
        <v/>
      </c>
      <c r="B38" s="15" t="str">
        <f aca="false">IF(COUNTIF(응답입력!AH39:AJ39,"&lt;9")&gt;=2,AVERAGEIF(응답입력!AH39:AJ39,"&lt;9"),"")</f>
        <v/>
      </c>
      <c r="C38" s="15" t="str">
        <f aca="false">IF(COUNTIF(응답입력!AK39:AM39,"&lt;9")&gt;=2,AVERAGEIF(응답입력!AK39:AM39,"&lt;9"),"")</f>
        <v/>
      </c>
      <c r="D38" s="15" t="str">
        <f aca="false">IF(COUNTIF(응답입력!AN39:AP39,"&lt;9")&gt;=2,AVERAGEIF(응답입력!AN39:AP39,"&lt;9"),"")</f>
        <v/>
      </c>
      <c r="E38" s="15" t="str">
        <f aca="false">IF(COUNTIF(응답입력!AQ39:AS39,"&lt;9")&gt;=2,AVERAGEIF(응답입력!AQ39:AS39,"&lt;9"),"")</f>
        <v/>
      </c>
      <c r="F38" s="15" t="str">
        <f aca="false">IF(COUNTIF(응답입력!AT39:AV39,"&lt;9")&gt;=2,AVERAGEIF(응답입력!AT39:AV39,"&lt;9"),"")</f>
        <v/>
      </c>
      <c r="G38" s="15" t="str">
        <f aca="false">IF(COUNTIF(응답입력!AW39:AY39,"&lt;9")&gt;=2,AVERAGEIF(응답입력!AW39:AY39,"&lt;9"),"")</f>
        <v/>
      </c>
      <c r="H38" s="15" t="str">
        <f aca="false">IF(COUNTIF(응답입력!AZ39:BB39,"&lt;9")&gt;=2,AVERAGEIF(응답입력!AZ39:BB39,"&lt;9"),"")</f>
        <v/>
      </c>
      <c r="I38" s="15" t="str">
        <f aca="false">IF(COUNTIF(응답입력!BC39:BE39,"&lt;9")&gt;=2,AVERAGEIF(응답입력!BC39:BE39,"&lt;9"),"")</f>
        <v/>
      </c>
      <c r="J38" s="15" t="str">
        <f aca="false">IF(COUNTIF(응답입력!BF39:BH39,"&lt;9")&gt;=2,AVERAGEIF(응답입력!BF39:BH39,"&lt;9"),"")</f>
        <v/>
      </c>
      <c r="K38" s="15" t="str">
        <f aca="false">IF(COUNTIF(응답입력!BI39:BK39,"&lt;9")&gt;=2,AVERAGEIF(응답입력!BI39:BK39,"&lt;9"),"")</f>
        <v/>
      </c>
      <c r="L38" s="15" t="str">
        <f aca="false">IF(COUNTIF(응답입력!BL39:BN39,"&lt;9")&gt;=2,AVERAGEIF(응답입력!BL39:BN39,"&lt;9"),"")</f>
        <v/>
      </c>
      <c r="M38" s="15" t="str">
        <f aca="false">IF(COUNTIF(응답입력!BO39:BQ39,"&lt;9")&gt;=2,AVERAGEIF(응답입력!BO39:BQ39,"&lt;9"),"")</f>
        <v/>
      </c>
      <c r="N38" s="15" t="str">
        <f aca="false">IF(COUNTIF(응답입력!BR39:BT39,"&lt;9")&gt;=2,AVERAGEIF(응답입력!BR39:BT39,"&lt;9"),"")</f>
        <v/>
      </c>
      <c r="O38" s="15" t="str">
        <f aca="false">IF(COUNTIF(응답입력!BU39:BW39,"&lt;9")&gt;=2,AVERAGEIF(응답입력!BU39:BW39,"&lt;9"),"")</f>
        <v/>
      </c>
      <c r="P38" s="15" t="str">
        <f aca="false">IF(COUNTIF(응답입력!BX39:BZ39,"&lt;9")&gt;=2,AVERAGEIF(응답입력!BX39:BZ39,"&lt;9"),"")</f>
        <v/>
      </c>
      <c r="Q38" s="15" t="str">
        <f aca="false">IF(COUNTIF(응답입력!CA39:CC39,"&lt;9")&gt;=2,AVERAGEIF(응답입력!CA39:CC39,"&lt;9"),"")</f>
        <v/>
      </c>
      <c r="R38" s="15" t="str">
        <f aca="false">IF(COUNTIF(응답입력!CD39:CF39,"&lt;9")&gt;=2,AVERAGEIF(응답입력!CD39:CF39,"&lt;9"),"")</f>
        <v/>
      </c>
      <c r="S38" s="15" t="str">
        <f aca="false">IF(COUNTIF(응답입력!CG39:CI39,"&lt;9")&gt;=2,AVERAGEIF(응답입력!CG39:CI39,"&lt;9"),"")</f>
        <v/>
      </c>
      <c r="T38" s="15" t="str">
        <f aca="false">IF(COUNTIF(응답입력!CJ39:CL39,"&lt;9")&gt;=2,AVERAGEIF(응답입력!CJ39:CL39,"&lt;9"),"")</f>
        <v/>
      </c>
      <c r="U38" s="15" t="str">
        <f aca="false">IF(COUNTIF(응답입력!CM39:CO39,"&lt;9")&gt;=2,AVERAGEIF(응답입력!CM39:CO39,"&lt;9"),"")</f>
        <v/>
      </c>
      <c r="V38" s="15" t="str">
        <f aca="false">IF(COUNTIF(응답입력!CP39:CR39,"&lt;9")&gt;=2,AVERAGEIF(응답입력!CP39:CR39,"&lt;9"),"")</f>
        <v/>
      </c>
      <c r="W38" s="15" t="str">
        <f aca="false">IF(COUNTIF(응답입력!CS39:CU39,"&lt;9")&gt;=2,AVERAGEIF(응답입력!CS39:CU39,"&lt;9"),"")</f>
        <v/>
      </c>
      <c r="X38" s="15" t="str">
        <f aca="false">IF(COUNTIF(응답입력!CV39:CX39,"&lt;9")&gt;=2,AVERAGEIF(응답입력!CV39:CX39,"&lt;9"),"")</f>
        <v/>
      </c>
      <c r="Y38" s="15" t="str">
        <f aca="false">IF(COUNTIF(응답입력!CY39:DA39,"&lt;9")&gt;=2,AVERAGEIF(응답입력!CY39:DA39,"&lt;9"),"")</f>
        <v/>
      </c>
      <c r="Z38" s="15" t="str">
        <f aca="false">IF(COUNTIF(응답입력!DB39:DD39,"&lt;9")&gt;=2,AVERAGEIF(응답입력!DB39:DD39,"&lt;9"),"")</f>
        <v/>
      </c>
      <c r="AA38" s="22" t="str">
        <f aca="false">IFERROR(AVERAGE(B38:Z38),"")</f>
        <v/>
      </c>
    </row>
    <row r="39" customFormat="false" ht="15" hidden="false" customHeight="false" outlineLevel="0" collapsed="false">
      <c r="A39" s="16" t="str">
        <f aca="false">IF(응답입력!A40="","",응답입력!A40)</f>
        <v/>
      </c>
      <c r="B39" s="15" t="str">
        <f aca="false">IF(COUNTIF(응답입력!AH40:AJ40,"&lt;9")&gt;=2,AVERAGEIF(응답입력!AH40:AJ40,"&lt;9"),"")</f>
        <v/>
      </c>
      <c r="C39" s="15" t="str">
        <f aca="false">IF(COUNTIF(응답입력!AK40:AM40,"&lt;9")&gt;=2,AVERAGEIF(응답입력!AK40:AM40,"&lt;9"),"")</f>
        <v/>
      </c>
      <c r="D39" s="15" t="str">
        <f aca="false">IF(COUNTIF(응답입력!AN40:AP40,"&lt;9")&gt;=2,AVERAGEIF(응답입력!AN40:AP40,"&lt;9"),"")</f>
        <v/>
      </c>
      <c r="E39" s="15" t="str">
        <f aca="false">IF(COUNTIF(응답입력!AQ40:AS40,"&lt;9")&gt;=2,AVERAGEIF(응답입력!AQ40:AS40,"&lt;9"),"")</f>
        <v/>
      </c>
      <c r="F39" s="15" t="str">
        <f aca="false">IF(COUNTIF(응답입력!AT40:AV40,"&lt;9")&gt;=2,AVERAGEIF(응답입력!AT40:AV40,"&lt;9"),"")</f>
        <v/>
      </c>
      <c r="G39" s="15" t="str">
        <f aca="false">IF(COUNTIF(응답입력!AW40:AY40,"&lt;9")&gt;=2,AVERAGEIF(응답입력!AW40:AY40,"&lt;9"),"")</f>
        <v/>
      </c>
      <c r="H39" s="15" t="str">
        <f aca="false">IF(COUNTIF(응답입력!AZ40:BB40,"&lt;9")&gt;=2,AVERAGEIF(응답입력!AZ40:BB40,"&lt;9"),"")</f>
        <v/>
      </c>
      <c r="I39" s="15" t="str">
        <f aca="false">IF(COUNTIF(응답입력!BC40:BE40,"&lt;9")&gt;=2,AVERAGEIF(응답입력!BC40:BE40,"&lt;9"),"")</f>
        <v/>
      </c>
      <c r="J39" s="15" t="str">
        <f aca="false">IF(COUNTIF(응답입력!BF40:BH40,"&lt;9")&gt;=2,AVERAGEIF(응답입력!BF40:BH40,"&lt;9"),"")</f>
        <v/>
      </c>
      <c r="K39" s="15" t="str">
        <f aca="false">IF(COUNTIF(응답입력!BI40:BK40,"&lt;9")&gt;=2,AVERAGEIF(응답입력!BI40:BK40,"&lt;9"),"")</f>
        <v/>
      </c>
      <c r="L39" s="15" t="str">
        <f aca="false">IF(COUNTIF(응답입력!BL40:BN40,"&lt;9")&gt;=2,AVERAGEIF(응답입력!BL40:BN40,"&lt;9"),"")</f>
        <v/>
      </c>
      <c r="M39" s="15" t="str">
        <f aca="false">IF(COUNTIF(응답입력!BO40:BQ40,"&lt;9")&gt;=2,AVERAGEIF(응답입력!BO40:BQ40,"&lt;9"),"")</f>
        <v/>
      </c>
      <c r="N39" s="15" t="str">
        <f aca="false">IF(COUNTIF(응답입력!BR40:BT40,"&lt;9")&gt;=2,AVERAGEIF(응답입력!BR40:BT40,"&lt;9"),"")</f>
        <v/>
      </c>
      <c r="O39" s="15" t="str">
        <f aca="false">IF(COUNTIF(응답입력!BU40:BW40,"&lt;9")&gt;=2,AVERAGEIF(응답입력!BU40:BW40,"&lt;9"),"")</f>
        <v/>
      </c>
      <c r="P39" s="15" t="str">
        <f aca="false">IF(COUNTIF(응답입력!BX40:BZ40,"&lt;9")&gt;=2,AVERAGEIF(응답입력!BX40:BZ40,"&lt;9"),"")</f>
        <v/>
      </c>
      <c r="Q39" s="15" t="str">
        <f aca="false">IF(COUNTIF(응답입력!CA40:CC40,"&lt;9")&gt;=2,AVERAGEIF(응답입력!CA40:CC40,"&lt;9"),"")</f>
        <v/>
      </c>
      <c r="R39" s="15" t="str">
        <f aca="false">IF(COUNTIF(응답입력!CD40:CF40,"&lt;9")&gt;=2,AVERAGEIF(응답입력!CD40:CF40,"&lt;9"),"")</f>
        <v/>
      </c>
      <c r="S39" s="15" t="str">
        <f aca="false">IF(COUNTIF(응답입력!CG40:CI40,"&lt;9")&gt;=2,AVERAGEIF(응답입력!CG40:CI40,"&lt;9"),"")</f>
        <v/>
      </c>
      <c r="T39" s="15" t="str">
        <f aca="false">IF(COUNTIF(응답입력!CJ40:CL40,"&lt;9")&gt;=2,AVERAGEIF(응답입력!CJ40:CL40,"&lt;9"),"")</f>
        <v/>
      </c>
      <c r="U39" s="15" t="str">
        <f aca="false">IF(COUNTIF(응답입력!CM40:CO40,"&lt;9")&gt;=2,AVERAGEIF(응답입력!CM40:CO40,"&lt;9"),"")</f>
        <v/>
      </c>
      <c r="V39" s="15" t="str">
        <f aca="false">IF(COUNTIF(응답입력!CP40:CR40,"&lt;9")&gt;=2,AVERAGEIF(응답입력!CP40:CR40,"&lt;9"),"")</f>
        <v/>
      </c>
      <c r="W39" s="15" t="str">
        <f aca="false">IF(COUNTIF(응답입력!CS40:CU40,"&lt;9")&gt;=2,AVERAGEIF(응답입력!CS40:CU40,"&lt;9"),"")</f>
        <v/>
      </c>
      <c r="X39" s="15" t="str">
        <f aca="false">IF(COUNTIF(응답입력!CV40:CX40,"&lt;9")&gt;=2,AVERAGEIF(응답입력!CV40:CX40,"&lt;9"),"")</f>
        <v/>
      </c>
      <c r="Y39" s="15" t="str">
        <f aca="false">IF(COUNTIF(응답입력!CY40:DA40,"&lt;9")&gt;=2,AVERAGEIF(응답입력!CY40:DA40,"&lt;9"),"")</f>
        <v/>
      </c>
      <c r="Z39" s="15" t="str">
        <f aca="false">IF(COUNTIF(응답입력!DB40:DD40,"&lt;9")&gt;=2,AVERAGEIF(응답입력!DB40:DD40,"&lt;9"),"")</f>
        <v/>
      </c>
      <c r="AA39" s="22" t="str">
        <f aca="false">IFERROR(AVERAGE(B39:Z39),"")</f>
        <v/>
      </c>
    </row>
    <row r="40" customFormat="false" ht="15" hidden="false" customHeight="false" outlineLevel="0" collapsed="false">
      <c r="A40" s="16" t="str">
        <f aca="false">IF(응답입력!A41="","",응답입력!A41)</f>
        <v/>
      </c>
      <c r="B40" s="15" t="str">
        <f aca="false">IF(COUNTIF(응답입력!AH41:AJ41,"&lt;9")&gt;=2,AVERAGEIF(응답입력!AH41:AJ41,"&lt;9"),"")</f>
        <v/>
      </c>
      <c r="C40" s="15" t="str">
        <f aca="false">IF(COUNTIF(응답입력!AK41:AM41,"&lt;9")&gt;=2,AVERAGEIF(응답입력!AK41:AM41,"&lt;9"),"")</f>
        <v/>
      </c>
      <c r="D40" s="15" t="str">
        <f aca="false">IF(COUNTIF(응답입력!AN41:AP41,"&lt;9")&gt;=2,AVERAGEIF(응답입력!AN41:AP41,"&lt;9"),"")</f>
        <v/>
      </c>
      <c r="E40" s="15" t="str">
        <f aca="false">IF(COUNTIF(응답입력!AQ41:AS41,"&lt;9")&gt;=2,AVERAGEIF(응답입력!AQ41:AS41,"&lt;9"),"")</f>
        <v/>
      </c>
      <c r="F40" s="15" t="str">
        <f aca="false">IF(COUNTIF(응답입력!AT41:AV41,"&lt;9")&gt;=2,AVERAGEIF(응답입력!AT41:AV41,"&lt;9"),"")</f>
        <v/>
      </c>
      <c r="G40" s="15" t="str">
        <f aca="false">IF(COUNTIF(응답입력!AW41:AY41,"&lt;9")&gt;=2,AVERAGEIF(응답입력!AW41:AY41,"&lt;9"),"")</f>
        <v/>
      </c>
      <c r="H40" s="15" t="str">
        <f aca="false">IF(COUNTIF(응답입력!AZ41:BB41,"&lt;9")&gt;=2,AVERAGEIF(응답입력!AZ41:BB41,"&lt;9"),"")</f>
        <v/>
      </c>
      <c r="I40" s="15" t="str">
        <f aca="false">IF(COUNTIF(응답입력!BC41:BE41,"&lt;9")&gt;=2,AVERAGEIF(응답입력!BC41:BE41,"&lt;9"),"")</f>
        <v/>
      </c>
      <c r="J40" s="15" t="str">
        <f aca="false">IF(COUNTIF(응답입력!BF41:BH41,"&lt;9")&gt;=2,AVERAGEIF(응답입력!BF41:BH41,"&lt;9"),"")</f>
        <v/>
      </c>
      <c r="K40" s="15" t="str">
        <f aca="false">IF(COUNTIF(응답입력!BI41:BK41,"&lt;9")&gt;=2,AVERAGEIF(응답입력!BI41:BK41,"&lt;9"),"")</f>
        <v/>
      </c>
      <c r="L40" s="15" t="str">
        <f aca="false">IF(COUNTIF(응답입력!BL41:BN41,"&lt;9")&gt;=2,AVERAGEIF(응답입력!BL41:BN41,"&lt;9"),"")</f>
        <v/>
      </c>
      <c r="M40" s="15" t="str">
        <f aca="false">IF(COUNTIF(응답입력!BO41:BQ41,"&lt;9")&gt;=2,AVERAGEIF(응답입력!BO41:BQ41,"&lt;9"),"")</f>
        <v/>
      </c>
      <c r="N40" s="15" t="str">
        <f aca="false">IF(COUNTIF(응답입력!BR41:BT41,"&lt;9")&gt;=2,AVERAGEIF(응답입력!BR41:BT41,"&lt;9"),"")</f>
        <v/>
      </c>
      <c r="O40" s="15" t="str">
        <f aca="false">IF(COUNTIF(응답입력!BU41:BW41,"&lt;9")&gt;=2,AVERAGEIF(응답입력!BU41:BW41,"&lt;9"),"")</f>
        <v/>
      </c>
      <c r="P40" s="15" t="str">
        <f aca="false">IF(COUNTIF(응답입력!BX41:BZ41,"&lt;9")&gt;=2,AVERAGEIF(응답입력!BX41:BZ41,"&lt;9"),"")</f>
        <v/>
      </c>
      <c r="Q40" s="15" t="str">
        <f aca="false">IF(COUNTIF(응답입력!CA41:CC41,"&lt;9")&gt;=2,AVERAGEIF(응답입력!CA41:CC41,"&lt;9"),"")</f>
        <v/>
      </c>
      <c r="R40" s="15" t="str">
        <f aca="false">IF(COUNTIF(응답입력!CD41:CF41,"&lt;9")&gt;=2,AVERAGEIF(응답입력!CD41:CF41,"&lt;9"),"")</f>
        <v/>
      </c>
      <c r="S40" s="15" t="str">
        <f aca="false">IF(COUNTIF(응답입력!CG41:CI41,"&lt;9")&gt;=2,AVERAGEIF(응답입력!CG41:CI41,"&lt;9"),"")</f>
        <v/>
      </c>
      <c r="T40" s="15" t="str">
        <f aca="false">IF(COUNTIF(응답입력!CJ41:CL41,"&lt;9")&gt;=2,AVERAGEIF(응답입력!CJ41:CL41,"&lt;9"),"")</f>
        <v/>
      </c>
      <c r="U40" s="15" t="str">
        <f aca="false">IF(COUNTIF(응답입력!CM41:CO41,"&lt;9")&gt;=2,AVERAGEIF(응답입력!CM41:CO41,"&lt;9"),"")</f>
        <v/>
      </c>
      <c r="V40" s="15" t="str">
        <f aca="false">IF(COUNTIF(응답입력!CP41:CR41,"&lt;9")&gt;=2,AVERAGEIF(응답입력!CP41:CR41,"&lt;9"),"")</f>
        <v/>
      </c>
      <c r="W40" s="15" t="str">
        <f aca="false">IF(COUNTIF(응답입력!CS41:CU41,"&lt;9")&gt;=2,AVERAGEIF(응답입력!CS41:CU41,"&lt;9"),"")</f>
        <v/>
      </c>
      <c r="X40" s="15" t="str">
        <f aca="false">IF(COUNTIF(응답입력!CV41:CX41,"&lt;9")&gt;=2,AVERAGEIF(응답입력!CV41:CX41,"&lt;9"),"")</f>
        <v/>
      </c>
      <c r="Y40" s="15" t="str">
        <f aca="false">IF(COUNTIF(응답입력!CY41:DA41,"&lt;9")&gt;=2,AVERAGEIF(응답입력!CY41:DA41,"&lt;9"),"")</f>
        <v/>
      </c>
      <c r="Z40" s="15" t="str">
        <f aca="false">IF(COUNTIF(응답입력!DB41:DD41,"&lt;9")&gt;=2,AVERAGEIF(응답입력!DB41:DD41,"&lt;9"),"")</f>
        <v/>
      </c>
      <c r="AA40" s="22" t="str">
        <f aca="false">IFERROR(AVERAGE(B40:Z40),"")</f>
        <v/>
      </c>
    </row>
    <row r="41" customFormat="false" ht="15" hidden="false" customHeight="false" outlineLevel="0" collapsed="false">
      <c r="A41" s="16" t="str">
        <f aca="false">IF(응답입력!A42="","",응답입력!A42)</f>
        <v/>
      </c>
      <c r="B41" s="15" t="str">
        <f aca="false">IF(COUNTIF(응답입력!AH42:AJ42,"&lt;9")&gt;=2,AVERAGEIF(응답입력!AH42:AJ42,"&lt;9"),"")</f>
        <v/>
      </c>
      <c r="C41" s="15" t="str">
        <f aca="false">IF(COUNTIF(응답입력!AK42:AM42,"&lt;9")&gt;=2,AVERAGEIF(응답입력!AK42:AM42,"&lt;9"),"")</f>
        <v/>
      </c>
      <c r="D41" s="15" t="str">
        <f aca="false">IF(COUNTIF(응답입력!AN42:AP42,"&lt;9")&gt;=2,AVERAGEIF(응답입력!AN42:AP42,"&lt;9"),"")</f>
        <v/>
      </c>
      <c r="E41" s="15" t="str">
        <f aca="false">IF(COUNTIF(응답입력!AQ42:AS42,"&lt;9")&gt;=2,AVERAGEIF(응답입력!AQ42:AS42,"&lt;9"),"")</f>
        <v/>
      </c>
      <c r="F41" s="15" t="str">
        <f aca="false">IF(COUNTIF(응답입력!AT42:AV42,"&lt;9")&gt;=2,AVERAGEIF(응답입력!AT42:AV42,"&lt;9"),"")</f>
        <v/>
      </c>
      <c r="G41" s="15" t="str">
        <f aca="false">IF(COUNTIF(응답입력!AW42:AY42,"&lt;9")&gt;=2,AVERAGEIF(응답입력!AW42:AY42,"&lt;9"),"")</f>
        <v/>
      </c>
      <c r="H41" s="15" t="str">
        <f aca="false">IF(COUNTIF(응답입력!AZ42:BB42,"&lt;9")&gt;=2,AVERAGEIF(응답입력!AZ42:BB42,"&lt;9"),"")</f>
        <v/>
      </c>
      <c r="I41" s="15" t="str">
        <f aca="false">IF(COUNTIF(응답입력!BC42:BE42,"&lt;9")&gt;=2,AVERAGEIF(응답입력!BC42:BE42,"&lt;9"),"")</f>
        <v/>
      </c>
      <c r="J41" s="15" t="str">
        <f aca="false">IF(COUNTIF(응답입력!BF42:BH42,"&lt;9")&gt;=2,AVERAGEIF(응답입력!BF42:BH42,"&lt;9"),"")</f>
        <v/>
      </c>
      <c r="K41" s="15" t="str">
        <f aca="false">IF(COUNTIF(응답입력!BI42:BK42,"&lt;9")&gt;=2,AVERAGEIF(응답입력!BI42:BK42,"&lt;9"),"")</f>
        <v/>
      </c>
      <c r="L41" s="15" t="str">
        <f aca="false">IF(COUNTIF(응답입력!BL42:BN42,"&lt;9")&gt;=2,AVERAGEIF(응답입력!BL42:BN42,"&lt;9"),"")</f>
        <v/>
      </c>
      <c r="M41" s="15" t="str">
        <f aca="false">IF(COUNTIF(응답입력!BO42:BQ42,"&lt;9")&gt;=2,AVERAGEIF(응답입력!BO42:BQ42,"&lt;9"),"")</f>
        <v/>
      </c>
      <c r="N41" s="15" t="str">
        <f aca="false">IF(COUNTIF(응답입력!BR42:BT42,"&lt;9")&gt;=2,AVERAGEIF(응답입력!BR42:BT42,"&lt;9"),"")</f>
        <v/>
      </c>
      <c r="O41" s="15" t="str">
        <f aca="false">IF(COUNTIF(응답입력!BU42:BW42,"&lt;9")&gt;=2,AVERAGEIF(응답입력!BU42:BW42,"&lt;9"),"")</f>
        <v/>
      </c>
      <c r="P41" s="15" t="str">
        <f aca="false">IF(COUNTIF(응답입력!BX42:BZ42,"&lt;9")&gt;=2,AVERAGEIF(응답입력!BX42:BZ42,"&lt;9"),"")</f>
        <v/>
      </c>
      <c r="Q41" s="15" t="str">
        <f aca="false">IF(COUNTIF(응답입력!CA42:CC42,"&lt;9")&gt;=2,AVERAGEIF(응답입력!CA42:CC42,"&lt;9"),"")</f>
        <v/>
      </c>
      <c r="R41" s="15" t="str">
        <f aca="false">IF(COUNTIF(응답입력!CD42:CF42,"&lt;9")&gt;=2,AVERAGEIF(응답입력!CD42:CF42,"&lt;9"),"")</f>
        <v/>
      </c>
      <c r="S41" s="15" t="str">
        <f aca="false">IF(COUNTIF(응답입력!CG42:CI42,"&lt;9")&gt;=2,AVERAGEIF(응답입력!CG42:CI42,"&lt;9"),"")</f>
        <v/>
      </c>
      <c r="T41" s="15" t="str">
        <f aca="false">IF(COUNTIF(응답입력!CJ42:CL42,"&lt;9")&gt;=2,AVERAGEIF(응답입력!CJ42:CL42,"&lt;9"),"")</f>
        <v/>
      </c>
      <c r="U41" s="15" t="str">
        <f aca="false">IF(COUNTIF(응답입력!CM42:CO42,"&lt;9")&gt;=2,AVERAGEIF(응답입력!CM42:CO42,"&lt;9"),"")</f>
        <v/>
      </c>
      <c r="V41" s="15" t="str">
        <f aca="false">IF(COUNTIF(응답입력!CP42:CR42,"&lt;9")&gt;=2,AVERAGEIF(응답입력!CP42:CR42,"&lt;9"),"")</f>
        <v/>
      </c>
      <c r="W41" s="15" t="str">
        <f aca="false">IF(COUNTIF(응답입력!CS42:CU42,"&lt;9")&gt;=2,AVERAGEIF(응답입력!CS42:CU42,"&lt;9"),"")</f>
        <v/>
      </c>
      <c r="X41" s="15" t="str">
        <f aca="false">IF(COUNTIF(응답입력!CV42:CX42,"&lt;9")&gt;=2,AVERAGEIF(응답입력!CV42:CX42,"&lt;9"),"")</f>
        <v/>
      </c>
      <c r="Y41" s="15" t="str">
        <f aca="false">IF(COUNTIF(응답입력!CY42:DA42,"&lt;9")&gt;=2,AVERAGEIF(응답입력!CY42:DA42,"&lt;9"),"")</f>
        <v/>
      </c>
      <c r="Z41" s="15" t="str">
        <f aca="false">IF(COUNTIF(응답입력!DB42:DD42,"&lt;9")&gt;=2,AVERAGEIF(응답입력!DB42:DD42,"&lt;9"),"")</f>
        <v/>
      </c>
      <c r="AA41" s="22" t="str">
        <f aca="false">IFERROR(AVERAGE(B41:Z41),"")</f>
        <v/>
      </c>
    </row>
    <row r="42" customFormat="false" ht="15" hidden="false" customHeight="false" outlineLevel="0" collapsed="false">
      <c r="A42" s="16" t="str">
        <f aca="false">IF(응답입력!A43="","",응답입력!A43)</f>
        <v/>
      </c>
      <c r="B42" s="15" t="str">
        <f aca="false">IF(COUNTIF(응답입력!AH43:AJ43,"&lt;9")&gt;=2,AVERAGEIF(응답입력!AH43:AJ43,"&lt;9"),"")</f>
        <v/>
      </c>
      <c r="C42" s="15" t="str">
        <f aca="false">IF(COUNTIF(응답입력!AK43:AM43,"&lt;9")&gt;=2,AVERAGEIF(응답입력!AK43:AM43,"&lt;9"),"")</f>
        <v/>
      </c>
      <c r="D42" s="15" t="str">
        <f aca="false">IF(COUNTIF(응답입력!AN43:AP43,"&lt;9")&gt;=2,AVERAGEIF(응답입력!AN43:AP43,"&lt;9"),"")</f>
        <v/>
      </c>
      <c r="E42" s="15" t="str">
        <f aca="false">IF(COUNTIF(응답입력!AQ43:AS43,"&lt;9")&gt;=2,AVERAGEIF(응답입력!AQ43:AS43,"&lt;9"),"")</f>
        <v/>
      </c>
      <c r="F42" s="15" t="str">
        <f aca="false">IF(COUNTIF(응답입력!AT43:AV43,"&lt;9")&gt;=2,AVERAGEIF(응답입력!AT43:AV43,"&lt;9"),"")</f>
        <v/>
      </c>
      <c r="G42" s="15" t="str">
        <f aca="false">IF(COUNTIF(응답입력!AW43:AY43,"&lt;9")&gt;=2,AVERAGEIF(응답입력!AW43:AY43,"&lt;9"),"")</f>
        <v/>
      </c>
      <c r="H42" s="15" t="str">
        <f aca="false">IF(COUNTIF(응답입력!AZ43:BB43,"&lt;9")&gt;=2,AVERAGEIF(응답입력!AZ43:BB43,"&lt;9"),"")</f>
        <v/>
      </c>
      <c r="I42" s="15" t="str">
        <f aca="false">IF(COUNTIF(응답입력!BC43:BE43,"&lt;9")&gt;=2,AVERAGEIF(응답입력!BC43:BE43,"&lt;9"),"")</f>
        <v/>
      </c>
      <c r="J42" s="15" t="str">
        <f aca="false">IF(COUNTIF(응답입력!BF43:BH43,"&lt;9")&gt;=2,AVERAGEIF(응답입력!BF43:BH43,"&lt;9"),"")</f>
        <v/>
      </c>
      <c r="K42" s="15" t="str">
        <f aca="false">IF(COUNTIF(응답입력!BI43:BK43,"&lt;9")&gt;=2,AVERAGEIF(응답입력!BI43:BK43,"&lt;9"),"")</f>
        <v/>
      </c>
      <c r="L42" s="15" t="str">
        <f aca="false">IF(COUNTIF(응답입력!BL43:BN43,"&lt;9")&gt;=2,AVERAGEIF(응답입력!BL43:BN43,"&lt;9"),"")</f>
        <v/>
      </c>
      <c r="M42" s="15" t="str">
        <f aca="false">IF(COUNTIF(응답입력!BO43:BQ43,"&lt;9")&gt;=2,AVERAGEIF(응답입력!BO43:BQ43,"&lt;9"),"")</f>
        <v/>
      </c>
      <c r="N42" s="15" t="str">
        <f aca="false">IF(COUNTIF(응답입력!BR43:BT43,"&lt;9")&gt;=2,AVERAGEIF(응답입력!BR43:BT43,"&lt;9"),"")</f>
        <v/>
      </c>
      <c r="O42" s="15" t="str">
        <f aca="false">IF(COUNTIF(응답입력!BU43:BW43,"&lt;9")&gt;=2,AVERAGEIF(응답입력!BU43:BW43,"&lt;9"),"")</f>
        <v/>
      </c>
      <c r="P42" s="15" t="str">
        <f aca="false">IF(COUNTIF(응답입력!BX43:BZ43,"&lt;9")&gt;=2,AVERAGEIF(응답입력!BX43:BZ43,"&lt;9"),"")</f>
        <v/>
      </c>
      <c r="Q42" s="15" t="str">
        <f aca="false">IF(COUNTIF(응답입력!CA43:CC43,"&lt;9")&gt;=2,AVERAGEIF(응답입력!CA43:CC43,"&lt;9"),"")</f>
        <v/>
      </c>
      <c r="R42" s="15" t="str">
        <f aca="false">IF(COUNTIF(응답입력!CD43:CF43,"&lt;9")&gt;=2,AVERAGEIF(응답입력!CD43:CF43,"&lt;9"),"")</f>
        <v/>
      </c>
      <c r="S42" s="15" t="str">
        <f aca="false">IF(COUNTIF(응답입력!CG43:CI43,"&lt;9")&gt;=2,AVERAGEIF(응답입력!CG43:CI43,"&lt;9"),"")</f>
        <v/>
      </c>
      <c r="T42" s="15" t="str">
        <f aca="false">IF(COUNTIF(응답입력!CJ43:CL43,"&lt;9")&gt;=2,AVERAGEIF(응답입력!CJ43:CL43,"&lt;9"),"")</f>
        <v/>
      </c>
      <c r="U42" s="15" t="str">
        <f aca="false">IF(COUNTIF(응답입력!CM43:CO43,"&lt;9")&gt;=2,AVERAGEIF(응답입력!CM43:CO43,"&lt;9"),"")</f>
        <v/>
      </c>
      <c r="V42" s="15" t="str">
        <f aca="false">IF(COUNTIF(응답입력!CP43:CR43,"&lt;9")&gt;=2,AVERAGEIF(응답입력!CP43:CR43,"&lt;9"),"")</f>
        <v/>
      </c>
      <c r="W42" s="15" t="str">
        <f aca="false">IF(COUNTIF(응답입력!CS43:CU43,"&lt;9")&gt;=2,AVERAGEIF(응답입력!CS43:CU43,"&lt;9"),"")</f>
        <v/>
      </c>
      <c r="X42" s="15" t="str">
        <f aca="false">IF(COUNTIF(응답입력!CV43:CX43,"&lt;9")&gt;=2,AVERAGEIF(응답입력!CV43:CX43,"&lt;9"),"")</f>
        <v/>
      </c>
      <c r="Y42" s="15" t="str">
        <f aca="false">IF(COUNTIF(응답입력!CY43:DA43,"&lt;9")&gt;=2,AVERAGEIF(응답입력!CY43:DA43,"&lt;9"),"")</f>
        <v/>
      </c>
      <c r="Z42" s="15" t="str">
        <f aca="false">IF(COUNTIF(응답입력!DB43:DD43,"&lt;9")&gt;=2,AVERAGEIF(응답입력!DB43:DD43,"&lt;9"),"")</f>
        <v/>
      </c>
      <c r="AA42" s="22" t="str">
        <f aca="false">IFERROR(AVERAGE(B42:Z42),"")</f>
        <v/>
      </c>
    </row>
    <row r="43" customFormat="false" ht="15" hidden="false" customHeight="false" outlineLevel="0" collapsed="false">
      <c r="A43" s="16" t="str">
        <f aca="false">IF(응답입력!A44="","",응답입력!A44)</f>
        <v/>
      </c>
      <c r="B43" s="15" t="str">
        <f aca="false">IF(COUNTIF(응답입력!AH44:AJ44,"&lt;9")&gt;=2,AVERAGEIF(응답입력!AH44:AJ44,"&lt;9"),"")</f>
        <v/>
      </c>
      <c r="C43" s="15" t="str">
        <f aca="false">IF(COUNTIF(응답입력!AK44:AM44,"&lt;9")&gt;=2,AVERAGEIF(응답입력!AK44:AM44,"&lt;9"),"")</f>
        <v/>
      </c>
      <c r="D43" s="15" t="str">
        <f aca="false">IF(COUNTIF(응답입력!AN44:AP44,"&lt;9")&gt;=2,AVERAGEIF(응답입력!AN44:AP44,"&lt;9"),"")</f>
        <v/>
      </c>
      <c r="E43" s="15" t="str">
        <f aca="false">IF(COUNTIF(응답입력!AQ44:AS44,"&lt;9")&gt;=2,AVERAGEIF(응답입력!AQ44:AS44,"&lt;9"),"")</f>
        <v/>
      </c>
      <c r="F43" s="15" t="str">
        <f aca="false">IF(COUNTIF(응답입력!AT44:AV44,"&lt;9")&gt;=2,AVERAGEIF(응답입력!AT44:AV44,"&lt;9"),"")</f>
        <v/>
      </c>
      <c r="G43" s="15" t="str">
        <f aca="false">IF(COUNTIF(응답입력!AW44:AY44,"&lt;9")&gt;=2,AVERAGEIF(응답입력!AW44:AY44,"&lt;9"),"")</f>
        <v/>
      </c>
      <c r="H43" s="15" t="str">
        <f aca="false">IF(COUNTIF(응답입력!AZ44:BB44,"&lt;9")&gt;=2,AVERAGEIF(응답입력!AZ44:BB44,"&lt;9"),"")</f>
        <v/>
      </c>
      <c r="I43" s="15" t="str">
        <f aca="false">IF(COUNTIF(응답입력!BC44:BE44,"&lt;9")&gt;=2,AVERAGEIF(응답입력!BC44:BE44,"&lt;9"),"")</f>
        <v/>
      </c>
      <c r="J43" s="15" t="str">
        <f aca="false">IF(COUNTIF(응답입력!BF44:BH44,"&lt;9")&gt;=2,AVERAGEIF(응답입력!BF44:BH44,"&lt;9"),"")</f>
        <v/>
      </c>
      <c r="K43" s="15" t="str">
        <f aca="false">IF(COUNTIF(응답입력!BI44:BK44,"&lt;9")&gt;=2,AVERAGEIF(응답입력!BI44:BK44,"&lt;9"),"")</f>
        <v/>
      </c>
      <c r="L43" s="15" t="str">
        <f aca="false">IF(COUNTIF(응답입력!BL44:BN44,"&lt;9")&gt;=2,AVERAGEIF(응답입력!BL44:BN44,"&lt;9"),"")</f>
        <v/>
      </c>
      <c r="M43" s="15" t="str">
        <f aca="false">IF(COUNTIF(응답입력!BO44:BQ44,"&lt;9")&gt;=2,AVERAGEIF(응답입력!BO44:BQ44,"&lt;9"),"")</f>
        <v/>
      </c>
      <c r="N43" s="15" t="str">
        <f aca="false">IF(COUNTIF(응답입력!BR44:BT44,"&lt;9")&gt;=2,AVERAGEIF(응답입력!BR44:BT44,"&lt;9"),"")</f>
        <v/>
      </c>
      <c r="O43" s="15" t="str">
        <f aca="false">IF(COUNTIF(응답입력!BU44:BW44,"&lt;9")&gt;=2,AVERAGEIF(응답입력!BU44:BW44,"&lt;9"),"")</f>
        <v/>
      </c>
      <c r="P43" s="15" t="str">
        <f aca="false">IF(COUNTIF(응답입력!BX44:BZ44,"&lt;9")&gt;=2,AVERAGEIF(응답입력!BX44:BZ44,"&lt;9"),"")</f>
        <v/>
      </c>
      <c r="Q43" s="15" t="str">
        <f aca="false">IF(COUNTIF(응답입력!CA44:CC44,"&lt;9")&gt;=2,AVERAGEIF(응답입력!CA44:CC44,"&lt;9"),"")</f>
        <v/>
      </c>
      <c r="R43" s="15" t="str">
        <f aca="false">IF(COUNTIF(응답입력!CD44:CF44,"&lt;9")&gt;=2,AVERAGEIF(응답입력!CD44:CF44,"&lt;9"),"")</f>
        <v/>
      </c>
      <c r="S43" s="15" t="str">
        <f aca="false">IF(COUNTIF(응답입력!CG44:CI44,"&lt;9")&gt;=2,AVERAGEIF(응답입력!CG44:CI44,"&lt;9"),"")</f>
        <v/>
      </c>
      <c r="T43" s="15" t="str">
        <f aca="false">IF(COUNTIF(응답입력!CJ44:CL44,"&lt;9")&gt;=2,AVERAGEIF(응답입력!CJ44:CL44,"&lt;9"),"")</f>
        <v/>
      </c>
      <c r="U43" s="15" t="str">
        <f aca="false">IF(COUNTIF(응답입력!CM44:CO44,"&lt;9")&gt;=2,AVERAGEIF(응답입력!CM44:CO44,"&lt;9"),"")</f>
        <v/>
      </c>
      <c r="V43" s="15" t="str">
        <f aca="false">IF(COUNTIF(응답입력!CP44:CR44,"&lt;9")&gt;=2,AVERAGEIF(응답입력!CP44:CR44,"&lt;9"),"")</f>
        <v/>
      </c>
      <c r="W43" s="15" t="str">
        <f aca="false">IF(COUNTIF(응답입력!CS44:CU44,"&lt;9")&gt;=2,AVERAGEIF(응답입력!CS44:CU44,"&lt;9"),"")</f>
        <v/>
      </c>
      <c r="X43" s="15" t="str">
        <f aca="false">IF(COUNTIF(응답입력!CV44:CX44,"&lt;9")&gt;=2,AVERAGEIF(응답입력!CV44:CX44,"&lt;9"),"")</f>
        <v/>
      </c>
      <c r="Y43" s="15" t="str">
        <f aca="false">IF(COUNTIF(응답입력!CY44:DA44,"&lt;9")&gt;=2,AVERAGEIF(응답입력!CY44:DA44,"&lt;9"),"")</f>
        <v/>
      </c>
      <c r="Z43" s="15" t="str">
        <f aca="false">IF(COUNTIF(응답입력!DB44:DD44,"&lt;9")&gt;=2,AVERAGEIF(응답입력!DB44:DD44,"&lt;9"),"")</f>
        <v/>
      </c>
      <c r="AA43" s="22" t="str">
        <f aca="false">IFERROR(AVERAGE(B43:Z43),"")</f>
        <v/>
      </c>
    </row>
    <row r="44" customFormat="false" ht="15" hidden="false" customHeight="false" outlineLevel="0" collapsed="false">
      <c r="A44" s="16" t="str">
        <f aca="false">IF(응답입력!A45="","",응답입력!A45)</f>
        <v/>
      </c>
      <c r="B44" s="15" t="str">
        <f aca="false">IF(COUNTIF(응답입력!AH45:AJ45,"&lt;9")&gt;=2,AVERAGEIF(응답입력!AH45:AJ45,"&lt;9"),"")</f>
        <v/>
      </c>
      <c r="C44" s="15" t="str">
        <f aca="false">IF(COUNTIF(응답입력!AK45:AM45,"&lt;9")&gt;=2,AVERAGEIF(응답입력!AK45:AM45,"&lt;9"),"")</f>
        <v/>
      </c>
      <c r="D44" s="15" t="str">
        <f aca="false">IF(COUNTIF(응답입력!AN45:AP45,"&lt;9")&gt;=2,AVERAGEIF(응답입력!AN45:AP45,"&lt;9"),"")</f>
        <v/>
      </c>
      <c r="E44" s="15" t="str">
        <f aca="false">IF(COUNTIF(응답입력!AQ45:AS45,"&lt;9")&gt;=2,AVERAGEIF(응답입력!AQ45:AS45,"&lt;9"),"")</f>
        <v/>
      </c>
      <c r="F44" s="15" t="str">
        <f aca="false">IF(COUNTIF(응답입력!AT45:AV45,"&lt;9")&gt;=2,AVERAGEIF(응답입력!AT45:AV45,"&lt;9"),"")</f>
        <v/>
      </c>
      <c r="G44" s="15" t="str">
        <f aca="false">IF(COUNTIF(응답입력!AW45:AY45,"&lt;9")&gt;=2,AVERAGEIF(응답입력!AW45:AY45,"&lt;9"),"")</f>
        <v/>
      </c>
      <c r="H44" s="15" t="str">
        <f aca="false">IF(COUNTIF(응답입력!AZ45:BB45,"&lt;9")&gt;=2,AVERAGEIF(응답입력!AZ45:BB45,"&lt;9"),"")</f>
        <v/>
      </c>
      <c r="I44" s="15" t="str">
        <f aca="false">IF(COUNTIF(응답입력!BC45:BE45,"&lt;9")&gt;=2,AVERAGEIF(응답입력!BC45:BE45,"&lt;9"),"")</f>
        <v/>
      </c>
      <c r="J44" s="15" t="str">
        <f aca="false">IF(COUNTIF(응답입력!BF45:BH45,"&lt;9")&gt;=2,AVERAGEIF(응답입력!BF45:BH45,"&lt;9"),"")</f>
        <v/>
      </c>
      <c r="K44" s="15" t="str">
        <f aca="false">IF(COUNTIF(응답입력!BI45:BK45,"&lt;9")&gt;=2,AVERAGEIF(응답입력!BI45:BK45,"&lt;9"),"")</f>
        <v/>
      </c>
      <c r="L44" s="15" t="str">
        <f aca="false">IF(COUNTIF(응답입력!BL45:BN45,"&lt;9")&gt;=2,AVERAGEIF(응답입력!BL45:BN45,"&lt;9"),"")</f>
        <v/>
      </c>
      <c r="M44" s="15" t="str">
        <f aca="false">IF(COUNTIF(응답입력!BO45:BQ45,"&lt;9")&gt;=2,AVERAGEIF(응답입력!BO45:BQ45,"&lt;9"),"")</f>
        <v/>
      </c>
      <c r="N44" s="15" t="str">
        <f aca="false">IF(COUNTIF(응답입력!BR45:BT45,"&lt;9")&gt;=2,AVERAGEIF(응답입력!BR45:BT45,"&lt;9"),"")</f>
        <v/>
      </c>
      <c r="O44" s="15" t="str">
        <f aca="false">IF(COUNTIF(응답입력!BU45:BW45,"&lt;9")&gt;=2,AVERAGEIF(응답입력!BU45:BW45,"&lt;9"),"")</f>
        <v/>
      </c>
      <c r="P44" s="15" t="str">
        <f aca="false">IF(COUNTIF(응답입력!BX45:BZ45,"&lt;9")&gt;=2,AVERAGEIF(응답입력!BX45:BZ45,"&lt;9"),"")</f>
        <v/>
      </c>
      <c r="Q44" s="15" t="str">
        <f aca="false">IF(COUNTIF(응답입력!CA45:CC45,"&lt;9")&gt;=2,AVERAGEIF(응답입력!CA45:CC45,"&lt;9"),"")</f>
        <v/>
      </c>
      <c r="R44" s="15" t="str">
        <f aca="false">IF(COUNTIF(응답입력!CD45:CF45,"&lt;9")&gt;=2,AVERAGEIF(응답입력!CD45:CF45,"&lt;9"),"")</f>
        <v/>
      </c>
      <c r="S44" s="15" t="str">
        <f aca="false">IF(COUNTIF(응답입력!CG45:CI45,"&lt;9")&gt;=2,AVERAGEIF(응답입력!CG45:CI45,"&lt;9"),"")</f>
        <v/>
      </c>
      <c r="T44" s="15" t="str">
        <f aca="false">IF(COUNTIF(응답입력!CJ45:CL45,"&lt;9")&gt;=2,AVERAGEIF(응답입력!CJ45:CL45,"&lt;9"),"")</f>
        <v/>
      </c>
      <c r="U44" s="15" t="str">
        <f aca="false">IF(COUNTIF(응답입력!CM45:CO45,"&lt;9")&gt;=2,AVERAGEIF(응답입력!CM45:CO45,"&lt;9"),"")</f>
        <v/>
      </c>
      <c r="V44" s="15" t="str">
        <f aca="false">IF(COUNTIF(응답입력!CP45:CR45,"&lt;9")&gt;=2,AVERAGEIF(응답입력!CP45:CR45,"&lt;9"),"")</f>
        <v/>
      </c>
      <c r="W44" s="15" t="str">
        <f aca="false">IF(COUNTIF(응답입력!CS45:CU45,"&lt;9")&gt;=2,AVERAGEIF(응답입력!CS45:CU45,"&lt;9"),"")</f>
        <v/>
      </c>
      <c r="X44" s="15" t="str">
        <f aca="false">IF(COUNTIF(응답입력!CV45:CX45,"&lt;9")&gt;=2,AVERAGEIF(응답입력!CV45:CX45,"&lt;9"),"")</f>
        <v/>
      </c>
      <c r="Y44" s="15" t="str">
        <f aca="false">IF(COUNTIF(응답입력!CY45:DA45,"&lt;9")&gt;=2,AVERAGEIF(응답입력!CY45:DA45,"&lt;9"),"")</f>
        <v/>
      </c>
      <c r="Z44" s="15" t="str">
        <f aca="false">IF(COUNTIF(응답입력!DB45:DD45,"&lt;9")&gt;=2,AVERAGEIF(응답입력!DB45:DD45,"&lt;9"),"")</f>
        <v/>
      </c>
      <c r="AA44" s="22" t="str">
        <f aca="false">IFERROR(AVERAGE(B44:Z44),"")</f>
        <v/>
      </c>
    </row>
    <row r="45" customFormat="false" ht="15" hidden="false" customHeight="false" outlineLevel="0" collapsed="false">
      <c r="A45" s="16" t="str">
        <f aca="false">IF(응답입력!A46="","",응답입력!A46)</f>
        <v/>
      </c>
      <c r="B45" s="15" t="str">
        <f aca="false">IF(COUNTIF(응답입력!AH46:AJ46,"&lt;9")&gt;=2,AVERAGEIF(응답입력!AH46:AJ46,"&lt;9"),"")</f>
        <v/>
      </c>
      <c r="C45" s="15" t="str">
        <f aca="false">IF(COUNTIF(응답입력!AK46:AM46,"&lt;9")&gt;=2,AVERAGEIF(응답입력!AK46:AM46,"&lt;9"),"")</f>
        <v/>
      </c>
      <c r="D45" s="15" t="str">
        <f aca="false">IF(COUNTIF(응답입력!AN46:AP46,"&lt;9")&gt;=2,AVERAGEIF(응답입력!AN46:AP46,"&lt;9"),"")</f>
        <v/>
      </c>
      <c r="E45" s="15" t="str">
        <f aca="false">IF(COUNTIF(응답입력!AQ46:AS46,"&lt;9")&gt;=2,AVERAGEIF(응답입력!AQ46:AS46,"&lt;9"),"")</f>
        <v/>
      </c>
      <c r="F45" s="15" t="str">
        <f aca="false">IF(COUNTIF(응답입력!AT46:AV46,"&lt;9")&gt;=2,AVERAGEIF(응답입력!AT46:AV46,"&lt;9"),"")</f>
        <v/>
      </c>
      <c r="G45" s="15" t="str">
        <f aca="false">IF(COUNTIF(응답입력!AW46:AY46,"&lt;9")&gt;=2,AVERAGEIF(응답입력!AW46:AY46,"&lt;9"),"")</f>
        <v/>
      </c>
      <c r="H45" s="15" t="str">
        <f aca="false">IF(COUNTIF(응답입력!AZ46:BB46,"&lt;9")&gt;=2,AVERAGEIF(응답입력!AZ46:BB46,"&lt;9"),"")</f>
        <v/>
      </c>
      <c r="I45" s="15" t="str">
        <f aca="false">IF(COUNTIF(응답입력!BC46:BE46,"&lt;9")&gt;=2,AVERAGEIF(응답입력!BC46:BE46,"&lt;9"),"")</f>
        <v/>
      </c>
      <c r="J45" s="15" t="str">
        <f aca="false">IF(COUNTIF(응답입력!BF46:BH46,"&lt;9")&gt;=2,AVERAGEIF(응답입력!BF46:BH46,"&lt;9"),"")</f>
        <v/>
      </c>
      <c r="K45" s="15" t="str">
        <f aca="false">IF(COUNTIF(응답입력!BI46:BK46,"&lt;9")&gt;=2,AVERAGEIF(응답입력!BI46:BK46,"&lt;9"),"")</f>
        <v/>
      </c>
      <c r="L45" s="15" t="str">
        <f aca="false">IF(COUNTIF(응답입력!BL46:BN46,"&lt;9")&gt;=2,AVERAGEIF(응답입력!BL46:BN46,"&lt;9"),"")</f>
        <v/>
      </c>
      <c r="M45" s="15" t="str">
        <f aca="false">IF(COUNTIF(응답입력!BO46:BQ46,"&lt;9")&gt;=2,AVERAGEIF(응답입력!BO46:BQ46,"&lt;9"),"")</f>
        <v/>
      </c>
      <c r="N45" s="15" t="str">
        <f aca="false">IF(COUNTIF(응답입력!BR46:BT46,"&lt;9")&gt;=2,AVERAGEIF(응답입력!BR46:BT46,"&lt;9"),"")</f>
        <v/>
      </c>
      <c r="O45" s="15" t="str">
        <f aca="false">IF(COUNTIF(응답입력!BU46:BW46,"&lt;9")&gt;=2,AVERAGEIF(응답입력!BU46:BW46,"&lt;9"),"")</f>
        <v/>
      </c>
      <c r="P45" s="15" t="str">
        <f aca="false">IF(COUNTIF(응답입력!BX46:BZ46,"&lt;9")&gt;=2,AVERAGEIF(응답입력!BX46:BZ46,"&lt;9"),"")</f>
        <v/>
      </c>
      <c r="Q45" s="15" t="str">
        <f aca="false">IF(COUNTIF(응답입력!CA46:CC46,"&lt;9")&gt;=2,AVERAGEIF(응답입력!CA46:CC46,"&lt;9"),"")</f>
        <v/>
      </c>
      <c r="R45" s="15" t="str">
        <f aca="false">IF(COUNTIF(응답입력!CD46:CF46,"&lt;9")&gt;=2,AVERAGEIF(응답입력!CD46:CF46,"&lt;9"),"")</f>
        <v/>
      </c>
      <c r="S45" s="15" t="str">
        <f aca="false">IF(COUNTIF(응답입력!CG46:CI46,"&lt;9")&gt;=2,AVERAGEIF(응답입력!CG46:CI46,"&lt;9"),"")</f>
        <v/>
      </c>
      <c r="T45" s="15" t="str">
        <f aca="false">IF(COUNTIF(응답입력!CJ46:CL46,"&lt;9")&gt;=2,AVERAGEIF(응답입력!CJ46:CL46,"&lt;9"),"")</f>
        <v/>
      </c>
      <c r="U45" s="15" t="str">
        <f aca="false">IF(COUNTIF(응답입력!CM46:CO46,"&lt;9")&gt;=2,AVERAGEIF(응답입력!CM46:CO46,"&lt;9"),"")</f>
        <v/>
      </c>
      <c r="V45" s="15" t="str">
        <f aca="false">IF(COUNTIF(응답입력!CP46:CR46,"&lt;9")&gt;=2,AVERAGEIF(응답입력!CP46:CR46,"&lt;9"),"")</f>
        <v/>
      </c>
      <c r="W45" s="15" t="str">
        <f aca="false">IF(COUNTIF(응답입력!CS46:CU46,"&lt;9")&gt;=2,AVERAGEIF(응답입력!CS46:CU46,"&lt;9"),"")</f>
        <v/>
      </c>
      <c r="X45" s="15" t="str">
        <f aca="false">IF(COUNTIF(응답입력!CV46:CX46,"&lt;9")&gt;=2,AVERAGEIF(응답입력!CV46:CX46,"&lt;9"),"")</f>
        <v/>
      </c>
      <c r="Y45" s="15" t="str">
        <f aca="false">IF(COUNTIF(응답입력!CY46:DA46,"&lt;9")&gt;=2,AVERAGEIF(응답입력!CY46:DA46,"&lt;9"),"")</f>
        <v/>
      </c>
      <c r="Z45" s="15" t="str">
        <f aca="false">IF(COUNTIF(응답입력!DB46:DD46,"&lt;9")&gt;=2,AVERAGEIF(응답입력!DB46:DD46,"&lt;9"),"")</f>
        <v/>
      </c>
      <c r="AA45" s="22" t="str">
        <f aca="false">IFERROR(AVERAGE(B45:Z45),"")</f>
        <v/>
      </c>
    </row>
    <row r="46" customFormat="false" ht="15" hidden="false" customHeight="false" outlineLevel="0" collapsed="false">
      <c r="A46" s="16" t="str">
        <f aca="false">IF(응답입력!A47="","",응답입력!A47)</f>
        <v/>
      </c>
      <c r="B46" s="15" t="str">
        <f aca="false">IF(COUNTIF(응답입력!AH47:AJ47,"&lt;9")&gt;=2,AVERAGEIF(응답입력!AH47:AJ47,"&lt;9"),"")</f>
        <v/>
      </c>
      <c r="C46" s="15" t="str">
        <f aca="false">IF(COUNTIF(응답입력!AK47:AM47,"&lt;9")&gt;=2,AVERAGEIF(응답입력!AK47:AM47,"&lt;9"),"")</f>
        <v/>
      </c>
      <c r="D46" s="15" t="str">
        <f aca="false">IF(COUNTIF(응답입력!AN47:AP47,"&lt;9")&gt;=2,AVERAGEIF(응답입력!AN47:AP47,"&lt;9"),"")</f>
        <v/>
      </c>
      <c r="E46" s="15" t="str">
        <f aca="false">IF(COUNTIF(응답입력!AQ47:AS47,"&lt;9")&gt;=2,AVERAGEIF(응답입력!AQ47:AS47,"&lt;9"),"")</f>
        <v/>
      </c>
      <c r="F46" s="15" t="str">
        <f aca="false">IF(COUNTIF(응답입력!AT47:AV47,"&lt;9")&gt;=2,AVERAGEIF(응답입력!AT47:AV47,"&lt;9"),"")</f>
        <v/>
      </c>
      <c r="G46" s="15" t="str">
        <f aca="false">IF(COUNTIF(응답입력!AW47:AY47,"&lt;9")&gt;=2,AVERAGEIF(응답입력!AW47:AY47,"&lt;9"),"")</f>
        <v/>
      </c>
      <c r="H46" s="15" t="str">
        <f aca="false">IF(COUNTIF(응답입력!AZ47:BB47,"&lt;9")&gt;=2,AVERAGEIF(응답입력!AZ47:BB47,"&lt;9"),"")</f>
        <v/>
      </c>
      <c r="I46" s="15" t="str">
        <f aca="false">IF(COUNTIF(응답입력!BC47:BE47,"&lt;9")&gt;=2,AVERAGEIF(응답입력!BC47:BE47,"&lt;9"),"")</f>
        <v/>
      </c>
      <c r="J46" s="15" t="str">
        <f aca="false">IF(COUNTIF(응답입력!BF47:BH47,"&lt;9")&gt;=2,AVERAGEIF(응답입력!BF47:BH47,"&lt;9"),"")</f>
        <v/>
      </c>
      <c r="K46" s="15" t="str">
        <f aca="false">IF(COUNTIF(응답입력!BI47:BK47,"&lt;9")&gt;=2,AVERAGEIF(응답입력!BI47:BK47,"&lt;9"),"")</f>
        <v/>
      </c>
      <c r="L46" s="15" t="str">
        <f aca="false">IF(COUNTIF(응답입력!BL47:BN47,"&lt;9")&gt;=2,AVERAGEIF(응답입력!BL47:BN47,"&lt;9"),"")</f>
        <v/>
      </c>
      <c r="M46" s="15" t="str">
        <f aca="false">IF(COUNTIF(응답입력!BO47:BQ47,"&lt;9")&gt;=2,AVERAGEIF(응답입력!BO47:BQ47,"&lt;9"),"")</f>
        <v/>
      </c>
      <c r="N46" s="15" t="str">
        <f aca="false">IF(COUNTIF(응답입력!BR47:BT47,"&lt;9")&gt;=2,AVERAGEIF(응답입력!BR47:BT47,"&lt;9"),"")</f>
        <v/>
      </c>
      <c r="O46" s="15" t="str">
        <f aca="false">IF(COUNTIF(응답입력!BU47:BW47,"&lt;9")&gt;=2,AVERAGEIF(응답입력!BU47:BW47,"&lt;9"),"")</f>
        <v/>
      </c>
      <c r="P46" s="15" t="str">
        <f aca="false">IF(COUNTIF(응답입력!BX47:BZ47,"&lt;9")&gt;=2,AVERAGEIF(응답입력!BX47:BZ47,"&lt;9"),"")</f>
        <v/>
      </c>
      <c r="Q46" s="15" t="str">
        <f aca="false">IF(COUNTIF(응답입력!CA47:CC47,"&lt;9")&gt;=2,AVERAGEIF(응답입력!CA47:CC47,"&lt;9"),"")</f>
        <v/>
      </c>
      <c r="R46" s="15" t="str">
        <f aca="false">IF(COUNTIF(응답입력!CD47:CF47,"&lt;9")&gt;=2,AVERAGEIF(응답입력!CD47:CF47,"&lt;9"),"")</f>
        <v/>
      </c>
      <c r="S46" s="15" t="str">
        <f aca="false">IF(COUNTIF(응답입력!CG47:CI47,"&lt;9")&gt;=2,AVERAGEIF(응답입력!CG47:CI47,"&lt;9"),"")</f>
        <v/>
      </c>
      <c r="T46" s="15" t="str">
        <f aca="false">IF(COUNTIF(응답입력!CJ47:CL47,"&lt;9")&gt;=2,AVERAGEIF(응답입력!CJ47:CL47,"&lt;9"),"")</f>
        <v/>
      </c>
      <c r="U46" s="15" t="str">
        <f aca="false">IF(COUNTIF(응답입력!CM47:CO47,"&lt;9")&gt;=2,AVERAGEIF(응답입력!CM47:CO47,"&lt;9"),"")</f>
        <v/>
      </c>
      <c r="V46" s="15" t="str">
        <f aca="false">IF(COUNTIF(응답입력!CP47:CR47,"&lt;9")&gt;=2,AVERAGEIF(응답입력!CP47:CR47,"&lt;9"),"")</f>
        <v/>
      </c>
      <c r="W46" s="15" t="str">
        <f aca="false">IF(COUNTIF(응답입력!CS47:CU47,"&lt;9")&gt;=2,AVERAGEIF(응답입력!CS47:CU47,"&lt;9"),"")</f>
        <v/>
      </c>
      <c r="X46" s="15" t="str">
        <f aca="false">IF(COUNTIF(응답입력!CV47:CX47,"&lt;9")&gt;=2,AVERAGEIF(응답입력!CV47:CX47,"&lt;9"),"")</f>
        <v/>
      </c>
      <c r="Y46" s="15" t="str">
        <f aca="false">IF(COUNTIF(응답입력!CY47:DA47,"&lt;9")&gt;=2,AVERAGEIF(응답입력!CY47:DA47,"&lt;9"),"")</f>
        <v/>
      </c>
      <c r="Z46" s="15" t="str">
        <f aca="false">IF(COUNTIF(응답입력!DB47:DD47,"&lt;9")&gt;=2,AVERAGEIF(응답입력!DB47:DD47,"&lt;9"),"")</f>
        <v/>
      </c>
      <c r="AA46" s="22" t="str">
        <f aca="false">IFERROR(AVERAGE(B46:Z46),"")</f>
        <v/>
      </c>
    </row>
    <row r="47" customFormat="false" ht="15" hidden="false" customHeight="false" outlineLevel="0" collapsed="false">
      <c r="A47" s="16" t="str">
        <f aca="false">IF(응답입력!A48="","",응답입력!A48)</f>
        <v/>
      </c>
      <c r="B47" s="15" t="str">
        <f aca="false">IF(COUNTIF(응답입력!AH48:AJ48,"&lt;9")&gt;=2,AVERAGEIF(응답입력!AH48:AJ48,"&lt;9"),"")</f>
        <v/>
      </c>
      <c r="C47" s="15" t="str">
        <f aca="false">IF(COUNTIF(응답입력!AK48:AM48,"&lt;9")&gt;=2,AVERAGEIF(응답입력!AK48:AM48,"&lt;9"),"")</f>
        <v/>
      </c>
      <c r="D47" s="15" t="str">
        <f aca="false">IF(COUNTIF(응답입력!AN48:AP48,"&lt;9")&gt;=2,AVERAGEIF(응답입력!AN48:AP48,"&lt;9"),"")</f>
        <v/>
      </c>
      <c r="E47" s="15" t="str">
        <f aca="false">IF(COUNTIF(응답입력!AQ48:AS48,"&lt;9")&gt;=2,AVERAGEIF(응답입력!AQ48:AS48,"&lt;9"),"")</f>
        <v/>
      </c>
      <c r="F47" s="15" t="str">
        <f aca="false">IF(COUNTIF(응답입력!AT48:AV48,"&lt;9")&gt;=2,AVERAGEIF(응답입력!AT48:AV48,"&lt;9"),"")</f>
        <v/>
      </c>
      <c r="G47" s="15" t="str">
        <f aca="false">IF(COUNTIF(응답입력!AW48:AY48,"&lt;9")&gt;=2,AVERAGEIF(응답입력!AW48:AY48,"&lt;9"),"")</f>
        <v/>
      </c>
      <c r="H47" s="15" t="str">
        <f aca="false">IF(COUNTIF(응답입력!AZ48:BB48,"&lt;9")&gt;=2,AVERAGEIF(응답입력!AZ48:BB48,"&lt;9"),"")</f>
        <v/>
      </c>
      <c r="I47" s="15" t="str">
        <f aca="false">IF(COUNTIF(응답입력!BC48:BE48,"&lt;9")&gt;=2,AVERAGEIF(응답입력!BC48:BE48,"&lt;9"),"")</f>
        <v/>
      </c>
      <c r="J47" s="15" t="str">
        <f aca="false">IF(COUNTIF(응답입력!BF48:BH48,"&lt;9")&gt;=2,AVERAGEIF(응답입력!BF48:BH48,"&lt;9"),"")</f>
        <v/>
      </c>
      <c r="K47" s="15" t="str">
        <f aca="false">IF(COUNTIF(응답입력!BI48:BK48,"&lt;9")&gt;=2,AVERAGEIF(응답입력!BI48:BK48,"&lt;9"),"")</f>
        <v/>
      </c>
      <c r="L47" s="15" t="str">
        <f aca="false">IF(COUNTIF(응답입력!BL48:BN48,"&lt;9")&gt;=2,AVERAGEIF(응답입력!BL48:BN48,"&lt;9"),"")</f>
        <v/>
      </c>
      <c r="M47" s="15" t="str">
        <f aca="false">IF(COUNTIF(응답입력!BO48:BQ48,"&lt;9")&gt;=2,AVERAGEIF(응답입력!BO48:BQ48,"&lt;9"),"")</f>
        <v/>
      </c>
      <c r="N47" s="15" t="str">
        <f aca="false">IF(COUNTIF(응답입력!BR48:BT48,"&lt;9")&gt;=2,AVERAGEIF(응답입력!BR48:BT48,"&lt;9"),"")</f>
        <v/>
      </c>
      <c r="O47" s="15" t="str">
        <f aca="false">IF(COUNTIF(응답입력!BU48:BW48,"&lt;9")&gt;=2,AVERAGEIF(응답입력!BU48:BW48,"&lt;9"),"")</f>
        <v/>
      </c>
      <c r="P47" s="15" t="str">
        <f aca="false">IF(COUNTIF(응답입력!BX48:BZ48,"&lt;9")&gt;=2,AVERAGEIF(응답입력!BX48:BZ48,"&lt;9"),"")</f>
        <v/>
      </c>
      <c r="Q47" s="15" t="str">
        <f aca="false">IF(COUNTIF(응답입력!CA48:CC48,"&lt;9")&gt;=2,AVERAGEIF(응답입력!CA48:CC48,"&lt;9"),"")</f>
        <v/>
      </c>
      <c r="R47" s="15" t="str">
        <f aca="false">IF(COUNTIF(응답입력!CD48:CF48,"&lt;9")&gt;=2,AVERAGEIF(응답입력!CD48:CF48,"&lt;9"),"")</f>
        <v/>
      </c>
      <c r="S47" s="15" t="str">
        <f aca="false">IF(COUNTIF(응답입력!CG48:CI48,"&lt;9")&gt;=2,AVERAGEIF(응답입력!CG48:CI48,"&lt;9"),"")</f>
        <v/>
      </c>
      <c r="T47" s="15" t="str">
        <f aca="false">IF(COUNTIF(응답입력!CJ48:CL48,"&lt;9")&gt;=2,AVERAGEIF(응답입력!CJ48:CL48,"&lt;9"),"")</f>
        <v/>
      </c>
      <c r="U47" s="15" t="str">
        <f aca="false">IF(COUNTIF(응답입력!CM48:CO48,"&lt;9")&gt;=2,AVERAGEIF(응답입력!CM48:CO48,"&lt;9"),"")</f>
        <v/>
      </c>
      <c r="V47" s="15" t="str">
        <f aca="false">IF(COUNTIF(응답입력!CP48:CR48,"&lt;9")&gt;=2,AVERAGEIF(응답입력!CP48:CR48,"&lt;9"),"")</f>
        <v/>
      </c>
      <c r="W47" s="15" t="str">
        <f aca="false">IF(COUNTIF(응답입력!CS48:CU48,"&lt;9")&gt;=2,AVERAGEIF(응답입력!CS48:CU48,"&lt;9"),"")</f>
        <v/>
      </c>
      <c r="X47" s="15" t="str">
        <f aca="false">IF(COUNTIF(응답입력!CV48:CX48,"&lt;9")&gt;=2,AVERAGEIF(응답입력!CV48:CX48,"&lt;9"),"")</f>
        <v/>
      </c>
      <c r="Y47" s="15" t="str">
        <f aca="false">IF(COUNTIF(응답입력!CY48:DA48,"&lt;9")&gt;=2,AVERAGEIF(응답입력!CY48:DA48,"&lt;9"),"")</f>
        <v/>
      </c>
      <c r="Z47" s="15" t="str">
        <f aca="false">IF(COUNTIF(응답입력!DB48:DD48,"&lt;9")&gt;=2,AVERAGEIF(응답입력!DB48:DD48,"&lt;9"),"")</f>
        <v/>
      </c>
      <c r="AA47" s="22" t="str">
        <f aca="false">IFERROR(AVERAGE(B47:Z47),"")</f>
        <v/>
      </c>
    </row>
    <row r="48" customFormat="false" ht="15" hidden="false" customHeight="false" outlineLevel="0" collapsed="false">
      <c r="A48" s="16" t="str">
        <f aca="false">IF(응답입력!A49="","",응답입력!A49)</f>
        <v/>
      </c>
      <c r="B48" s="15" t="str">
        <f aca="false">IF(COUNTIF(응답입력!AH49:AJ49,"&lt;9")&gt;=2,AVERAGEIF(응답입력!AH49:AJ49,"&lt;9"),"")</f>
        <v/>
      </c>
      <c r="C48" s="15" t="str">
        <f aca="false">IF(COUNTIF(응답입력!AK49:AM49,"&lt;9")&gt;=2,AVERAGEIF(응답입력!AK49:AM49,"&lt;9"),"")</f>
        <v/>
      </c>
      <c r="D48" s="15" t="str">
        <f aca="false">IF(COUNTIF(응답입력!AN49:AP49,"&lt;9")&gt;=2,AVERAGEIF(응답입력!AN49:AP49,"&lt;9"),"")</f>
        <v/>
      </c>
      <c r="E48" s="15" t="str">
        <f aca="false">IF(COUNTIF(응답입력!AQ49:AS49,"&lt;9")&gt;=2,AVERAGEIF(응답입력!AQ49:AS49,"&lt;9"),"")</f>
        <v/>
      </c>
      <c r="F48" s="15" t="str">
        <f aca="false">IF(COUNTIF(응답입력!AT49:AV49,"&lt;9")&gt;=2,AVERAGEIF(응답입력!AT49:AV49,"&lt;9"),"")</f>
        <v/>
      </c>
      <c r="G48" s="15" t="str">
        <f aca="false">IF(COUNTIF(응답입력!AW49:AY49,"&lt;9")&gt;=2,AVERAGEIF(응답입력!AW49:AY49,"&lt;9"),"")</f>
        <v/>
      </c>
      <c r="H48" s="15" t="str">
        <f aca="false">IF(COUNTIF(응답입력!AZ49:BB49,"&lt;9")&gt;=2,AVERAGEIF(응답입력!AZ49:BB49,"&lt;9"),"")</f>
        <v/>
      </c>
      <c r="I48" s="15" t="str">
        <f aca="false">IF(COUNTIF(응답입력!BC49:BE49,"&lt;9")&gt;=2,AVERAGEIF(응답입력!BC49:BE49,"&lt;9"),"")</f>
        <v/>
      </c>
      <c r="J48" s="15" t="str">
        <f aca="false">IF(COUNTIF(응답입력!BF49:BH49,"&lt;9")&gt;=2,AVERAGEIF(응답입력!BF49:BH49,"&lt;9"),"")</f>
        <v/>
      </c>
      <c r="K48" s="15" t="str">
        <f aca="false">IF(COUNTIF(응답입력!BI49:BK49,"&lt;9")&gt;=2,AVERAGEIF(응답입력!BI49:BK49,"&lt;9"),"")</f>
        <v/>
      </c>
      <c r="L48" s="15" t="str">
        <f aca="false">IF(COUNTIF(응답입력!BL49:BN49,"&lt;9")&gt;=2,AVERAGEIF(응답입력!BL49:BN49,"&lt;9"),"")</f>
        <v/>
      </c>
      <c r="M48" s="15" t="str">
        <f aca="false">IF(COUNTIF(응답입력!BO49:BQ49,"&lt;9")&gt;=2,AVERAGEIF(응답입력!BO49:BQ49,"&lt;9"),"")</f>
        <v/>
      </c>
      <c r="N48" s="15" t="str">
        <f aca="false">IF(COUNTIF(응답입력!BR49:BT49,"&lt;9")&gt;=2,AVERAGEIF(응답입력!BR49:BT49,"&lt;9"),"")</f>
        <v/>
      </c>
      <c r="O48" s="15" t="str">
        <f aca="false">IF(COUNTIF(응답입력!BU49:BW49,"&lt;9")&gt;=2,AVERAGEIF(응답입력!BU49:BW49,"&lt;9"),"")</f>
        <v/>
      </c>
      <c r="P48" s="15" t="str">
        <f aca="false">IF(COUNTIF(응답입력!BX49:BZ49,"&lt;9")&gt;=2,AVERAGEIF(응답입력!BX49:BZ49,"&lt;9"),"")</f>
        <v/>
      </c>
      <c r="Q48" s="15" t="str">
        <f aca="false">IF(COUNTIF(응답입력!CA49:CC49,"&lt;9")&gt;=2,AVERAGEIF(응답입력!CA49:CC49,"&lt;9"),"")</f>
        <v/>
      </c>
      <c r="R48" s="15" t="str">
        <f aca="false">IF(COUNTIF(응답입력!CD49:CF49,"&lt;9")&gt;=2,AVERAGEIF(응답입력!CD49:CF49,"&lt;9"),"")</f>
        <v/>
      </c>
      <c r="S48" s="15" t="str">
        <f aca="false">IF(COUNTIF(응답입력!CG49:CI49,"&lt;9")&gt;=2,AVERAGEIF(응답입력!CG49:CI49,"&lt;9"),"")</f>
        <v/>
      </c>
      <c r="T48" s="15" t="str">
        <f aca="false">IF(COUNTIF(응답입력!CJ49:CL49,"&lt;9")&gt;=2,AVERAGEIF(응답입력!CJ49:CL49,"&lt;9"),"")</f>
        <v/>
      </c>
      <c r="U48" s="15" t="str">
        <f aca="false">IF(COUNTIF(응답입력!CM49:CO49,"&lt;9")&gt;=2,AVERAGEIF(응답입력!CM49:CO49,"&lt;9"),"")</f>
        <v/>
      </c>
      <c r="V48" s="15" t="str">
        <f aca="false">IF(COUNTIF(응답입력!CP49:CR49,"&lt;9")&gt;=2,AVERAGEIF(응답입력!CP49:CR49,"&lt;9"),"")</f>
        <v/>
      </c>
      <c r="W48" s="15" t="str">
        <f aca="false">IF(COUNTIF(응답입력!CS49:CU49,"&lt;9")&gt;=2,AVERAGEIF(응답입력!CS49:CU49,"&lt;9"),"")</f>
        <v/>
      </c>
      <c r="X48" s="15" t="str">
        <f aca="false">IF(COUNTIF(응답입력!CV49:CX49,"&lt;9")&gt;=2,AVERAGEIF(응답입력!CV49:CX49,"&lt;9"),"")</f>
        <v/>
      </c>
      <c r="Y48" s="15" t="str">
        <f aca="false">IF(COUNTIF(응답입력!CY49:DA49,"&lt;9")&gt;=2,AVERAGEIF(응답입력!CY49:DA49,"&lt;9"),"")</f>
        <v/>
      </c>
      <c r="Z48" s="15" t="str">
        <f aca="false">IF(COUNTIF(응답입력!DB49:DD49,"&lt;9")&gt;=2,AVERAGEIF(응답입력!DB49:DD49,"&lt;9"),"")</f>
        <v/>
      </c>
      <c r="AA48" s="22" t="str">
        <f aca="false">IFERROR(AVERAGE(B48:Z48),"")</f>
        <v/>
      </c>
    </row>
    <row r="49" customFormat="false" ht="15" hidden="false" customHeight="false" outlineLevel="0" collapsed="false">
      <c r="A49" s="16" t="str">
        <f aca="false">IF(응답입력!A50="","",응답입력!A50)</f>
        <v/>
      </c>
      <c r="B49" s="15" t="str">
        <f aca="false">IF(COUNTIF(응답입력!AH50:AJ50,"&lt;9")&gt;=2,AVERAGEIF(응답입력!AH50:AJ50,"&lt;9"),"")</f>
        <v/>
      </c>
      <c r="C49" s="15" t="str">
        <f aca="false">IF(COUNTIF(응답입력!AK50:AM50,"&lt;9")&gt;=2,AVERAGEIF(응답입력!AK50:AM50,"&lt;9"),"")</f>
        <v/>
      </c>
      <c r="D49" s="15" t="str">
        <f aca="false">IF(COUNTIF(응답입력!AN50:AP50,"&lt;9")&gt;=2,AVERAGEIF(응답입력!AN50:AP50,"&lt;9"),"")</f>
        <v/>
      </c>
      <c r="E49" s="15" t="str">
        <f aca="false">IF(COUNTIF(응답입력!AQ50:AS50,"&lt;9")&gt;=2,AVERAGEIF(응답입력!AQ50:AS50,"&lt;9"),"")</f>
        <v/>
      </c>
      <c r="F49" s="15" t="str">
        <f aca="false">IF(COUNTIF(응답입력!AT50:AV50,"&lt;9")&gt;=2,AVERAGEIF(응답입력!AT50:AV50,"&lt;9"),"")</f>
        <v/>
      </c>
      <c r="G49" s="15" t="str">
        <f aca="false">IF(COUNTIF(응답입력!AW50:AY50,"&lt;9")&gt;=2,AVERAGEIF(응답입력!AW50:AY50,"&lt;9"),"")</f>
        <v/>
      </c>
      <c r="H49" s="15" t="str">
        <f aca="false">IF(COUNTIF(응답입력!AZ50:BB50,"&lt;9")&gt;=2,AVERAGEIF(응답입력!AZ50:BB50,"&lt;9"),"")</f>
        <v/>
      </c>
      <c r="I49" s="15" t="str">
        <f aca="false">IF(COUNTIF(응답입력!BC50:BE50,"&lt;9")&gt;=2,AVERAGEIF(응답입력!BC50:BE50,"&lt;9"),"")</f>
        <v/>
      </c>
      <c r="J49" s="15" t="str">
        <f aca="false">IF(COUNTIF(응답입력!BF50:BH50,"&lt;9")&gt;=2,AVERAGEIF(응답입력!BF50:BH50,"&lt;9"),"")</f>
        <v/>
      </c>
      <c r="K49" s="15" t="str">
        <f aca="false">IF(COUNTIF(응답입력!BI50:BK50,"&lt;9")&gt;=2,AVERAGEIF(응답입력!BI50:BK50,"&lt;9"),"")</f>
        <v/>
      </c>
      <c r="L49" s="15" t="str">
        <f aca="false">IF(COUNTIF(응답입력!BL50:BN50,"&lt;9")&gt;=2,AVERAGEIF(응답입력!BL50:BN50,"&lt;9"),"")</f>
        <v/>
      </c>
      <c r="M49" s="15" t="str">
        <f aca="false">IF(COUNTIF(응답입력!BO50:BQ50,"&lt;9")&gt;=2,AVERAGEIF(응답입력!BO50:BQ50,"&lt;9"),"")</f>
        <v/>
      </c>
      <c r="N49" s="15" t="str">
        <f aca="false">IF(COUNTIF(응답입력!BR50:BT50,"&lt;9")&gt;=2,AVERAGEIF(응답입력!BR50:BT50,"&lt;9"),"")</f>
        <v/>
      </c>
      <c r="O49" s="15" t="str">
        <f aca="false">IF(COUNTIF(응답입력!BU50:BW50,"&lt;9")&gt;=2,AVERAGEIF(응답입력!BU50:BW50,"&lt;9"),"")</f>
        <v/>
      </c>
      <c r="P49" s="15" t="str">
        <f aca="false">IF(COUNTIF(응답입력!BX50:BZ50,"&lt;9")&gt;=2,AVERAGEIF(응답입력!BX50:BZ50,"&lt;9"),"")</f>
        <v/>
      </c>
      <c r="Q49" s="15" t="str">
        <f aca="false">IF(COUNTIF(응답입력!CA50:CC50,"&lt;9")&gt;=2,AVERAGEIF(응답입력!CA50:CC50,"&lt;9"),"")</f>
        <v/>
      </c>
      <c r="R49" s="15" t="str">
        <f aca="false">IF(COUNTIF(응답입력!CD50:CF50,"&lt;9")&gt;=2,AVERAGEIF(응답입력!CD50:CF50,"&lt;9"),"")</f>
        <v/>
      </c>
      <c r="S49" s="15" t="str">
        <f aca="false">IF(COUNTIF(응답입력!CG50:CI50,"&lt;9")&gt;=2,AVERAGEIF(응답입력!CG50:CI50,"&lt;9"),"")</f>
        <v/>
      </c>
      <c r="T49" s="15" t="str">
        <f aca="false">IF(COUNTIF(응답입력!CJ50:CL50,"&lt;9")&gt;=2,AVERAGEIF(응답입력!CJ50:CL50,"&lt;9"),"")</f>
        <v/>
      </c>
      <c r="U49" s="15" t="str">
        <f aca="false">IF(COUNTIF(응답입력!CM50:CO50,"&lt;9")&gt;=2,AVERAGEIF(응답입력!CM50:CO50,"&lt;9"),"")</f>
        <v/>
      </c>
      <c r="V49" s="15" t="str">
        <f aca="false">IF(COUNTIF(응답입력!CP50:CR50,"&lt;9")&gt;=2,AVERAGEIF(응답입력!CP50:CR50,"&lt;9"),"")</f>
        <v/>
      </c>
      <c r="W49" s="15" t="str">
        <f aca="false">IF(COUNTIF(응답입력!CS50:CU50,"&lt;9")&gt;=2,AVERAGEIF(응답입력!CS50:CU50,"&lt;9"),"")</f>
        <v/>
      </c>
      <c r="X49" s="15" t="str">
        <f aca="false">IF(COUNTIF(응답입력!CV50:CX50,"&lt;9")&gt;=2,AVERAGEIF(응답입력!CV50:CX50,"&lt;9"),"")</f>
        <v/>
      </c>
      <c r="Y49" s="15" t="str">
        <f aca="false">IF(COUNTIF(응답입력!CY50:DA50,"&lt;9")&gt;=2,AVERAGEIF(응답입력!CY50:DA50,"&lt;9"),"")</f>
        <v/>
      </c>
      <c r="Z49" s="15" t="str">
        <f aca="false">IF(COUNTIF(응답입력!DB50:DD50,"&lt;9")&gt;=2,AVERAGEIF(응답입력!DB50:DD50,"&lt;9"),"")</f>
        <v/>
      </c>
      <c r="AA49" s="22" t="str">
        <f aca="false">IFERROR(AVERAGE(B49:Z49),"")</f>
        <v/>
      </c>
    </row>
    <row r="50" customFormat="false" ht="15" hidden="false" customHeight="false" outlineLevel="0" collapsed="false">
      <c r="A50" s="16" t="str">
        <f aca="false">IF(응답입력!A51="","",응답입력!A51)</f>
        <v/>
      </c>
      <c r="B50" s="15" t="str">
        <f aca="false">IF(COUNTIF(응답입력!AH51:AJ51,"&lt;9")&gt;=2,AVERAGEIF(응답입력!AH51:AJ51,"&lt;9"),"")</f>
        <v/>
      </c>
      <c r="C50" s="15" t="str">
        <f aca="false">IF(COUNTIF(응답입력!AK51:AM51,"&lt;9")&gt;=2,AVERAGEIF(응답입력!AK51:AM51,"&lt;9"),"")</f>
        <v/>
      </c>
      <c r="D50" s="15" t="str">
        <f aca="false">IF(COUNTIF(응답입력!AN51:AP51,"&lt;9")&gt;=2,AVERAGEIF(응답입력!AN51:AP51,"&lt;9"),"")</f>
        <v/>
      </c>
      <c r="E50" s="15" t="str">
        <f aca="false">IF(COUNTIF(응답입력!AQ51:AS51,"&lt;9")&gt;=2,AVERAGEIF(응답입력!AQ51:AS51,"&lt;9"),"")</f>
        <v/>
      </c>
      <c r="F50" s="15" t="str">
        <f aca="false">IF(COUNTIF(응답입력!AT51:AV51,"&lt;9")&gt;=2,AVERAGEIF(응답입력!AT51:AV51,"&lt;9"),"")</f>
        <v/>
      </c>
      <c r="G50" s="15" t="str">
        <f aca="false">IF(COUNTIF(응답입력!AW51:AY51,"&lt;9")&gt;=2,AVERAGEIF(응답입력!AW51:AY51,"&lt;9"),"")</f>
        <v/>
      </c>
      <c r="H50" s="15" t="str">
        <f aca="false">IF(COUNTIF(응답입력!AZ51:BB51,"&lt;9")&gt;=2,AVERAGEIF(응답입력!AZ51:BB51,"&lt;9"),"")</f>
        <v/>
      </c>
      <c r="I50" s="15" t="str">
        <f aca="false">IF(COUNTIF(응답입력!BC51:BE51,"&lt;9")&gt;=2,AVERAGEIF(응답입력!BC51:BE51,"&lt;9"),"")</f>
        <v/>
      </c>
      <c r="J50" s="15" t="str">
        <f aca="false">IF(COUNTIF(응답입력!BF51:BH51,"&lt;9")&gt;=2,AVERAGEIF(응답입력!BF51:BH51,"&lt;9"),"")</f>
        <v/>
      </c>
      <c r="K50" s="15" t="str">
        <f aca="false">IF(COUNTIF(응답입력!BI51:BK51,"&lt;9")&gt;=2,AVERAGEIF(응답입력!BI51:BK51,"&lt;9"),"")</f>
        <v/>
      </c>
      <c r="L50" s="15" t="str">
        <f aca="false">IF(COUNTIF(응답입력!BL51:BN51,"&lt;9")&gt;=2,AVERAGEIF(응답입력!BL51:BN51,"&lt;9"),"")</f>
        <v/>
      </c>
      <c r="M50" s="15" t="str">
        <f aca="false">IF(COUNTIF(응답입력!BO51:BQ51,"&lt;9")&gt;=2,AVERAGEIF(응답입력!BO51:BQ51,"&lt;9"),"")</f>
        <v/>
      </c>
      <c r="N50" s="15" t="str">
        <f aca="false">IF(COUNTIF(응답입력!BR51:BT51,"&lt;9")&gt;=2,AVERAGEIF(응답입력!BR51:BT51,"&lt;9"),"")</f>
        <v/>
      </c>
      <c r="O50" s="15" t="str">
        <f aca="false">IF(COUNTIF(응답입력!BU51:BW51,"&lt;9")&gt;=2,AVERAGEIF(응답입력!BU51:BW51,"&lt;9"),"")</f>
        <v/>
      </c>
      <c r="P50" s="15" t="str">
        <f aca="false">IF(COUNTIF(응답입력!BX51:BZ51,"&lt;9")&gt;=2,AVERAGEIF(응답입력!BX51:BZ51,"&lt;9"),"")</f>
        <v/>
      </c>
      <c r="Q50" s="15" t="str">
        <f aca="false">IF(COUNTIF(응답입력!CA51:CC51,"&lt;9")&gt;=2,AVERAGEIF(응답입력!CA51:CC51,"&lt;9"),"")</f>
        <v/>
      </c>
      <c r="R50" s="15" t="str">
        <f aca="false">IF(COUNTIF(응답입력!CD51:CF51,"&lt;9")&gt;=2,AVERAGEIF(응답입력!CD51:CF51,"&lt;9"),"")</f>
        <v/>
      </c>
      <c r="S50" s="15" t="str">
        <f aca="false">IF(COUNTIF(응답입력!CG51:CI51,"&lt;9")&gt;=2,AVERAGEIF(응답입력!CG51:CI51,"&lt;9"),"")</f>
        <v/>
      </c>
      <c r="T50" s="15" t="str">
        <f aca="false">IF(COUNTIF(응답입력!CJ51:CL51,"&lt;9")&gt;=2,AVERAGEIF(응답입력!CJ51:CL51,"&lt;9"),"")</f>
        <v/>
      </c>
      <c r="U50" s="15" t="str">
        <f aca="false">IF(COUNTIF(응답입력!CM51:CO51,"&lt;9")&gt;=2,AVERAGEIF(응답입력!CM51:CO51,"&lt;9"),"")</f>
        <v/>
      </c>
      <c r="V50" s="15" t="str">
        <f aca="false">IF(COUNTIF(응답입력!CP51:CR51,"&lt;9")&gt;=2,AVERAGEIF(응답입력!CP51:CR51,"&lt;9"),"")</f>
        <v/>
      </c>
      <c r="W50" s="15" t="str">
        <f aca="false">IF(COUNTIF(응답입력!CS51:CU51,"&lt;9")&gt;=2,AVERAGEIF(응답입력!CS51:CU51,"&lt;9"),"")</f>
        <v/>
      </c>
      <c r="X50" s="15" t="str">
        <f aca="false">IF(COUNTIF(응답입력!CV51:CX51,"&lt;9")&gt;=2,AVERAGEIF(응답입력!CV51:CX51,"&lt;9"),"")</f>
        <v/>
      </c>
      <c r="Y50" s="15" t="str">
        <f aca="false">IF(COUNTIF(응답입력!CY51:DA51,"&lt;9")&gt;=2,AVERAGEIF(응답입력!CY51:DA51,"&lt;9"),"")</f>
        <v/>
      </c>
      <c r="Z50" s="15" t="str">
        <f aca="false">IF(COUNTIF(응답입력!DB51:DD51,"&lt;9")&gt;=2,AVERAGEIF(응답입력!DB51:DD51,"&lt;9"),"")</f>
        <v/>
      </c>
      <c r="AA50" s="22" t="str">
        <f aca="false">IFERROR(AVERAGE(B50:Z50),"")</f>
        <v/>
      </c>
    </row>
    <row r="51" customFormat="false" ht="15" hidden="false" customHeight="false" outlineLevel="0" collapsed="false">
      <c r="A51" s="16" t="str">
        <f aca="false">IF(응답입력!A52="","",응답입력!A52)</f>
        <v/>
      </c>
      <c r="B51" s="15" t="str">
        <f aca="false">IF(COUNTIF(응답입력!AH52:AJ52,"&lt;9")&gt;=2,AVERAGEIF(응답입력!AH52:AJ52,"&lt;9"),"")</f>
        <v/>
      </c>
      <c r="C51" s="15" t="str">
        <f aca="false">IF(COUNTIF(응답입력!AK52:AM52,"&lt;9")&gt;=2,AVERAGEIF(응답입력!AK52:AM52,"&lt;9"),"")</f>
        <v/>
      </c>
      <c r="D51" s="15" t="str">
        <f aca="false">IF(COUNTIF(응답입력!AN52:AP52,"&lt;9")&gt;=2,AVERAGEIF(응답입력!AN52:AP52,"&lt;9"),"")</f>
        <v/>
      </c>
      <c r="E51" s="15" t="str">
        <f aca="false">IF(COUNTIF(응답입력!AQ52:AS52,"&lt;9")&gt;=2,AVERAGEIF(응답입력!AQ52:AS52,"&lt;9"),"")</f>
        <v/>
      </c>
      <c r="F51" s="15" t="str">
        <f aca="false">IF(COUNTIF(응답입력!AT52:AV52,"&lt;9")&gt;=2,AVERAGEIF(응답입력!AT52:AV52,"&lt;9"),"")</f>
        <v/>
      </c>
      <c r="G51" s="15" t="str">
        <f aca="false">IF(COUNTIF(응답입력!AW52:AY52,"&lt;9")&gt;=2,AVERAGEIF(응답입력!AW52:AY52,"&lt;9"),"")</f>
        <v/>
      </c>
      <c r="H51" s="15" t="str">
        <f aca="false">IF(COUNTIF(응답입력!AZ52:BB52,"&lt;9")&gt;=2,AVERAGEIF(응답입력!AZ52:BB52,"&lt;9"),"")</f>
        <v/>
      </c>
      <c r="I51" s="15" t="str">
        <f aca="false">IF(COUNTIF(응답입력!BC52:BE52,"&lt;9")&gt;=2,AVERAGEIF(응답입력!BC52:BE52,"&lt;9"),"")</f>
        <v/>
      </c>
      <c r="J51" s="15" t="str">
        <f aca="false">IF(COUNTIF(응답입력!BF52:BH52,"&lt;9")&gt;=2,AVERAGEIF(응답입력!BF52:BH52,"&lt;9"),"")</f>
        <v/>
      </c>
      <c r="K51" s="15" t="str">
        <f aca="false">IF(COUNTIF(응답입력!BI52:BK52,"&lt;9")&gt;=2,AVERAGEIF(응답입력!BI52:BK52,"&lt;9"),"")</f>
        <v/>
      </c>
      <c r="L51" s="15" t="str">
        <f aca="false">IF(COUNTIF(응답입력!BL52:BN52,"&lt;9")&gt;=2,AVERAGEIF(응답입력!BL52:BN52,"&lt;9"),"")</f>
        <v/>
      </c>
      <c r="M51" s="15" t="str">
        <f aca="false">IF(COUNTIF(응답입력!BO52:BQ52,"&lt;9")&gt;=2,AVERAGEIF(응답입력!BO52:BQ52,"&lt;9"),"")</f>
        <v/>
      </c>
      <c r="N51" s="15" t="str">
        <f aca="false">IF(COUNTIF(응답입력!BR52:BT52,"&lt;9")&gt;=2,AVERAGEIF(응답입력!BR52:BT52,"&lt;9"),"")</f>
        <v/>
      </c>
      <c r="O51" s="15" t="str">
        <f aca="false">IF(COUNTIF(응답입력!BU52:BW52,"&lt;9")&gt;=2,AVERAGEIF(응답입력!BU52:BW52,"&lt;9"),"")</f>
        <v/>
      </c>
      <c r="P51" s="15" t="str">
        <f aca="false">IF(COUNTIF(응답입력!BX52:BZ52,"&lt;9")&gt;=2,AVERAGEIF(응답입력!BX52:BZ52,"&lt;9"),"")</f>
        <v/>
      </c>
      <c r="Q51" s="15" t="str">
        <f aca="false">IF(COUNTIF(응답입력!CA52:CC52,"&lt;9")&gt;=2,AVERAGEIF(응답입력!CA52:CC52,"&lt;9"),"")</f>
        <v/>
      </c>
      <c r="R51" s="15" t="str">
        <f aca="false">IF(COUNTIF(응답입력!CD52:CF52,"&lt;9")&gt;=2,AVERAGEIF(응답입력!CD52:CF52,"&lt;9"),"")</f>
        <v/>
      </c>
      <c r="S51" s="15" t="str">
        <f aca="false">IF(COUNTIF(응답입력!CG52:CI52,"&lt;9")&gt;=2,AVERAGEIF(응답입력!CG52:CI52,"&lt;9"),"")</f>
        <v/>
      </c>
      <c r="T51" s="15" t="str">
        <f aca="false">IF(COUNTIF(응답입력!CJ52:CL52,"&lt;9")&gt;=2,AVERAGEIF(응답입력!CJ52:CL52,"&lt;9"),"")</f>
        <v/>
      </c>
      <c r="U51" s="15" t="str">
        <f aca="false">IF(COUNTIF(응답입력!CM52:CO52,"&lt;9")&gt;=2,AVERAGEIF(응답입력!CM52:CO52,"&lt;9"),"")</f>
        <v/>
      </c>
      <c r="V51" s="15" t="str">
        <f aca="false">IF(COUNTIF(응답입력!CP52:CR52,"&lt;9")&gt;=2,AVERAGEIF(응답입력!CP52:CR52,"&lt;9"),"")</f>
        <v/>
      </c>
      <c r="W51" s="15" t="str">
        <f aca="false">IF(COUNTIF(응답입력!CS52:CU52,"&lt;9")&gt;=2,AVERAGEIF(응답입력!CS52:CU52,"&lt;9"),"")</f>
        <v/>
      </c>
      <c r="X51" s="15" t="str">
        <f aca="false">IF(COUNTIF(응답입력!CV52:CX52,"&lt;9")&gt;=2,AVERAGEIF(응답입력!CV52:CX52,"&lt;9"),"")</f>
        <v/>
      </c>
      <c r="Y51" s="15" t="str">
        <f aca="false">IF(COUNTIF(응답입력!CY52:DA52,"&lt;9")&gt;=2,AVERAGEIF(응답입력!CY52:DA52,"&lt;9"),"")</f>
        <v/>
      </c>
      <c r="Z51" s="15" t="str">
        <f aca="false">IF(COUNTIF(응답입력!DB52:DD52,"&lt;9")&gt;=2,AVERAGEIF(응답입력!DB52:DD52,"&lt;9"),"")</f>
        <v/>
      </c>
      <c r="AA51" s="22" t="str">
        <f aca="false">IFERROR(AVERAGE(B51:Z51),"")</f>
        <v/>
      </c>
    </row>
    <row r="52" customFormat="false" ht="15" hidden="false" customHeight="false" outlineLevel="0" collapsed="false">
      <c r="A52" s="16" t="str">
        <f aca="false">IF(응답입력!A53="","",응답입력!A53)</f>
        <v/>
      </c>
      <c r="B52" s="15" t="str">
        <f aca="false">IF(COUNTIF(응답입력!AH53:AJ53,"&lt;9")&gt;=2,AVERAGEIF(응답입력!AH53:AJ53,"&lt;9"),"")</f>
        <v/>
      </c>
      <c r="C52" s="15" t="str">
        <f aca="false">IF(COUNTIF(응답입력!AK53:AM53,"&lt;9")&gt;=2,AVERAGEIF(응답입력!AK53:AM53,"&lt;9"),"")</f>
        <v/>
      </c>
      <c r="D52" s="15" t="str">
        <f aca="false">IF(COUNTIF(응답입력!AN53:AP53,"&lt;9")&gt;=2,AVERAGEIF(응답입력!AN53:AP53,"&lt;9"),"")</f>
        <v/>
      </c>
      <c r="E52" s="15" t="str">
        <f aca="false">IF(COUNTIF(응답입력!AQ53:AS53,"&lt;9")&gt;=2,AVERAGEIF(응답입력!AQ53:AS53,"&lt;9"),"")</f>
        <v/>
      </c>
      <c r="F52" s="15" t="str">
        <f aca="false">IF(COUNTIF(응답입력!AT53:AV53,"&lt;9")&gt;=2,AVERAGEIF(응답입력!AT53:AV53,"&lt;9"),"")</f>
        <v/>
      </c>
      <c r="G52" s="15" t="str">
        <f aca="false">IF(COUNTIF(응답입력!AW53:AY53,"&lt;9")&gt;=2,AVERAGEIF(응답입력!AW53:AY53,"&lt;9"),"")</f>
        <v/>
      </c>
      <c r="H52" s="15" t="str">
        <f aca="false">IF(COUNTIF(응답입력!AZ53:BB53,"&lt;9")&gt;=2,AVERAGEIF(응답입력!AZ53:BB53,"&lt;9"),"")</f>
        <v/>
      </c>
      <c r="I52" s="15" t="str">
        <f aca="false">IF(COUNTIF(응답입력!BC53:BE53,"&lt;9")&gt;=2,AVERAGEIF(응답입력!BC53:BE53,"&lt;9"),"")</f>
        <v/>
      </c>
      <c r="J52" s="15" t="str">
        <f aca="false">IF(COUNTIF(응답입력!BF53:BH53,"&lt;9")&gt;=2,AVERAGEIF(응답입력!BF53:BH53,"&lt;9"),"")</f>
        <v/>
      </c>
      <c r="K52" s="15" t="str">
        <f aca="false">IF(COUNTIF(응답입력!BI53:BK53,"&lt;9")&gt;=2,AVERAGEIF(응답입력!BI53:BK53,"&lt;9"),"")</f>
        <v/>
      </c>
      <c r="L52" s="15" t="str">
        <f aca="false">IF(COUNTIF(응답입력!BL53:BN53,"&lt;9")&gt;=2,AVERAGEIF(응답입력!BL53:BN53,"&lt;9"),"")</f>
        <v/>
      </c>
      <c r="M52" s="15" t="str">
        <f aca="false">IF(COUNTIF(응답입력!BO53:BQ53,"&lt;9")&gt;=2,AVERAGEIF(응답입력!BO53:BQ53,"&lt;9"),"")</f>
        <v/>
      </c>
      <c r="N52" s="15" t="str">
        <f aca="false">IF(COUNTIF(응답입력!BR53:BT53,"&lt;9")&gt;=2,AVERAGEIF(응답입력!BR53:BT53,"&lt;9"),"")</f>
        <v/>
      </c>
      <c r="O52" s="15" t="str">
        <f aca="false">IF(COUNTIF(응답입력!BU53:BW53,"&lt;9")&gt;=2,AVERAGEIF(응답입력!BU53:BW53,"&lt;9"),"")</f>
        <v/>
      </c>
      <c r="P52" s="15" t="str">
        <f aca="false">IF(COUNTIF(응답입력!BX53:BZ53,"&lt;9")&gt;=2,AVERAGEIF(응답입력!BX53:BZ53,"&lt;9"),"")</f>
        <v/>
      </c>
      <c r="Q52" s="15" t="str">
        <f aca="false">IF(COUNTIF(응답입력!CA53:CC53,"&lt;9")&gt;=2,AVERAGEIF(응답입력!CA53:CC53,"&lt;9"),"")</f>
        <v/>
      </c>
      <c r="R52" s="15" t="str">
        <f aca="false">IF(COUNTIF(응답입력!CD53:CF53,"&lt;9")&gt;=2,AVERAGEIF(응답입력!CD53:CF53,"&lt;9"),"")</f>
        <v/>
      </c>
      <c r="S52" s="15" t="str">
        <f aca="false">IF(COUNTIF(응답입력!CG53:CI53,"&lt;9")&gt;=2,AVERAGEIF(응답입력!CG53:CI53,"&lt;9"),"")</f>
        <v/>
      </c>
      <c r="T52" s="15" t="str">
        <f aca="false">IF(COUNTIF(응답입력!CJ53:CL53,"&lt;9")&gt;=2,AVERAGEIF(응답입력!CJ53:CL53,"&lt;9"),"")</f>
        <v/>
      </c>
      <c r="U52" s="15" t="str">
        <f aca="false">IF(COUNTIF(응답입력!CM53:CO53,"&lt;9")&gt;=2,AVERAGEIF(응답입력!CM53:CO53,"&lt;9"),"")</f>
        <v/>
      </c>
      <c r="V52" s="15" t="str">
        <f aca="false">IF(COUNTIF(응답입력!CP53:CR53,"&lt;9")&gt;=2,AVERAGEIF(응답입력!CP53:CR53,"&lt;9"),"")</f>
        <v/>
      </c>
      <c r="W52" s="15" t="str">
        <f aca="false">IF(COUNTIF(응답입력!CS53:CU53,"&lt;9")&gt;=2,AVERAGEIF(응답입력!CS53:CU53,"&lt;9"),"")</f>
        <v/>
      </c>
      <c r="X52" s="15" t="str">
        <f aca="false">IF(COUNTIF(응답입력!CV53:CX53,"&lt;9")&gt;=2,AVERAGEIF(응답입력!CV53:CX53,"&lt;9"),"")</f>
        <v/>
      </c>
      <c r="Y52" s="15" t="str">
        <f aca="false">IF(COUNTIF(응답입력!CY53:DA53,"&lt;9")&gt;=2,AVERAGEIF(응답입력!CY53:DA53,"&lt;9"),"")</f>
        <v/>
      </c>
      <c r="Z52" s="15" t="str">
        <f aca="false">IF(COUNTIF(응답입력!DB53:DD53,"&lt;9")&gt;=2,AVERAGEIF(응답입력!DB53:DD53,"&lt;9"),"")</f>
        <v/>
      </c>
      <c r="AA52" s="22" t="str">
        <f aca="false">IFERROR(AVERAGE(B52:Z52),"")</f>
        <v/>
      </c>
    </row>
    <row r="53" customFormat="false" ht="15" hidden="false" customHeight="false" outlineLevel="0" collapsed="false">
      <c r="A53" s="16" t="str">
        <f aca="false">IF(응답입력!A54="","",응답입력!A54)</f>
        <v/>
      </c>
      <c r="B53" s="15" t="str">
        <f aca="false">IF(COUNTIF(응답입력!AH54:AJ54,"&lt;9")&gt;=2,AVERAGEIF(응답입력!AH54:AJ54,"&lt;9"),"")</f>
        <v/>
      </c>
      <c r="C53" s="15" t="str">
        <f aca="false">IF(COUNTIF(응답입력!AK54:AM54,"&lt;9")&gt;=2,AVERAGEIF(응답입력!AK54:AM54,"&lt;9"),"")</f>
        <v/>
      </c>
      <c r="D53" s="15" t="str">
        <f aca="false">IF(COUNTIF(응답입력!AN54:AP54,"&lt;9")&gt;=2,AVERAGEIF(응답입력!AN54:AP54,"&lt;9"),"")</f>
        <v/>
      </c>
      <c r="E53" s="15" t="str">
        <f aca="false">IF(COUNTIF(응답입력!AQ54:AS54,"&lt;9")&gt;=2,AVERAGEIF(응답입력!AQ54:AS54,"&lt;9"),"")</f>
        <v/>
      </c>
      <c r="F53" s="15" t="str">
        <f aca="false">IF(COUNTIF(응답입력!AT54:AV54,"&lt;9")&gt;=2,AVERAGEIF(응답입력!AT54:AV54,"&lt;9"),"")</f>
        <v/>
      </c>
      <c r="G53" s="15" t="str">
        <f aca="false">IF(COUNTIF(응답입력!AW54:AY54,"&lt;9")&gt;=2,AVERAGEIF(응답입력!AW54:AY54,"&lt;9"),"")</f>
        <v/>
      </c>
      <c r="H53" s="15" t="str">
        <f aca="false">IF(COUNTIF(응답입력!AZ54:BB54,"&lt;9")&gt;=2,AVERAGEIF(응답입력!AZ54:BB54,"&lt;9"),"")</f>
        <v/>
      </c>
      <c r="I53" s="15" t="str">
        <f aca="false">IF(COUNTIF(응답입력!BC54:BE54,"&lt;9")&gt;=2,AVERAGEIF(응답입력!BC54:BE54,"&lt;9"),"")</f>
        <v/>
      </c>
      <c r="J53" s="15" t="str">
        <f aca="false">IF(COUNTIF(응답입력!BF54:BH54,"&lt;9")&gt;=2,AVERAGEIF(응답입력!BF54:BH54,"&lt;9"),"")</f>
        <v/>
      </c>
      <c r="K53" s="15" t="str">
        <f aca="false">IF(COUNTIF(응답입력!BI54:BK54,"&lt;9")&gt;=2,AVERAGEIF(응답입력!BI54:BK54,"&lt;9"),"")</f>
        <v/>
      </c>
      <c r="L53" s="15" t="str">
        <f aca="false">IF(COUNTIF(응답입력!BL54:BN54,"&lt;9")&gt;=2,AVERAGEIF(응답입력!BL54:BN54,"&lt;9"),"")</f>
        <v/>
      </c>
      <c r="M53" s="15" t="str">
        <f aca="false">IF(COUNTIF(응답입력!BO54:BQ54,"&lt;9")&gt;=2,AVERAGEIF(응답입력!BO54:BQ54,"&lt;9"),"")</f>
        <v/>
      </c>
      <c r="N53" s="15" t="str">
        <f aca="false">IF(COUNTIF(응답입력!BR54:BT54,"&lt;9")&gt;=2,AVERAGEIF(응답입력!BR54:BT54,"&lt;9"),"")</f>
        <v/>
      </c>
      <c r="O53" s="15" t="str">
        <f aca="false">IF(COUNTIF(응답입력!BU54:BW54,"&lt;9")&gt;=2,AVERAGEIF(응답입력!BU54:BW54,"&lt;9"),"")</f>
        <v/>
      </c>
      <c r="P53" s="15" t="str">
        <f aca="false">IF(COUNTIF(응답입력!BX54:BZ54,"&lt;9")&gt;=2,AVERAGEIF(응답입력!BX54:BZ54,"&lt;9"),"")</f>
        <v/>
      </c>
      <c r="Q53" s="15" t="str">
        <f aca="false">IF(COUNTIF(응답입력!CA54:CC54,"&lt;9")&gt;=2,AVERAGEIF(응답입력!CA54:CC54,"&lt;9"),"")</f>
        <v/>
      </c>
      <c r="R53" s="15" t="str">
        <f aca="false">IF(COUNTIF(응답입력!CD54:CF54,"&lt;9")&gt;=2,AVERAGEIF(응답입력!CD54:CF54,"&lt;9"),"")</f>
        <v/>
      </c>
      <c r="S53" s="15" t="str">
        <f aca="false">IF(COUNTIF(응답입력!CG54:CI54,"&lt;9")&gt;=2,AVERAGEIF(응답입력!CG54:CI54,"&lt;9"),"")</f>
        <v/>
      </c>
      <c r="T53" s="15" t="str">
        <f aca="false">IF(COUNTIF(응답입력!CJ54:CL54,"&lt;9")&gt;=2,AVERAGEIF(응답입력!CJ54:CL54,"&lt;9"),"")</f>
        <v/>
      </c>
      <c r="U53" s="15" t="str">
        <f aca="false">IF(COUNTIF(응답입력!CM54:CO54,"&lt;9")&gt;=2,AVERAGEIF(응답입력!CM54:CO54,"&lt;9"),"")</f>
        <v/>
      </c>
      <c r="V53" s="15" t="str">
        <f aca="false">IF(COUNTIF(응답입력!CP54:CR54,"&lt;9")&gt;=2,AVERAGEIF(응답입력!CP54:CR54,"&lt;9"),"")</f>
        <v/>
      </c>
      <c r="W53" s="15" t="str">
        <f aca="false">IF(COUNTIF(응답입력!CS54:CU54,"&lt;9")&gt;=2,AVERAGEIF(응답입력!CS54:CU54,"&lt;9"),"")</f>
        <v/>
      </c>
      <c r="X53" s="15" t="str">
        <f aca="false">IF(COUNTIF(응답입력!CV54:CX54,"&lt;9")&gt;=2,AVERAGEIF(응답입력!CV54:CX54,"&lt;9"),"")</f>
        <v/>
      </c>
      <c r="Y53" s="15" t="str">
        <f aca="false">IF(COUNTIF(응답입력!CY54:DA54,"&lt;9")&gt;=2,AVERAGEIF(응답입력!CY54:DA54,"&lt;9"),"")</f>
        <v/>
      </c>
      <c r="Z53" s="15" t="str">
        <f aca="false">IF(COUNTIF(응답입력!DB54:DD54,"&lt;9")&gt;=2,AVERAGEIF(응답입력!DB54:DD54,"&lt;9"),"")</f>
        <v/>
      </c>
      <c r="AA53" s="22" t="str">
        <f aca="false">IFERROR(AVERAGE(B53:Z53),"")</f>
        <v/>
      </c>
    </row>
    <row r="54" customFormat="false" ht="15" hidden="false" customHeight="false" outlineLevel="0" collapsed="false">
      <c r="A54" s="16" t="str">
        <f aca="false">IF(응답입력!A55="","",응답입력!A55)</f>
        <v/>
      </c>
      <c r="B54" s="15" t="str">
        <f aca="false">IF(COUNTIF(응답입력!AH55:AJ55,"&lt;9")&gt;=2,AVERAGEIF(응답입력!AH55:AJ55,"&lt;9"),"")</f>
        <v/>
      </c>
      <c r="C54" s="15" t="str">
        <f aca="false">IF(COUNTIF(응답입력!AK55:AM55,"&lt;9")&gt;=2,AVERAGEIF(응답입력!AK55:AM55,"&lt;9"),"")</f>
        <v/>
      </c>
      <c r="D54" s="15" t="str">
        <f aca="false">IF(COUNTIF(응답입력!AN55:AP55,"&lt;9")&gt;=2,AVERAGEIF(응답입력!AN55:AP55,"&lt;9"),"")</f>
        <v/>
      </c>
      <c r="E54" s="15" t="str">
        <f aca="false">IF(COUNTIF(응답입력!AQ55:AS55,"&lt;9")&gt;=2,AVERAGEIF(응답입력!AQ55:AS55,"&lt;9"),"")</f>
        <v/>
      </c>
      <c r="F54" s="15" t="str">
        <f aca="false">IF(COUNTIF(응답입력!AT55:AV55,"&lt;9")&gt;=2,AVERAGEIF(응답입력!AT55:AV55,"&lt;9"),"")</f>
        <v/>
      </c>
      <c r="G54" s="15" t="str">
        <f aca="false">IF(COUNTIF(응답입력!AW55:AY55,"&lt;9")&gt;=2,AVERAGEIF(응답입력!AW55:AY55,"&lt;9"),"")</f>
        <v/>
      </c>
      <c r="H54" s="15" t="str">
        <f aca="false">IF(COUNTIF(응답입력!AZ55:BB55,"&lt;9")&gt;=2,AVERAGEIF(응답입력!AZ55:BB55,"&lt;9"),"")</f>
        <v/>
      </c>
      <c r="I54" s="15" t="str">
        <f aca="false">IF(COUNTIF(응답입력!BC55:BE55,"&lt;9")&gt;=2,AVERAGEIF(응답입력!BC55:BE55,"&lt;9"),"")</f>
        <v/>
      </c>
      <c r="J54" s="15" t="str">
        <f aca="false">IF(COUNTIF(응답입력!BF55:BH55,"&lt;9")&gt;=2,AVERAGEIF(응답입력!BF55:BH55,"&lt;9"),"")</f>
        <v/>
      </c>
      <c r="K54" s="15" t="str">
        <f aca="false">IF(COUNTIF(응답입력!BI55:BK55,"&lt;9")&gt;=2,AVERAGEIF(응답입력!BI55:BK55,"&lt;9"),"")</f>
        <v/>
      </c>
      <c r="L54" s="15" t="str">
        <f aca="false">IF(COUNTIF(응답입력!BL55:BN55,"&lt;9")&gt;=2,AVERAGEIF(응답입력!BL55:BN55,"&lt;9"),"")</f>
        <v/>
      </c>
      <c r="M54" s="15" t="str">
        <f aca="false">IF(COUNTIF(응답입력!BO55:BQ55,"&lt;9")&gt;=2,AVERAGEIF(응답입력!BO55:BQ55,"&lt;9"),"")</f>
        <v/>
      </c>
      <c r="N54" s="15" t="str">
        <f aca="false">IF(COUNTIF(응답입력!BR55:BT55,"&lt;9")&gt;=2,AVERAGEIF(응답입력!BR55:BT55,"&lt;9"),"")</f>
        <v/>
      </c>
      <c r="O54" s="15" t="str">
        <f aca="false">IF(COUNTIF(응답입력!BU55:BW55,"&lt;9")&gt;=2,AVERAGEIF(응답입력!BU55:BW55,"&lt;9"),"")</f>
        <v/>
      </c>
      <c r="P54" s="15" t="str">
        <f aca="false">IF(COUNTIF(응답입력!BX55:BZ55,"&lt;9")&gt;=2,AVERAGEIF(응답입력!BX55:BZ55,"&lt;9"),"")</f>
        <v/>
      </c>
      <c r="Q54" s="15" t="str">
        <f aca="false">IF(COUNTIF(응답입력!CA55:CC55,"&lt;9")&gt;=2,AVERAGEIF(응답입력!CA55:CC55,"&lt;9"),"")</f>
        <v/>
      </c>
      <c r="R54" s="15" t="str">
        <f aca="false">IF(COUNTIF(응답입력!CD55:CF55,"&lt;9")&gt;=2,AVERAGEIF(응답입력!CD55:CF55,"&lt;9"),"")</f>
        <v/>
      </c>
      <c r="S54" s="15" t="str">
        <f aca="false">IF(COUNTIF(응답입력!CG55:CI55,"&lt;9")&gt;=2,AVERAGEIF(응답입력!CG55:CI55,"&lt;9"),"")</f>
        <v/>
      </c>
      <c r="T54" s="15" t="str">
        <f aca="false">IF(COUNTIF(응답입력!CJ55:CL55,"&lt;9")&gt;=2,AVERAGEIF(응답입력!CJ55:CL55,"&lt;9"),"")</f>
        <v/>
      </c>
      <c r="U54" s="15" t="str">
        <f aca="false">IF(COUNTIF(응답입력!CM55:CO55,"&lt;9")&gt;=2,AVERAGEIF(응답입력!CM55:CO55,"&lt;9"),"")</f>
        <v/>
      </c>
      <c r="V54" s="15" t="str">
        <f aca="false">IF(COUNTIF(응답입력!CP55:CR55,"&lt;9")&gt;=2,AVERAGEIF(응답입력!CP55:CR55,"&lt;9"),"")</f>
        <v/>
      </c>
      <c r="W54" s="15" t="str">
        <f aca="false">IF(COUNTIF(응답입력!CS55:CU55,"&lt;9")&gt;=2,AVERAGEIF(응답입력!CS55:CU55,"&lt;9"),"")</f>
        <v/>
      </c>
      <c r="X54" s="15" t="str">
        <f aca="false">IF(COUNTIF(응답입력!CV55:CX55,"&lt;9")&gt;=2,AVERAGEIF(응답입력!CV55:CX55,"&lt;9"),"")</f>
        <v/>
      </c>
      <c r="Y54" s="15" t="str">
        <f aca="false">IF(COUNTIF(응답입력!CY55:DA55,"&lt;9")&gt;=2,AVERAGEIF(응답입력!CY55:DA55,"&lt;9"),"")</f>
        <v/>
      </c>
      <c r="Z54" s="15" t="str">
        <f aca="false">IF(COUNTIF(응답입력!DB55:DD55,"&lt;9")&gt;=2,AVERAGEIF(응답입력!DB55:DD55,"&lt;9"),"")</f>
        <v/>
      </c>
      <c r="AA54" s="22" t="str">
        <f aca="false">IFERROR(AVERAGE(B54:Z54),"")</f>
        <v/>
      </c>
    </row>
    <row r="55" customFormat="false" ht="15" hidden="false" customHeight="false" outlineLevel="0" collapsed="false">
      <c r="A55" s="16" t="str">
        <f aca="false">IF(응답입력!A56="","",응답입력!A56)</f>
        <v/>
      </c>
      <c r="B55" s="15" t="str">
        <f aca="false">IF(COUNTIF(응답입력!AH56:AJ56,"&lt;9")&gt;=2,AVERAGEIF(응답입력!AH56:AJ56,"&lt;9"),"")</f>
        <v/>
      </c>
      <c r="C55" s="15" t="str">
        <f aca="false">IF(COUNTIF(응답입력!AK56:AM56,"&lt;9")&gt;=2,AVERAGEIF(응답입력!AK56:AM56,"&lt;9"),"")</f>
        <v/>
      </c>
      <c r="D55" s="15" t="str">
        <f aca="false">IF(COUNTIF(응답입력!AN56:AP56,"&lt;9")&gt;=2,AVERAGEIF(응답입력!AN56:AP56,"&lt;9"),"")</f>
        <v/>
      </c>
      <c r="E55" s="15" t="str">
        <f aca="false">IF(COUNTIF(응답입력!AQ56:AS56,"&lt;9")&gt;=2,AVERAGEIF(응답입력!AQ56:AS56,"&lt;9"),"")</f>
        <v/>
      </c>
      <c r="F55" s="15" t="str">
        <f aca="false">IF(COUNTIF(응답입력!AT56:AV56,"&lt;9")&gt;=2,AVERAGEIF(응답입력!AT56:AV56,"&lt;9"),"")</f>
        <v/>
      </c>
      <c r="G55" s="15" t="str">
        <f aca="false">IF(COUNTIF(응답입력!AW56:AY56,"&lt;9")&gt;=2,AVERAGEIF(응답입력!AW56:AY56,"&lt;9"),"")</f>
        <v/>
      </c>
      <c r="H55" s="15" t="str">
        <f aca="false">IF(COUNTIF(응답입력!AZ56:BB56,"&lt;9")&gt;=2,AVERAGEIF(응답입력!AZ56:BB56,"&lt;9"),"")</f>
        <v/>
      </c>
      <c r="I55" s="15" t="str">
        <f aca="false">IF(COUNTIF(응답입력!BC56:BE56,"&lt;9")&gt;=2,AVERAGEIF(응답입력!BC56:BE56,"&lt;9"),"")</f>
        <v/>
      </c>
      <c r="J55" s="15" t="str">
        <f aca="false">IF(COUNTIF(응답입력!BF56:BH56,"&lt;9")&gt;=2,AVERAGEIF(응답입력!BF56:BH56,"&lt;9"),"")</f>
        <v/>
      </c>
      <c r="K55" s="15" t="str">
        <f aca="false">IF(COUNTIF(응답입력!BI56:BK56,"&lt;9")&gt;=2,AVERAGEIF(응답입력!BI56:BK56,"&lt;9"),"")</f>
        <v/>
      </c>
      <c r="L55" s="15" t="str">
        <f aca="false">IF(COUNTIF(응답입력!BL56:BN56,"&lt;9")&gt;=2,AVERAGEIF(응답입력!BL56:BN56,"&lt;9"),"")</f>
        <v/>
      </c>
      <c r="M55" s="15" t="str">
        <f aca="false">IF(COUNTIF(응답입력!BO56:BQ56,"&lt;9")&gt;=2,AVERAGEIF(응답입력!BO56:BQ56,"&lt;9"),"")</f>
        <v/>
      </c>
      <c r="N55" s="15" t="str">
        <f aca="false">IF(COUNTIF(응답입력!BR56:BT56,"&lt;9")&gt;=2,AVERAGEIF(응답입력!BR56:BT56,"&lt;9"),"")</f>
        <v/>
      </c>
      <c r="O55" s="15" t="str">
        <f aca="false">IF(COUNTIF(응답입력!BU56:BW56,"&lt;9")&gt;=2,AVERAGEIF(응답입력!BU56:BW56,"&lt;9"),"")</f>
        <v/>
      </c>
      <c r="P55" s="15" t="str">
        <f aca="false">IF(COUNTIF(응답입력!BX56:BZ56,"&lt;9")&gt;=2,AVERAGEIF(응답입력!BX56:BZ56,"&lt;9"),"")</f>
        <v/>
      </c>
      <c r="Q55" s="15" t="str">
        <f aca="false">IF(COUNTIF(응답입력!CA56:CC56,"&lt;9")&gt;=2,AVERAGEIF(응답입력!CA56:CC56,"&lt;9"),"")</f>
        <v/>
      </c>
      <c r="R55" s="15" t="str">
        <f aca="false">IF(COUNTIF(응답입력!CD56:CF56,"&lt;9")&gt;=2,AVERAGEIF(응답입력!CD56:CF56,"&lt;9"),"")</f>
        <v/>
      </c>
      <c r="S55" s="15" t="str">
        <f aca="false">IF(COUNTIF(응답입력!CG56:CI56,"&lt;9")&gt;=2,AVERAGEIF(응답입력!CG56:CI56,"&lt;9"),"")</f>
        <v/>
      </c>
      <c r="T55" s="15" t="str">
        <f aca="false">IF(COUNTIF(응답입력!CJ56:CL56,"&lt;9")&gt;=2,AVERAGEIF(응답입력!CJ56:CL56,"&lt;9"),"")</f>
        <v/>
      </c>
      <c r="U55" s="15" t="str">
        <f aca="false">IF(COUNTIF(응답입력!CM56:CO56,"&lt;9")&gt;=2,AVERAGEIF(응답입력!CM56:CO56,"&lt;9"),"")</f>
        <v/>
      </c>
      <c r="V55" s="15" t="str">
        <f aca="false">IF(COUNTIF(응답입력!CP56:CR56,"&lt;9")&gt;=2,AVERAGEIF(응답입력!CP56:CR56,"&lt;9"),"")</f>
        <v/>
      </c>
      <c r="W55" s="15" t="str">
        <f aca="false">IF(COUNTIF(응답입력!CS56:CU56,"&lt;9")&gt;=2,AVERAGEIF(응답입력!CS56:CU56,"&lt;9"),"")</f>
        <v/>
      </c>
      <c r="X55" s="15" t="str">
        <f aca="false">IF(COUNTIF(응답입력!CV56:CX56,"&lt;9")&gt;=2,AVERAGEIF(응답입력!CV56:CX56,"&lt;9"),"")</f>
        <v/>
      </c>
      <c r="Y55" s="15" t="str">
        <f aca="false">IF(COUNTIF(응답입력!CY56:DA56,"&lt;9")&gt;=2,AVERAGEIF(응답입력!CY56:DA56,"&lt;9"),"")</f>
        <v/>
      </c>
      <c r="Z55" s="15" t="str">
        <f aca="false">IF(COUNTIF(응답입력!DB56:DD56,"&lt;9")&gt;=2,AVERAGEIF(응답입력!DB56:DD56,"&lt;9"),"")</f>
        <v/>
      </c>
      <c r="AA55" s="22" t="str">
        <f aca="false">IFERROR(AVERAGE(B55:Z55),"")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28"/>
  </cols>
  <sheetData>
    <row r="1" customFormat="false" ht="19.4" hidden="false" customHeight="false" outlineLevel="0" collapsed="false">
      <c r="A1" s="7" t="s">
        <v>705</v>
      </c>
    </row>
    <row r="4" customFormat="false" ht="15" hidden="false" customHeight="false" outlineLevel="0" collapsed="false">
      <c r="A4" s="8" t="s">
        <v>26</v>
      </c>
      <c r="B4" s="9" t="s">
        <v>117</v>
      </c>
      <c r="C4" s="9" t="s">
        <v>116</v>
      </c>
      <c r="D4" s="9" t="s">
        <v>706</v>
      </c>
      <c r="E4" s="9" t="s">
        <v>707</v>
      </c>
      <c r="F4" s="9" t="s">
        <v>708</v>
      </c>
      <c r="G4" s="9" t="s">
        <v>709</v>
      </c>
      <c r="H4" s="9" t="s">
        <v>710</v>
      </c>
      <c r="I4" s="8" t="s">
        <v>711</v>
      </c>
      <c r="J4" s="9" t="s">
        <v>712</v>
      </c>
    </row>
    <row r="5" customFormat="false" ht="15" hidden="false" customHeight="false" outlineLevel="0" collapsed="false">
      <c r="A5" s="6" t="s">
        <v>124</v>
      </c>
      <c r="B5" s="6" t="s">
        <v>126</v>
      </c>
      <c r="C5" s="4" t="s">
        <v>125</v>
      </c>
      <c r="D5" s="15" t="str">
        <f aca="false">IFERROR(AVERAGEIF(응답입력!$AH$7:$AH$56,"&lt;9"),"")</f>
        <v/>
      </c>
      <c r="E5" s="15" t="str">
        <f aca="false">IFERROR(AVERAGEIF(응답입력!$AI$7:$AI$56,"&lt;9"),"")</f>
        <v/>
      </c>
      <c r="F5" s="15" t="str">
        <f aca="false">IFERROR(AVERAGEIF(응답입력!$AJ$7:$AJ$56,"&lt;9"),"")</f>
        <v/>
      </c>
      <c r="G5" s="22" t="str">
        <f aca="false">IFERROR(AVERAGE(D5:F5),"")</f>
        <v/>
      </c>
      <c r="H5" s="16" t="n">
        <f aca="false">COUNTIF(응답입력!$AH$7:$AH$56,"&lt;9")+COUNTIF(응답입력!$AI$7:$AI$56,"&lt;9")+COUNTIF(응답입력!$AJ$7:$AJ$56,"&lt;9")</f>
        <v>0</v>
      </c>
      <c r="I5" s="15" t="str">
        <f aca="false">IF(AND(ISNUMBER(D5),ISNUMBER(F5)),D5-F5,"")</f>
        <v/>
      </c>
      <c r="J5" s="4" t="str">
        <f aca="false">IF(I5="","",IF(I5&gt;=1,"방치 의심(반영≫갱신)",IF(I5&lt;=-0.5,"점검 필요(갱신&gt;반영)","균형")))</f>
        <v/>
      </c>
    </row>
    <row r="6" customFormat="false" ht="15" hidden="false" customHeight="false" outlineLevel="0" collapsed="false">
      <c r="A6" s="6" t="s">
        <v>131</v>
      </c>
      <c r="B6" s="6" t="s">
        <v>132</v>
      </c>
      <c r="C6" s="4" t="s">
        <v>125</v>
      </c>
      <c r="D6" s="15" t="str">
        <f aca="false">IFERROR(AVERAGEIF(응답입력!$AK$7:$AK$56,"&lt;9"),"")</f>
        <v/>
      </c>
      <c r="E6" s="15" t="str">
        <f aca="false">IFERROR(AVERAGEIF(응답입력!$AL$7:$AL$56,"&lt;9"),"")</f>
        <v/>
      </c>
      <c r="F6" s="15" t="str">
        <f aca="false">IFERROR(AVERAGEIF(응답입력!$AM$7:$AM$56,"&lt;9"),"")</f>
        <v/>
      </c>
      <c r="G6" s="22" t="str">
        <f aca="false">IFERROR(AVERAGE(D6:F6),"")</f>
        <v/>
      </c>
      <c r="H6" s="16" t="n">
        <f aca="false">COUNTIF(응답입력!$AK$7:$AK$56,"&lt;9")+COUNTIF(응답입력!$AL$7:$AL$56,"&lt;9")+COUNTIF(응답입력!$AM$7:$AM$56,"&lt;9")</f>
        <v>0</v>
      </c>
      <c r="I6" s="15" t="str">
        <f aca="false">IF(AND(ISNUMBER(D6),ISNUMBER(F6)),D6-F6,"")</f>
        <v/>
      </c>
      <c r="J6" s="4" t="str">
        <f aca="false">IF(I6="","",IF(I6&gt;=1,"방치 의심(반영≫갱신)",IF(I6&lt;=-0.5,"점검 필요(갱신&gt;반영)","균형")))</f>
        <v/>
      </c>
    </row>
    <row r="7" customFormat="false" ht="15" hidden="false" customHeight="false" outlineLevel="0" collapsed="false">
      <c r="A7" s="6" t="s">
        <v>135</v>
      </c>
      <c r="B7" s="6" t="s">
        <v>136</v>
      </c>
      <c r="C7" s="4" t="s">
        <v>125</v>
      </c>
      <c r="D7" s="15" t="str">
        <f aca="false">IFERROR(AVERAGEIF(응답입력!$AN$7:$AN$56,"&lt;9"),"")</f>
        <v/>
      </c>
      <c r="E7" s="15" t="str">
        <f aca="false">IFERROR(AVERAGEIF(응답입력!$AO$7:$AO$56,"&lt;9"),"")</f>
        <v/>
      </c>
      <c r="F7" s="15" t="str">
        <f aca="false">IFERROR(AVERAGEIF(응답입력!$AP$7:$AP$56,"&lt;9"),"")</f>
        <v/>
      </c>
      <c r="G7" s="22" t="str">
        <f aca="false">IFERROR(AVERAGE(D7:F7),"")</f>
        <v/>
      </c>
      <c r="H7" s="16" t="n">
        <f aca="false">COUNTIF(응답입력!$AN$7:$AN$56,"&lt;9")+COUNTIF(응답입력!$AO$7:$AO$56,"&lt;9")+COUNTIF(응답입력!$AP$7:$AP$56,"&lt;9")</f>
        <v>0</v>
      </c>
      <c r="I7" s="15" t="str">
        <f aca="false">IF(AND(ISNUMBER(D7),ISNUMBER(F7)),D7-F7,"")</f>
        <v/>
      </c>
      <c r="J7" s="4" t="str">
        <f aca="false">IF(I7="","",IF(I7&gt;=1,"방치 의심(반영≫갱신)",IF(I7&lt;=-0.5,"점검 필요(갱신&gt;반영)","균형")))</f>
        <v/>
      </c>
    </row>
    <row r="8" customFormat="false" ht="15" hidden="false" customHeight="false" outlineLevel="0" collapsed="false">
      <c r="A8" s="6" t="s">
        <v>139</v>
      </c>
      <c r="B8" s="6" t="s">
        <v>140</v>
      </c>
      <c r="C8" s="4" t="s">
        <v>125</v>
      </c>
      <c r="D8" s="15" t="str">
        <f aca="false">IFERROR(AVERAGEIF(응답입력!$AQ$7:$AQ$56,"&lt;9"),"")</f>
        <v/>
      </c>
      <c r="E8" s="15" t="str">
        <f aca="false">IFERROR(AVERAGEIF(응답입력!$AR$7:$AR$56,"&lt;9"),"")</f>
        <v/>
      </c>
      <c r="F8" s="15" t="str">
        <f aca="false">IFERROR(AVERAGEIF(응답입력!$AS$7:$AS$56,"&lt;9"),"")</f>
        <v/>
      </c>
      <c r="G8" s="22" t="str">
        <f aca="false">IFERROR(AVERAGE(D8:F8),"")</f>
        <v/>
      </c>
      <c r="H8" s="16" t="n">
        <f aca="false">COUNTIF(응답입력!$AQ$7:$AQ$56,"&lt;9")+COUNTIF(응답입력!$AR$7:$AR$56,"&lt;9")+COUNTIF(응답입력!$AS$7:$AS$56,"&lt;9")</f>
        <v>0</v>
      </c>
      <c r="I8" s="15" t="str">
        <f aca="false">IF(AND(ISNUMBER(D8),ISNUMBER(F8)),D8-F8,"")</f>
        <v/>
      </c>
      <c r="J8" s="4" t="str">
        <f aca="false">IF(I8="","",IF(I8&gt;=1,"방치 의심(반영≫갱신)",IF(I8&lt;=-0.5,"점검 필요(갱신&gt;반영)","균형")))</f>
        <v/>
      </c>
    </row>
    <row r="9" customFormat="false" ht="15" hidden="false" customHeight="false" outlineLevel="0" collapsed="false">
      <c r="A9" s="6" t="s">
        <v>143</v>
      </c>
      <c r="B9" s="6" t="s">
        <v>144</v>
      </c>
      <c r="C9" s="4" t="s">
        <v>125</v>
      </c>
      <c r="D9" s="15" t="str">
        <f aca="false">IFERROR(AVERAGEIF(응답입력!$AT$7:$AT$56,"&lt;9"),"")</f>
        <v/>
      </c>
      <c r="E9" s="15" t="str">
        <f aca="false">IFERROR(AVERAGEIF(응답입력!$AU$7:$AU$56,"&lt;9"),"")</f>
        <v/>
      </c>
      <c r="F9" s="15" t="str">
        <f aca="false">IFERROR(AVERAGEIF(응답입력!$AV$7:$AV$56,"&lt;9"),"")</f>
        <v/>
      </c>
      <c r="G9" s="22" t="str">
        <f aca="false">IFERROR(AVERAGE(D9:F9),"")</f>
        <v/>
      </c>
      <c r="H9" s="16" t="n">
        <f aca="false">COUNTIF(응답입력!$AT$7:$AT$56,"&lt;9")+COUNTIF(응답입력!$AU$7:$AU$56,"&lt;9")+COUNTIF(응답입력!$AV$7:$AV$56,"&lt;9")</f>
        <v>0</v>
      </c>
      <c r="I9" s="15" t="str">
        <f aca="false">IF(AND(ISNUMBER(D9),ISNUMBER(F9)),D9-F9,"")</f>
        <v/>
      </c>
      <c r="J9" s="4" t="str">
        <f aca="false">IF(I9="","",IF(I9&gt;=1,"방치 의심(반영≫갱신)",IF(I9&lt;=-0.5,"점검 필요(갱신&gt;반영)","균형")))</f>
        <v/>
      </c>
    </row>
    <row r="10" customFormat="false" ht="15" hidden="false" customHeight="false" outlineLevel="0" collapsed="false">
      <c r="A10" s="6" t="s">
        <v>147</v>
      </c>
      <c r="B10" s="6" t="s">
        <v>149</v>
      </c>
      <c r="C10" s="4" t="s">
        <v>148</v>
      </c>
      <c r="D10" s="15" t="str">
        <f aca="false">IFERROR(AVERAGEIF(응답입력!$AW$7:$AW$56,"&lt;9"),"")</f>
        <v/>
      </c>
      <c r="E10" s="15" t="str">
        <f aca="false">IFERROR(AVERAGEIF(응답입력!$AX$7:$AX$56,"&lt;9"),"")</f>
        <v/>
      </c>
      <c r="F10" s="15" t="str">
        <f aca="false">IFERROR(AVERAGEIF(응답입력!$AY$7:$AY$56,"&lt;9"),"")</f>
        <v/>
      </c>
      <c r="G10" s="22" t="str">
        <f aca="false">IFERROR(AVERAGE(D10:F10),"")</f>
        <v/>
      </c>
      <c r="H10" s="16" t="n">
        <f aca="false">COUNTIF(응답입력!$AW$7:$AW$56,"&lt;9")+COUNTIF(응답입력!$AX$7:$AX$56,"&lt;9")+COUNTIF(응답입력!$AY$7:$AY$56,"&lt;9")</f>
        <v>0</v>
      </c>
      <c r="I10" s="15" t="str">
        <f aca="false">IF(AND(ISNUMBER(D10),ISNUMBER(F10)),D10-F10,"")</f>
        <v/>
      </c>
      <c r="J10" s="4" t="str">
        <f aca="false">IF(I10="","",IF(I10&gt;=1,"방치 의심(반영≫갱신)",IF(I10&lt;=-0.5,"점검 필요(갱신&gt;반영)","균형")))</f>
        <v/>
      </c>
    </row>
    <row r="11" customFormat="false" ht="15" hidden="false" customHeight="false" outlineLevel="0" collapsed="false">
      <c r="A11" s="6" t="s">
        <v>152</v>
      </c>
      <c r="B11" s="6" t="s">
        <v>153</v>
      </c>
      <c r="C11" s="4" t="s">
        <v>148</v>
      </c>
      <c r="D11" s="15" t="str">
        <f aca="false">IFERROR(AVERAGEIF(응답입력!$AZ$7:$AZ$56,"&lt;9"),"")</f>
        <v/>
      </c>
      <c r="E11" s="15" t="str">
        <f aca="false">IFERROR(AVERAGEIF(응답입력!$BA$7:$BA$56,"&lt;9"),"")</f>
        <v/>
      </c>
      <c r="F11" s="15" t="str">
        <f aca="false">IFERROR(AVERAGEIF(응답입력!$BB$7:$BB$56,"&lt;9"),"")</f>
        <v/>
      </c>
      <c r="G11" s="22" t="str">
        <f aca="false">IFERROR(AVERAGE(D11:F11),"")</f>
        <v/>
      </c>
      <c r="H11" s="16" t="n">
        <f aca="false">COUNTIF(응답입력!$AZ$7:$AZ$56,"&lt;9")+COUNTIF(응답입력!$BA$7:$BA$56,"&lt;9")+COUNTIF(응답입력!$BB$7:$BB$56,"&lt;9")</f>
        <v>0</v>
      </c>
      <c r="I11" s="15" t="str">
        <f aca="false">IF(AND(ISNUMBER(D11),ISNUMBER(F11)),D11-F11,"")</f>
        <v/>
      </c>
      <c r="J11" s="4" t="str">
        <f aca="false">IF(I11="","",IF(I11&gt;=1,"방치 의심(반영≫갱신)",IF(I11&lt;=-0.5,"점검 필요(갱신&gt;반영)","균형")))</f>
        <v/>
      </c>
    </row>
    <row r="12" customFormat="false" ht="15" hidden="false" customHeight="false" outlineLevel="0" collapsed="false">
      <c r="A12" s="6" t="s">
        <v>157</v>
      </c>
      <c r="B12" s="6" t="s">
        <v>158</v>
      </c>
      <c r="C12" s="4" t="s">
        <v>148</v>
      </c>
      <c r="D12" s="15" t="str">
        <f aca="false">IFERROR(AVERAGEIF(응답입력!$BC$7:$BC$56,"&lt;9"),"")</f>
        <v/>
      </c>
      <c r="E12" s="15" t="str">
        <f aca="false">IFERROR(AVERAGEIF(응답입력!$BD$7:$BD$56,"&lt;9"),"")</f>
        <v/>
      </c>
      <c r="F12" s="15" t="str">
        <f aca="false">IFERROR(AVERAGEIF(응답입력!$BE$7:$BE$56,"&lt;9"),"")</f>
        <v/>
      </c>
      <c r="G12" s="22" t="str">
        <f aca="false">IFERROR(AVERAGE(D12:F12),"")</f>
        <v/>
      </c>
      <c r="H12" s="16" t="n">
        <f aca="false">COUNTIF(응답입력!$BC$7:$BC$56,"&lt;9")+COUNTIF(응답입력!$BD$7:$BD$56,"&lt;9")+COUNTIF(응답입력!$BE$7:$BE$56,"&lt;9")</f>
        <v>0</v>
      </c>
      <c r="I12" s="15" t="str">
        <f aca="false">IF(AND(ISNUMBER(D12),ISNUMBER(F12)),D12-F12,"")</f>
        <v/>
      </c>
      <c r="J12" s="4" t="str">
        <f aca="false">IF(I12="","",IF(I12&gt;=1,"방치 의심(반영≫갱신)",IF(I12&lt;=-0.5,"점검 필요(갱신&gt;반영)","균형")))</f>
        <v/>
      </c>
    </row>
    <row r="13" customFormat="false" ht="15" hidden="false" customHeight="false" outlineLevel="0" collapsed="false">
      <c r="A13" s="6" t="s">
        <v>161</v>
      </c>
      <c r="B13" s="6" t="s">
        <v>162</v>
      </c>
      <c r="C13" s="4" t="s">
        <v>148</v>
      </c>
      <c r="D13" s="15" t="str">
        <f aca="false">IFERROR(AVERAGEIF(응답입력!$BF$7:$BF$56,"&lt;9"),"")</f>
        <v/>
      </c>
      <c r="E13" s="15" t="str">
        <f aca="false">IFERROR(AVERAGEIF(응답입력!$BG$7:$BG$56,"&lt;9"),"")</f>
        <v/>
      </c>
      <c r="F13" s="15" t="str">
        <f aca="false">IFERROR(AVERAGEIF(응답입력!$BH$7:$BH$56,"&lt;9"),"")</f>
        <v/>
      </c>
      <c r="G13" s="22" t="str">
        <f aca="false">IFERROR(AVERAGE(D13:F13),"")</f>
        <v/>
      </c>
      <c r="H13" s="16" t="n">
        <f aca="false">COUNTIF(응답입력!$BF$7:$BF$56,"&lt;9")+COUNTIF(응답입력!$BG$7:$BG$56,"&lt;9")+COUNTIF(응답입력!$BH$7:$BH$56,"&lt;9")</f>
        <v>0</v>
      </c>
      <c r="I13" s="15" t="str">
        <f aca="false">IF(AND(ISNUMBER(D13),ISNUMBER(F13)),D13-F13,"")</f>
        <v/>
      </c>
      <c r="J13" s="4" t="str">
        <f aca="false">IF(I13="","",IF(I13&gt;=1,"방치 의심(반영≫갱신)",IF(I13&lt;=-0.5,"점검 필요(갱신&gt;반영)","균형")))</f>
        <v/>
      </c>
    </row>
    <row r="14" customFormat="false" ht="15" hidden="false" customHeight="false" outlineLevel="0" collapsed="false">
      <c r="A14" s="6" t="s">
        <v>165</v>
      </c>
      <c r="B14" s="6" t="s">
        <v>166</v>
      </c>
      <c r="C14" s="4" t="s">
        <v>148</v>
      </c>
      <c r="D14" s="15" t="str">
        <f aca="false">IFERROR(AVERAGEIF(응답입력!$BI$7:$BI$56,"&lt;9"),"")</f>
        <v/>
      </c>
      <c r="E14" s="15" t="str">
        <f aca="false">IFERROR(AVERAGEIF(응답입력!$BJ$7:$BJ$56,"&lt;9"),"")</f>
        <v/>
      </c>
      <c r="F14" s="15" t="str">
        <f aca="false">IFERROR(AVERAGEIF(응답입력!$BK$7:$BK$56,"&lt;9"),"")</f>
        <v/>
      </c>
      <c r="G14" s="22" t="str">
        <f aca="false">IFERROR(AVERAGE(D14:F14),"")</f>
        <v/>
      </c>
      <c r="H14" s="16" t="n">
        <f aca="false">COUNTIF(응답입력!$BI$7:$BI$56,"&lt;9")+COUNTIF(응답입력!$BJ$7:$BJ$56,"&lt;9")+COUNTIF(응답입력!$BK$7:$BK$56,"&lt;9")</f>
        <v>0</v>
      </c>
      <c r="I14" s="15" t="str">
        <f aca="false">IF(AND(ISNUMBER(D14),ISNUMBER(F14)),D14-F14,"")</f>
        <v/>
      </c>
      <c r="J14" s="4" t="str">
        <f aca="false">IF(I14="","",IF(I14&gt;=1,"방치 의심(반영≫갱신)",IF(I14&lt;=-0.5,"점검 필요(갱신&gt;반영)","균형")))</f>
        <v/>
      </c>
    </row>
    <row r="15" customFormat="false" ht="15" hidden="false" customHeight="false" outlineLevel="0" collapsed="false">
      <c r="A15" s="6" t="s">
        <v>170</v>
      </c>
      <c r="B15" s="6" t="s">
        <v>172</v>
      </c>
      <c r="C15" s="4" t="s">
        <v>171</v>
      </c>
      <c r="D15" s="15" t="str">
        <f aca="false">IFERROR(AVERAGEIF(응답입력!$BL$7:$BL$56,"&lt;9"),"")</f>
        <v/>
      </c>
      <c r="E15" s="15" t="str">
        <f aca="false">IFERROR(AVERAGEIF(응답입력!$BM$7:$BM$56,"&lt;9"),"")</f>
        <v/>
      </c>
      <c r="F15" s="15" t="str">
        <f aca="false">IFERROR(AVERAGEIF(응답입력!$BN$7:$BN$56,"&lt;9"),"")</f>
        <v/>
      </c>
      <c r="G15" s="22" t="str">
        <f aca="false">IFERROR(AVERAGE(D15:F15),"")</f>
        <v/>
      </c>
      <c r="H15" s="16" t="n">
        <f aca="false">COUNTIF(응답입력!$BL$7:$BL$56,"&lt;9")+COUNTIF(응답입력!$BM$7:$BM$56,"&lt;9")+COUNTIF(응답입력!$BN$7:$BN$56,"&lt;9")</f>
        <v>0</v>
      </c>
      <c r="I15" s="15" t="str">
        <f aca="false">IF(AND(ISNUMBER(D15),ISNUMBER(F15)),D15-F15,"")</f>
        <v/>
      </c>
      <c r="J15" s="4" t="str">
        <f aca="false">IF(I15="","",IF(I15&gt;=1,"방치 의심(반영≫갱신)",IF(I15&lt;=-0.5,"점검 필요(갱신&gt;반영)","균형")))</f>
        <v/>
      </c>
    </row>
    <row r="16" customFormat="false" ht="15" hidden="false" customHeight="false" outlineLevel="0" collapsed="false">
      <c r="A16" s="6" t="s">
        <v>176</v>
      </c>
      <c r="B16" s="6" t="s">
        <v>177</v>
      </c>
      <c r="C16" s="4" t="s">
        <v>171</v>
      </c>
      <c r="D16" s="15" t="str">
        <f aca="false">IFERROR(AVERAGEIF(응답입력!$BO$7:$BO$56,"&lt;9"),"")</f>
        <v/>
      </c>
      <c r="E16" s="15" t="str">
        <f aca="false">IFERROR(AVERAGEIF(응답입력!$BP$7:$BP$56,"&lt;9"),"")</f>
        <v/>
      </c>
      <c r="F16" s="15" t="str">
        <f aca="false">IFERROR(AVERAGEIF(응답입력!$BQ$7:$BQ$56,"&lt;9"),"")</f>
        <v/>
      </c>
      <c r="G16" s="22" t="str">
        <f aca="false">IFERROR(AVERAGE(D16:F16),"")</f>
        <v/>
      </c>
      <c r="H16" s="16" t="n">
        <f aca="false">COUNTIF(응답입력!$BO$7:$BO$56,"&lt;9")+COUNTIF(응답입력!$BP$7:$BP$56,"&lt;9")+COUNTIF(응답입력!$BQ$7:$BQ$56,"&lt;9")</f>
        <v>0</v>
      </c>
      <c r="I16" s="15" t="str">
        <f aca="false">IF(AND(ISNUMBER(D16),ISNUMBER(F16)),D16-F16,"")</f>
        <v/>
      </c>
      <c r="J16" s="4" t="str">
        <f aca="false">IF(I16="","",IF(I16&gt;=1,"방치 의심(반영≫갱신)",IF(I16&lt;=-0.5,"점검 필요(갱신&gt;반영)","균형")))</f>
        <v/>
      </c>
    </row>
    <row r="17" customFormat="false" ht="15" hidden="false" customHeight="false" outlineLevel="0" collapsed="false">
      <c r="A17" s="6" t="s">
        <v>180</v>
      </c>
      <c r="B17" s="6" t="s">
        <v>181</v>
      </c>
      <c r="C17" s="4" t="s">
        <v>171</v>
      </c>
      <c r="D17" s="15" t="str">
        <f aca="false">IFERROR(AVERAGEIF(응답입력!$BR$7:$BR$56,"&lt;9"),"")</f>
        <v/>
      </c>
      <c r="E17" s="15" t="str">
        <f aca="false">IFERROR(AVERAGEIF(응답입력!$BS$7:$BS$56,"&lt;9"),"")</f>
        <v/>
      </c>
      <c r="F17" s="15" t="str">
        <f aca="false">IFERROR(AVERAGEIF(응답입력!$BT$7:$BT$56,"&lt;9"),"")</f>
        <v/>
      </c>
      <c r="G17" s="22" t="str">
        <f aca="false">IFERROR(AVERAGE(D17:F17),"")</f>
        <v/>
      </c>
      <c r="H17" s="16" t="n">
        <f aca="false">COUNTIF(응답입력!$BR$7:$BR$56,"&lt;9")+COUNTIF(응답입력!$BS$7:$BS$56,"&lt;9")+COUNTIF(응답입력!$BT$7:$BT$56,"&lt;9")</f>
        <v>0</v>
      </c>
      <c r="I17" s="15" t="str">
        <f aca="false">IF(AND(ISNUMBER(D17),ISNUMBER(F17)),D17-F17,"")</f>
        <v/>
      </c>
      <c r="J17" s="4" t="str">
        <f aca="false">IF(I17="","",IF(I17&gt;=1,"방치 의심(반영≫갱신)",IF(I17&lt;=-0.5,"점검 필요(갱신&gt;반영)","균형")))</f>
        <v/>
      </c>
    </row>
    <row r="18" customFormat="false" ht="15" hidden="false" customHeight="false" outlineLevel="0" collapsed="false">
      <c r="A18" s="6" t="s">
        <v>184</v>
      </c>
      <c r="B18" s="6" t="s">
        <v>185</v>
      </c>
      <c r="C18" s="4" t="s">
        <v>171</v>
      </c>
      <c r="D18" s="15" t="str">
        <f aca="false">IFERROR(AVERAGEIF(응답입력!$BU$7:$BU$56,"&lt;9"),"")</f>
        <v/>
      </c>
      <c r="E18" s="15" t="str">
        <f aca="false">IFERROR(AVERAGEIF(응답입력!$BV$7:$BV$56,"&lt;9"),"")</f>
        <v/>
      </c>
      <c r="F18" s="15" t="str">
        <f aca="false">IFERROR(AVERAGEIF(응답입력!$BW$7:$BW$56,"&lt;9"),"")</f>
        <v/>
      </c>
      <c r="G18" s="22" t="str">
        <f aca="false">IFERROR(AVERAGE(D18:F18),"")</f>
        <v/>
      </c>
      <c r="H18" s="16" t="n">
        <f aca="false">COUNTIF(응답입력!$BU$7:$BU$56,"&lt;9")+COUNTIF(응답입력!$BV$7:$BV$56,"&lt;9")+COUNTIF(응답입력!$BW$7:$BW$56,"&lt;9")</f>
        <v>0</v>
      </c>
      <c r="I18" s="15" t="str">
        <f aca="false">IF(AND(ISNUMBER(D18),ISNUMBER(F18)),D18-F18,"")</f>
        <v/>
      </c>
      <c r="J18" s="4" t="str">
        <f aca="false">IF(I18="","",IF(I18&gt;=1,"방치 의심(반영≫갱신)",IF(I18&lt;=-0.5,"점검 필요(갱신&gt;반영)","균형")))</f>
        <v/>
      </c>
    </row>
    <row r="19" customFormat="false" ht="15" hidden="false" customHeight="false" outlineLevel="0" collapsed="false">
      <c r="A19" s="6" t="s">
        <v>189</v>
      </c>
      <c r="B19" s="6" t="s">
        <v>190</v>
      </c>
      <c r="C19" s="4" t="s">
        <v>171</v>
      </c>
      <c r="D19" s="15" t="str">
        <f aca="false">IFERROR(AVERAGEIF(응답입력!$BX$7:$BX$56,"&lt;9"),"")</f>
        <v/>
      </c>
      <c r="E19" s="15" t="str">
        <f aca="false">IFERROR(AVERAGEIF(응답입력!$BY$7:$BY$56,"&lt;9"),"")</f>
        <v/>
      </c>
      <c r="F19" s="15" t="str">
        <f aca="false">IFERROR(AVERAGEIF(응답입력!$BZ$7:$BZ$56,"&lt;9"),"")</f>
        <v/>
      </c>
      <c r="G19" s="22" t="str">
        <f aca="false">IFERROR(AVERAGE(D19:F19),"")</f>
        <v/>
      </c>
      <c r="H19" s="16" t="n">
        <f aca="false">COUNTIF(응답입력!$BX$7:$BX$56,"&lt;9")+COUNTIF(응답입력!$BY$7:$BY$56,"&lt;9")+COUNTIF(응답입력!$BZ$7:$BZ$56,"&lt;9")</f>
        <v>0</v>
      </c>
      <c r="I19" s="15" t="str">
        <f aca="false">IF(AND(ISNUMBER(D19),ISNUMBER(F19)),D19-F19,"")</f>
        <v/>
      </c>
      <c r="J19" s="4" t="str">
        <f aca="false">IF(I19="","",IF(I19&gt;=1,"방치 의심(반영≫갱신)",IF(I19&lt;=-0.5,"점검 필요(갱신&gt;반영)","균형")))</f>
        <v/>
      </c>
    </row>
    <row r="20" customFormat="false" ht="15" hidden="false" customHeight="false" outlineLevel="0" collapsed="false">
      <c r="A20" s="6" t="s">
        <v>193</v>
      </c>
      <c r="B20" s="6" t="s">
        <v>195</v>
      </c>
      <c r="C20" s="4" t="s">
        <v>194</v>
      </c>
      <c r="D20" s="15" t="str">
        <f aca="false">IFERROR(AVERAGEIF(응답입력!$CA$7:$CA$56,"&lt;9"),"")</f>
        <v/>
      </c>
      <c r="E20" s="15" t="str">
        <f aca="false">IFERROR(AVERAGEIF(응답입력!$CB$7:$CB$56,"&lt;9"),"")</f>
        <v/>
      </c>
      <c r="F20" s="15" t="str">
        <f aca="false">IFERROR(AVERAGEIF(응답입력!$CC$7:$CC$56,"&lt;9"),"")</f>
        <v/>
      </c>
      <c r="G20" s="22" t="str">
        <f aca="false">IFERROR(AVERAGE(D20:F20),"")</f>
        <v/>
      </c>
      <c r="H20" s="16" t="n">
        <f aca="false">COUNTIF(응답입력!$CA$7:$CA$56,"&lt;9")+COUNTIF(응답입력!$CB$7:$CB$56,"&lt;9")+COUNTIF(응답입력!$CC$7:$CC$56,"&lt;9")</f>
        <v>0</v>
      </c>
      <c r="I20" s="15" t="str">
        <f aca="false">IF(AND(ISNUMBER(D20),ISNUMBER(F20)),D20-F20,"")</f>
        <v/>
      </c>
      <c r="J20" s="4" t="str">
        <f aca="false">IF(I20="","",IF(I20&gt;=1,"방치 의심(반영≫갱신)",IF(I20&lt;=-0.5,"점검 필요(갱신&gt;반영)","균형")))</f>
        <v/>
      </c>
    </row>
    <row r="21" customFormat="false" ht="15" hidden="false" customHeight="false" outlineLevel="0" collapsed="false">
      <c r="A21" s="6" t="s">
        <v>198</v>
      </c>
      <c r="B21" s="6" t="s">
        <v>199</v>
      </c>
      <c r="C21" s="4" t="s">
        <v>194</v>
      </c>
      <c r="D21" s="15" t="str">
        <f aca="false">IFERROR(AVERAGEIF(응답입력!$CD$7:$CD$56,"&lt;9"),"")</f>
        <v/>
      </c>
      <c r="E21" s="15" t="str">
        <f aca="false">IFERROR(AVERAGEIF(응답입력!$CE$7:$CE$56,"&lt;9"),"")</f>
        <v/>
      </c>
      <c r="F21" s="15" t="str">
        <f aca="false">IFERROR(AVERAGEIF(응답입력!$CF$7:$CF$56,"&lt;9"),"")</f>
        <v/>
      </c>
      <c r="G21" s="22" t="str">
        <f aca="false">IFERROR(AVERAGE(D21:F21),"")</f>
        <v/>
      </c>
      <c r="H21" s="16" t="n">
        <f aca="false">COUNTIF(응답입력!$CD$7:$CD$56,"&lt;9")+COUNTIF(응답입력!$CE$7:$CE$56,"&lt;9")+COUNTIF(응답입력!$CF$7:$CF$56,"&lt;9")</f>
        <v>0</v>
      </c>
      <c r="I21" s="15" t="str">
        <f aca="false">IF(AND(ISNUMBER(D21),ISNUMBER(F21)),D21-F21,"")</f>
        <v/>
      </c>
      <c r="J21" s="4" t="str">
        <f aca="false">IF(I21="","",IF(I21&gt;=1,"방치 의심(반영≫갱신)",IF(I21&lt;=-0.5,"점검 필요(갱신&gt;반영)","균형")))</f>
        <v/>
      </c>
    </row>
    <row r="22" customFormat="false" ht="15" hidden="false" customHeight="false" outlineLevel="0" collapsed="false">
      <c r="A22" s="6" t="s">
        <v>202</v>
      </c>
      <c r="B22" s="6" t="s">
        <v>203</v>
      </c>
      <c r="C22" s="4" t="s">
        <v>194</v>
      </c>
      <c r="D22" s="15" t="str">
        <f aca="false">IFERROR(AVERAGEIF(응답입력!$CG$7:$CG$56,"&lt;9"),"")</f>
        <v/>
      </c>
      <c r="E22" s="15" t="str">
        <f aca="false">IFERROR(AVERAGEIF(응답입력!$CH$7:$CH$56,"&lt;9"),"")</f>
        <v/>
      </c>
      <c r="F22" s="15" t="str">
        <f aca="false">IFERROR(AVERAGEIF(응답입력!$CI$7:$CI$56,"&lt;9"),"")</f>
        <v/>
      </c>
      <c r="G22" s="22" t="str">
        <f aca="false">IFERROR(AVERAGE(D22:F22),"")</f>
        <v/>
      </c>
      <c r="H22" s="16" t="n">
        <f aca="false">COUNTIF(응답입력!$CG$7:$CG$56,"&lt;9")+COUNTIF(응답입력!$CH$7:$CH$56,"&lt;9")+COUNTIF(응답입력!$CI$7:$CI$56,"&lt;9")</f>
        <v>0</v>
      </c>
      <c r="I22" s="15" t="str">
        <f aca="false">IF(AND(ISNUMBER(D22),ISNUMBER(F22)),D22-F22,"")</f>
        <v/>
      </c>
      <c r="J22" s="4" t="str">
        <f aca="false">IF(I22="","",IF(I22&gt;=1,"방치 의심(반영≫갱신)",IF(I22&lt;=-0.5,"점검 필요(갱신&gt;반영)","균형")))</f>
        <v/>
      </c>
    </row>
    <row r="23" customFormat="false" ht="15" hidden="false" customHeight="false" outlineLevel="0" collapsed="false">
      <c r="A23" s="6" t="s">
        <v>205</v>
      </c>
      <c r="B23" s="6" t="s">
        <v>206</v>
      </c>
      <c r="C23" s="4" t="s">
        <v>194</v>
      </c>
      <c r="D23" s="15" t="str">
        <f aca="false">IFERROR(AVERAGEIF(응답입력!$CJ$7:$CJ$56,"&lt;9"),"")</f>
        <v/>
      </c>
      <c r="E23" s="15" t="str">
        <f aca="false">IFERROR(AVERAGEIF(응답입력!$CK$7:$CK$56,"&lt;9"),"")</f>
        <v/>
      </c>
      <c r="F23" s="15" t="str">
        <f aca="false">IFERROR(AVERAGEIF(응답입력!$CL$7:$CL$56,"&lt;9"),"")</f>
        <v/>
      </c>
      <c r="G23" s="22" t="str">
        <f aca="false">IFERROR(AVERAGE(D23:F23),"")</f>
        <v/>
      </c>
      <c r="H23" s="16" t="n">
        <f aca="false">COUNTIF(응답입력!$CJ$7:$CJ$56,"&lt;9")+COUNTIF(응답입력!$CK$7:$CK$56,"&lt;9")+COUNTIF(응답입력!$CL$7:$CL$56,"&lt;9")</f>
        <v>0</v>
      </c>
      <c r="I23" s="15" t="str">
        <f aca="false">IF(AND(ISNUMBER(D23),ISNUMBER(F23)),D23-F23,"")</f>
        <v/>
      </c>
      <c r="J23" s="4" t="str">
        <f aca="false">IF(I23="","",IF(I23&gt;=1,"방치 의심(반영≫갱신)",IF(I23&lt;=-0.5,"점검 필요(갱신&gt;반영)","균형")))</f>
        <v/>
      </c>
    </row>
    <row r="24" customFormat="false" ht="15" hidden="false" customHeight="false" outlineLevel="0" collapsed="false">
      <c r="A24" s="6" t="s">
        <v>210</v>
      </c>
      <c r="B24" s="6" t="s">
        <v>211</v>
      </c>
      <c r="C24" s="4" t="s">
        <v>194</v>
      </c>
      <c r="D24" s="15" t="str">
        <f aca="false">IFERROR(AVERAGEIF(응답입력!$CM$7:$CM$56,"&lt;9"),"")</f>
        <v/>
      </c>
      <c r="E24" s="15" t="str">
        <f aca="false">IFERROR(AVERAGEIF(응답입력!$CN$7:$CN$56,"&lt;9"),"")</f>
        <v/>
      </c>
      <c r="F24" s="15" t="str">
        <f aca="false">IFERROR(AVERAGEIF(응답입력!$CO$7:$CO$56,"&lt;9"),"")</f>
        <v/>
      </c>
      <c r="G24" s="22" t="str">
        <f aca="false">IFERROR(AVERAGE(D24:F24),"")</f>
        <v/>
      </c>
      <c r="H24" s="16" t="n">
        <f aca="false">COUNTIF(응답입력!$CM$7:$CM$56,"&lt;9")+COUNTIF(응답입력!$CN$7:$CN$56,"&lt;9")+COUNTIF(응답입력!$CO$7:$CO$56,"&lt;9")</f>
        <v>0</v>
      </c>
      <c r="I24" s="15" t="str">
        <f aca="false">IF(AND(ISNUMBER(D24),ISNUMBER(F24)),D24-F24,"")</f>
        <v/>
      </c>
      <c r="J24" s="4" t="str">
        <f aca="false">IF(I24="","",IF(I24&gt;=1,"방치 의심(반영≫갱신)",IF(I24&lt;=-0.5,"점검 필요(갱신&gt;반영)","균형")))</f>
        <v/>
      </c>
    </row>
    <row r="25" customFormat="false" ht="15" hidden="false" customHeight="false" outlineLevel="0" collapsed="false">
      <c r="A25" s="6" t="s">
        <v>214</v>
      </c>
      <c r="B25" s="6" t="s">
        <v>215</v>
      </c>
      <c r="C25" s="4" t="s">
        <v>194</v>
      </c>
      <c r="D25" s="15" t="str">
        <f aca="false">IFERROR(AVERAGEIF(응답입력!$CP$7:$CP$56,"&lt;9"),"")</f>
        <v/>
      </c>
      <c r="E25" s="15" t="str">
        <f aca="false">IFERROR(AVERAGEIF(응답입력!$CQ$7:$CQ$56,"&lt;9"),"")</f>
        <v/>
      </c>
      <c r="F25" s="15" t="str">
        <f aca="false">IFERROR(AVERAGEIF(응답입력!$CR$7:$CR$56,"&lt;9"),"")</f>
        <v/>
      </c>
      <c r="G25" s="22" t="str">
        <f aca="false">IFERROR(AVERAGE(D25:F25),"")</f>
        <v/>
      </c>
      <c r="H25" s="16" t="n">
        <f aca="false">COUNTIF(응답입력!$CP$7:$CP$56,"&lt;9")+COUNTIF(응답입력!$CQ$7:$CQ$56,"&lt;9")+COUNTIF(응답입력!$CR$7:$CR$56,"&lt;9")</f>
        <v>0</v>
      </c>
      <c r="I25" s="15" t="str">
        <f aca="false">IF(AND(ISNUMBER(D25),ISNUMBER(F25)),D25-F25,"")</f>
        <v/>
      </c>
      <c r="J25" s="4" t="str">
        <f aca="false">IF(I25="","",IF(I25&gt;=1,"방치 의심(반영≫갱신)",IF(I25&lt;=-0.5,"점검 필요(갱신&gt;반영)","균형")))</f>
        <v/>
      </c>
    </row>
    <row r="26" customFormat="false" ht="15" hidden="false" customHeight="false" outlineLevel="0" collapsed="false">
      <c r="A26" s="6" t="s">
        <v>219</v>
      </c>
      <c r="B26" s="4" t="s">
        <v>221</v>
      </c>
      <c r="C26" s="4" t="s">
        <v>220</v>
      </c>
      <c r="D26" s="15" t="str">
        <f aca="false">IFERROR(AVERAGEIF(응답입력!$CS$7:$CS$56,"&lt;9"),"")</f>
        <v/>
      </c>
      <c r="E26" s="15" t="str">
        <f aca="false">IFERROR(AVERAGEIF(응답입력!$CT$7:$CT$56,"&lt;9"),"")</f>
        <v/>
      </c>
      <c r="F26" s="15" t="str">
        <f aca="false">IFERROR(AVERAGEIF(응답입력!$CU$7:$CU$56,"&lt;9"),"")</f>
        <v/>
      </c>
      <c r="G26" s="22" t="str">
        <f aca="false">IFERROR(AVERAGE(D26:F26),"")</f>
        <v/>
      </c>
      <c r="H26" s="16" t="n">
        <f aca="false">COUNTIF(응답입력!$CS$7:$CS$56,"&lt;9")+COUNTIF(응답입력!$CT$7:$CT$56,"&lt;9")+COUNTIF(응답입력!$CU$7:$CU$56,"&lt;9")</f>
        <v>0</v>
      </c>
      <c r="I26" s="15" t="str">
        <f aca="false">IF(AND(ISNUMBER(D26),ISNUMBER(F26)),D26-F26,"")</f>
        <v/>
      </c>
      <c r="J26" s="4" t="str">
        <f aca="false">IF(I26="","",IF(I26&gt;=1,"방치 의심(반영≫갱신)",IF(I26&lt;=-0.5,"점검 필요(갱신&gt;반영)","균형")))</f>
        <v/>
      </c>
    </row>
    <row r="27" customFormat="false" ht="15" hidden="false" customHeight="false" outlineLevel="0" collapsed="false">
      <c r="A27" s="6" t="s">
        <v>224</v>
      </c>
      <c r="B27" s="6" t="s">
        <v>225</v>
      </c>
      <c r="C27" s="4" t="s">
        <v>220</v>
      </c>
      <c r="D27" s="15" t="str">
        <f aca="false">IFERROR(AVERAGEIF(응답입력!$CV$7:$CV$56,"&lt;9"),"")</f>
        <v/>
      </c>
      <c r="E27" s="15" t="str">
        <f aca="false">IFERROR(AVERAGEIF(응답입력!$CW$7:$CW$56,"&lt;9"),"")</f>
        <v/>
      </c>
      <c r="F27" s="15" t="str">
        <f aca="false">IFERROR(AVERAGEIF(응답입력!$CX$7:$CX$56,"&lt;9"),"")</f>
        <v/>
      </c>
      <c r="G27" s="22" t="str">
        <f aca="false">IFERROR(AVERAGE(D27:F27),"")</f>
        <v/>
      </c>
      <c r="H27" s="16" t="n">
        <f aca="false">COUNTIF(응답입력!$CV$7:$CV$56,"&lt;9")+COUNTIF(응답입력!$CW$7:$CW$56,"&lt;9")+COUNTIF(응답입력!$CX$7:$CX$56,"&lt;9")</f>
        <v>0</v>
      </c>
      <c r="I27" s="15" t="str">
        <f aca="false">IF(AND(ISNUMBER(D27),ISNUMBER(F27)),D27-F27,"")</f>
        <v/>
      </c>
      <c r="J27" s="4" t="str">
        <f aca="false">IF(I27="","",IF(I27&gt;=1,"방치 의심(반영≫갱신)",IF(I27&lt;=-0.5,"점검 필요(갱신&gt;반영)","균형")))</f>
        <v/>
      </c>
    </row>
    <row r="28" customFormat="false" ht="15" hidden="false" customHeight="false" outlineLevel="0" collapsed="false">
      <c r="A28" s="6" t="s">
        <v>228</v>
      </c>
      <c r="B28" s="6" t="s">
        <v>229</v>
      </c>
      <c r="C28" s="4" t="s">
        <v>220</v>
      </c>
      <c r="D28" s="15" t="str">
        <f aca="false">IFERROR(AVERAGEIF(응답입력!$CY$7:$CY$56,"&lt;9"),"")</f>
        <v/>
      </c>
      <c r="E28" s="15" t="str">
        <f aca="false">IFERROR(AVERAGEIF(응답입력!$CZ$7:$CZ$56,"&lt;9"),"")</f>
        <v/>
      </c>
      <c r="F28" s="15" t="str">
        <f aca="false">IFERROR(AVERAGEIF(응답입력!$DA$7:$DA$56,"&lt;9"),"")</f>
        <v/>
      </c>
      <c r="G28" s="22" t="str">
        <f aca="false">IFERROR(AVERAGE(D28:F28),"")</f>
        <v/>
      </c>
      <c r="H28" s="16" t="n">
        <f aca="false">COUNTIF(응답입력!$CY$7:$CY$56,"&lt;9")+COUNTIF(응답입력!$CZ$7:$CZ$56,"&lt;9")+COUNTIF(응답입력!$DA$7:$DA$56,"&lt;9")</f>
        <v>0</v>
      </c>
      <c r="I28" s="15" t="str">
        <f aca="false">IF(AND(ISNUMBER(D28),ISNUMBER(F28)),D28-F28,"")</f>
        <v/>
      </c>
      <c r="J28" s="4" t="str">
        <f aca="false">IF(I28="","",IF(I28&gt;=1,"방치 의심(반영≫갱신)",IF(I28&lt;=-0.5,"점검 필요(갱신&gt;반영)","균형")))</f>
        <v/>
      </c>
    </row>
    <row r="29" customFormat="false" ht="15" hidden="false" customHeight="false" outlineLevel="0" collapsed="false">
      <c r="A29" s="6" t="s">
        <v>232</v>
      </c>
      <c r="B29" s="6" t="s">
        <v>233</v>
      </c>
      <c r="C29" s="4" t="s">
        <v>220</v>
      </c>
      <c r="D29" s="15" t="str">
        <f aca="false">IFERROR(AVERAGEIF(응답입력!$DB$7:$DB$56,"&lt;9"),"")</f>
        <v/>
      </c>
      <c r="E29" s="15" t="str">
        <f aca="false">IFERROR(AVERAGEIF(응답입력!$DC$7:$DC$56,"&lt;9"),"")</f>
        <v/>
      </c>
      <c r="F29" s="15" t="str">
        <f aca="false">IFERROR(AVERAGEIF(응답입력!$DD$7:$DD$56,"&lt;9"),"")</f>
        <v/>
      </c>
      <c r="G29" s="22" t="str">
        <f aca="false">IFERROR(AVERAGE(D29:F29),"")</f>
        <v/>
      </c>
      <c r="H29" s="16" t="n">
        <f aca="false">COUNTIF(응답입력!$DB$7:$DB$56,"&lt;9")+COUNTIF(응답입력!$DC$7:$DC$56,"&lt;9")+COUNTIF(응답입력!$DD$7:$DD$56,"&lt;9")</f>
        <v>0</v>
      </c>
      <c r="I29" s="15" t="str">
        <f aca="false">IF(AND(ISNUMBER(D29),ISNUMBER(F29)),D29-F29,"")</f>
        <v/>
      </c>
      <c r="J29" s="4" t="str">
        <f aca="false">IF(I29="","",IF(I29&gt;=1,"방치 의심(반영≫갱신)",IF(I29&lt;=-0.5,"점검 필요(갱신&gt;반영)","균형")))</f>
        <v/>
      </c>
    </row>
    <row r="32" customFormat="false" ht="26.85" hidden="false" customHeight="false" outlineLevel="0" collapsed="false">
      <c r="A32" s="23" t="s">
        <v>713</v>
      </c>
    </row>
    <row r="33" customFormat="false" ht="15" hidden="false" customHeight="false" outlineLevel="0" collapsed="false">
      <c r="B33" s="4" t="s">
        <v>125</v>
      </c>
      <c r="C33" s="22" t="str">
        <f aca="false">IFERROR(AVERAGEIF($C$5:$C$29,B33,$G$5:$G$29),"")</f>
        <v/>
      </c>
    </row>
    <row r="34" customFormat="false" ht="15" hidden="false" customHeight="false" outlineLevel="0" collapsed="false">
      <c r="B34" s="4" t="s">
        <v>148</v>
      </c>
      <c r="C34" s="22" t="str">
        <f aca="false">IFERROR(AVERAGEIF($C$5:$C$29,B34,$G$5:$G$29),"")</f>
        <v/>
      </c>
    </row>
    <row r="35" customFormat="false" ht="15" hidden="false" customHeight="false" outlineLevel="0" collapsed="false">
      <c r="B35" s="4" t="s">
        <v>171</v>
      </c>
      <c r="C35" s="22" t="str">
        <f aca="false">IFERROR(AVERAGEIF($C$5:$C$29,B35,$G$5:$G$29),"")</f>
        <v/>
      </c>
    </row>
    <row r="36" customFormat="false" ht="15" hidden="false" customHeight="false" outlineLevel="0" collapsed="false">
      <c r="B36" s="4" t="s">
        <v>194</v>
      </c>
      <c r="C36" s="22" t="str">
        <f aca="false">IFERROR(AVERAGEIF($C$5:$C$29,B36,$G$5:$G$29),"")</f>
        <v/>
      </c>
    </row>
    <row r="37" customFormat="false" ht="15" hidden="false" customHeight="false" outlineLevel="0" collapsed="false">
      <c r="B37" s="4" t="s">
        <v>220</v>
      </c>
      <c r="C37" s="22" t="str">
        <f aca="false">IFERROR(AVERAGEIF($C$5:$C$29,B37,$G$5:$G$29),"")</f>
        <v/>
      </c>
    </row>
    <row r="39" customFormat="false" ht="26.85" hidden="false" customHeight="false" outlineLevel="0" collapsed="false">
      <c r="A39" s="23" t="s">
        <v>714</v>
      </c>
    </row>
    <row r="40" customFormat="false" ht="15" hidden="false" customHeight="false" outlineLevel="0" collapsed="false">
      <c r="B40" s="4" t="s">
        <v>715</v>
      </c>
      <c r="C40" s="22" t="str">
        <f aca="false">IFERROR(AVERAGE(D5:D29),"")</f>
        <v/>
      </c>
    </row>
    <row r="41" customFormat="false" ht="15" hidden="false" customHeight="false" outlineLevel="0" collapsed="false">
      <c r="B41" s="4" t="s">
        <v>716</v>
      </c>
      <c r="C41" s="22" t="str">
        <f aca="false">IFERROR(AVERAGE(E5:E29),"")</f>
        <v/>
      </c>
    </row>
    <row r="42" customFormat="false" ht="15" hidden="false" customHeight="false" outlineLevel="0" collapsed="false">
      <c r="B42" s="4" t="s">
        <v>717</v>
      </c>
      <c r="C42" s="22" t="str">
        <f aca="false">IFERROR(AVERAGE(F5:F29),"")</f>
        <v/>
      </c>
    </row>
    <row r="44" customFormat="false" ht="26.85" hidden="false" customHeight="false" outlineLevel="0" collapsed="false">
      <c r="B44" s="23" t="s">
        <v>718</v>
      </c>
      <c r="C44" s="22" t="str">
        <f aca="false">IFERROR(AVERAGE(G5:G29),"")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80"/>
    <col collapsed="false" customWidth="true" hidden="false" outlineLevel="0" max="4" min="4" style="0" width="12"/>
  </cols>
  <sheetData>
    <row r="1" customFormat="false" ht="19.4" hidden="false" customHeight="false" outlineLevel="0" collapsed="false">
      <c r="A1" s="7" t="s">
        <v>719</v>
      </c>
    </row>
    <row r="2" customFormat="false" ht="15" hidden="false" customHeight="false" outlineLevel="0" collapsed="false">
      <c r="A2" s="2" t="s">
        <v>720</v>
      </c>
    </row>
    <row r="3" customFormat="false" ht="15" hidden="false" customHeight="false" outlineLevel="0" collapsed="false">
      <c r="A3" s="9" t="s">
        <v>721</v>
      </c>
      <c r="B3" s="9" t="s">
        <v>722</v>
      </c>
      <c r="C3" s="9" t="s">
        <v>723</v>
      </c>
    </row>
    <row r="4" customFormat="false" ht="15" hidden="false" customHeight="false" outlineLevel="0" collapsed="false">
      <c r="A4" s="4" t="s">
        <v>724</v>
      </c>
      <c r="B4" s="14" t="n">
        <v>0.78</v>
      </c>
      <c r="C4" s="4" t="s">
        <v>725</v>
      </c>
    </row>
    <row r="5" customFormat="false" ht="15" hidden="false" customHeight="false" outlineLevel="0" collapsed="false">
      <c r="A5" s="6" t="s">
        <v>726</v>
      </c>
      <c r="B5" s="14" t="n">
        <v>0.8</v>
      </c>
      <c r="C5" s="4" t="s">
        <v>727</v>
      </c>
    </row>
    <row r="6" customFormat="false" ht="15" hidden="false" customHeight="false" outlineLevel="0" collapsed="false">
      <c r="A6" s="6" t="s">
        <v>728</v>
      </c>
      <c r="B6" s="14" t="n">
        <v>0.2</v>
      </c>
      <c r="C6" s="6" t="s">
        <v>729</v>
      </c>
    </row>
    <row r="7" customFormat="false" ht="15" hidden="false" customHeight="false" outlineLevel="0" collapsed="false">
      <c r="A7" s="6" t="s">
        <v>730</v>
      </c>
      <c r="B7" s="14" t="n">
        <v>0.7</v>
      </c>
      <c r="C7" s="4" t="s">
        <v>731</v>
      </c>
    </row>
    <row r="8" customFormat="false" ht="15" hidden="false" customHeight="false" outlineLevel="0" collapsed="false">
      <c r="A8" s="4" t="s">
        <v>732</v>
      </c>
      <c r="B8" s="14" t="n">
        <v>0.3</v>
      </c>
      <c r="C8" s="4" t="s">
        <v>733</v>
      </c>
    </row>
    <row r="9" customFormat="false" ht="15" hidden="false" customHeight="false" outlineLevel="0" collapsed="false">
      <c r="A9" s="4" t="s">
        <v>734</v>
      </c>
      <c r="B9" s="14" t="n">
        <v>0.85</v>
      </c>
      <c r="C9" s="4" t="s">
        <v>735</v>
      </c>
    </row>
    <row r="11" customFormat="false" ht="15" hidden="false" customHeight="false" outlineLevel="0" collapsed="false">
      <c r="A11" s="9" t="s">
        <v>736</v>
      </c>
      <c r="B11" s="9" t="s">
        <v>737</v>
      </c>
      <c r="C11" s="9" t="s">
        <v>738</v>
      </c>
      <c r="D11" s="9" t="s">
        <v>739</v>
      </c>
    </row>
    <row r="12" customFormat="false" ht="15" hidden="false" customHeight="false" outlineLevel="0" collapsed="false">
      <c r="A12" s="4" t="s">
        <v>740</v>
      </c>
      <c r="B12" s="16" t="n">
        <f aca="false">COUNTA(문항!A5:A94)</f>
        <v>90</v>
      </c>
      <c r="C12" s="24" t="n">
        <v>90</v>
      </c>
      <c r="D12" s="25" t="str">
        <f aca="false">IF(B12=C12,"OK","확인")</f>
        <v>OK</v>
      </c>
    </row>
    <row r="13" customFormat="false" ht="15" hidden="false" customHeight="false" outlineLevel="0" collapsed="false">
      <c r="A13" s="4" t="s">
        <v>741</v>
      </c>
      <c r="B13" s="16" t="n">
        <f aca="false">COUNTIF(문항!B5:B94,"C 연결")</f>
        <v>75</v>
      </c>
      <c r="C13" s="24" t="n">
        <v>75</v>
      </c>
      <c r="D13" s="25" t="str">
        <f aca="false">IF(B13=C13,"OK","확인")</f>
        <v>OK</v>
      </c>
    </row>
    <row r="14" customFormat="false" ht="15" hidden="false" customHeight="false" outlineLevel="0" collapsed="false">
      <c r="A14" s="4" t="s">
        <v>742</v>
      </c>
      <c r="B14" s="16" t="n">
        <f aca="false">COUNTIF(문항!K5:K94,"OK")</f>
        <v>90</v>
      </c>
      <c r="C14" s="24" t="n">
        <v>90</v>
      </c>
      <c r="D14" s="25" t="str">
        <f aca="false">IF(B14=C14,"OK","확인")</f>
        <v>OK</v>
      </c>
    </row>
    <row r="15" customFormat="false" ht="15" hidden="false" customHeight="false" outlineLevel="0" collapsed="false">
      <c r="A15" s="4" t="s">
        <v>743</v>
      </c>
      <c r="B15" s="16" t="n">
        <f aca="false">COUNTIF(연결!I5:I29,"OK")</f>
        <v>25</v>
      </c>
      <c r="C15" s="24" t="n">
        <v>25</v>
      </c>
      <c r="D15" s="25" t="str">
        <f aca="false">IF(B15=C15,"OK","확인")</f>
        <v>OK</v>
      </c>
    </row>
    <row r="16" customFormat="false" ht="15" hidden="false" customHeight="false" outlineLevel="0" collapsed="false">
      <c r="A16" s="4" t="s">
        <v>744</v>
      </c>
      <c r="B16" s="16" t="n">
        <f aca="false">COUNTIF(문항!F5:F94,"반영")</f>
        <v>25</v>
      </c>
      <c r="C16" s="24" t="n">
        <v>25</v>
      </c>
      <c r="D16" s="25" t="str">
        <f aca="false">IF(B16=C16,"OK","확인")</f>
        <v>OK</v>
      </c>
    </row>
    <row r="17" customFormat="false" ht="15" hidden="false" customHeight="false" outlineLevel="0" collapsed="false">
      <c r="A17" s="4" t="s">
        <v>745</v>
      </c>
      <c r="B17" s="16" t="n">
        <f aca="false">COUNTIF(문항!F5:F94,"확인")</f>
        <v>25</v>
      </c>
      <c r="C17" s="24" t="n">
        <v>25</v>
      </c>
      <c r="D17" s="25" t="str">
        <f aca="false">IF(B17=C17,"OK","확인")</f>
        <v>OK</v>
      </c>
    </row>
    <row r="18" customFormat="false" ht="15" hidden="false" customHeight="false" outlineLevel="0" collapsed="false">
      <c r="A18" s="4" t="s">
        <v>746</v>
      </c>
      <c r="B18" s="16" t="n">
        <f aca="false">COUNTIF(문항!F5:F94,"갱신")</f>
        <v>25</v>
      </c>
      <c r="C18" s="24" t="n">
        <v>25</v>
      </c>
      <c r="D18" s="25" t="str">
        <f aca="false">IF(B18=C18,"OK","확인")</f>
        <v>OK</v>
      </c>
    </row>
    <row r="19" customFormat="false" ht="15" hidden="false" customHeight="false" outlineLevel="0" collapsed="false">
      <c r="A19" s="4" t="s">
        <v>747</v>
      </c>
      <c r="B19" s="16" t="n">
        <f aca="false">COUNTIF(연결!F5:F29,"B")</f>
        <v>3</v>
      </c>
      <c r="C19" s="24" t="n">
        <v>3</v>
      </c>
      <c r="D19" s="25" t="str">
        <f aca="false">IF(B19=C19,"OK","확인")</f>
        <v>OK</v>
      </c>
    </row>
    <row r="20" customFormat="false" ht="15" hidden="false" customHeight="false" outlineLevel="0" collapsed="false">
      <c r="A20" s="4" t="s">
        <v>748</v>
      </c>
      <c r="B20" s="16" t="n">
        <f aca="false">COUNTA(객체!A5:A26)</f>
        <v>22</v>
      </c>
      <c r="C20" s="24" t="n">
        <v>22</v>
      </c>
      <c r="D20" s="25" t="str">
        <f aca="false">IF(B20=C20,"OK","확인")</f>
        <v>OK</v>
      </c>
    </row>
    <row r="22" customFormat="false" ht="15" hidden="false" customHeight="false" outlineLevel="0" collapsed="false">
      <c r="A22" s="3" t="s">
        <v>749</v>
      </c>
    </row>
    <row r="23" customFormat="false" ht="15" hidden="false" customHeight="false" outlineLevel="0" collapsed="false">
      <c r="A23" s="4" t="s">
        <v>750</v>
      </c>
      <c r="B23" s="16" t="n">
        <f aca="false">COUNTIF(문항!S5:S94,"채택")</f>
        <v>0</v>
      </c>
    </row>
    <row r="24" customFormat="false" ht="15" hidden="false" customHeight="false" outlineLevel="0" collapsed="false">
      <c r="A24" s="4" t="s">
        <v>751</v>
      </c>
      <c r="B24" s="16" t="n">
        <f aca="false">COUNTIF(문항!S5:S94,"수정·토론")</f>
        <v>0</v>
      </c>
    </row>
    <row r="25" customFormat="false" ht="15" hidden="false" customHeight="false" outlineLevel="0" collapsed="false">
      <c r="A25" s="4" t="s">
        <v>752</v>
      </c>
      <c r="B25" s="16" t="n">
        <f aca="false">90-B23-B24</f>
        <v>90</v>
      </c>
    </row>
    <row r="27" customFormat="false" ht="15" hidden="false" customHeight="false" outlineLevel="0" collapsed="false">
      <c r="A27" s="9" t="s">
        <v>753</v>
      </c>
      <c r="B27" s="9" t="s">
        <v>722</v>
      </c>
      <c r="C27" s="9" t="s">
        <v>754</v>
      </c>
      <c r="D27" s="9" t="s">
        <v>739</v>
      </c>
    </row>
    <row r="28" customFormat="false" ht="15" hidden="false" customHeight="false" outlineLevel="0" collapsed="false">
      <c r="A28" s="4" t="s">
        <v>755</v>
      </c>
      <c r="B28" s="15" t="str">
        <f aca="false">IFERROR(CORREL(응답입력!$DE$7:$DE$56,응답입력!$DK$7:$DK$56),"자료 부족")</f>
        <v>자료 부족</v>
      </c>
      <c r="C28" s="4" t="s">
        <v>756</v>
      </c>
      <c r="D28" s="25" t="str">
        <f aca="false">IF(ISNUMBER(B28),IF(B28&lt;0,"OK","확인"),"")</f>
        <v/>
      </c>
    </row>
    <row r="29" customFormat="false" ht="15" hidden="false" customHeight="false" outlineLevel="0" collapsed="false">
      <c r="A29" s="4" t="s">
        <v>757</v>
      </c>
      <c r="B29" s="15" t="str">
        <f aca="false">IFERROR(CORREL(응답입력!$AH$7:$AH$56,응답입력!$DL$7:$DL$56),"자료 부족")</f>
        <v>자료 부족</v>
      </c>
      <c r="C29" s="4" t="s">
        <v>756</v>
      </c>
      <c r="D29" s="25" t="str">
        <f aca="false">IF(ISNUMBER(B29),IF(B29&lt;0,"OK","확인"),"")</f>
        <v/>
      </c>
    </row>
    <row r="30" customFormat="false" ht="15" hidden="false" customHeight="false" outlineLevel="0" collapsed="false">
      <c r="A30" s="4" t="s">
        <v>758</v>
      </c>
      <c r="B30" s="15" t="str">
        <f aca="false">IFERROR(CORREL(응답입력!$CM$7:$CM$56,응답입력!$DM$7:$DM$56),"자료 부족")</f>
        <v>자료 부족</v>
      </c>
      <c r="C30" s="4" t="s">
        <v>756</v>
      </c>
      <c r="D30" s="25" t="str">
        <f aca="false">IF(ISNUMBER(B30),IF(B30&lt;0,"OK","확인"),"")</f>
        <v/>
      </c>
    </row>
    <row r="31" customFormat="false" ht="15" hidden="false" customHeight="false" outlineLevel="0" collapsed="false">
      <c r="A31" s="4" t="s">
        <v>759</v>
      </c>
      <c r="B31" s="15" t="str">
        <f aca="false">IFERROR(CORREL(응답입력!$BW$7:$BW$56,응답입력!$DN$7:$DN$56),"자료 부족")</f>
        <v>자료 부족</v>
      </c>
      <c r="C31" s="4" t="s">
        <v>756</v>
      </c>
      <c r="D31" s="25" t="str">
        <f aca="false">IF(ISNUMBER(B31),IF(B31&lt;0,"OK","확인"),"")</f>
        <v/>
      </c>
    </row>
    <row r="32" customFormat="false" ht="15" hidden="false" customHeight="false" outlineLevel="0" collapsed="false">
      <c r="A32" s="4" t="s">
        <v>760</v>
      </c>
      <c r="B32" s="15" t="str">
        <f aca="false">IFERROR(CORREL(연결점수!$AA$6:$AA$55,응답입력!$DP$7:$DP$56),"자료 부족")</f>
        <v>자료 부족</v>
      </c>
      <c r="C32" s="4" t="s">
        <v>761</v>
      </c>
      <c r="D32" s="25" t="str">
        <f aca="false">IF(ISNUMBER(B32),IF(B32&gt;0,"OK","확인"),"")</f>
        <v/>
      </c>
    </row>
    <row r="33" customFormat="false" ht="15" hidden="false" customHeight="false" outlineLevel="0" collapsed="false">
      <c r="A33" s="4" t="s">
        <v>762</v>
      </c>
      <c r="B33" s="16" t="str">
        <f aca="false">IF(COUNT(점수요약!C40:C42)=3,IF(AND(점수요약!C40&gt;=점수요약!C41,점수요약!C41&gt;=점수요약!C42),"지지","불일치"),"자료 부족")</f>
        <v>자료 부족</v>
      </c>
      <c r="C33" s="4" t="s">
        <v>763</v>
      </c>
      <c r="D33" s="25" t="str">
        <f aca="false">IF(B33="자료 부족","",IF(B33=C33,"OK","확인"))</f>
        <v/>
      </c>
    </row>
    <row r="35" customFormat="false" ht="31.5" hidden="false" customHeight="true" outlineLevel="0" collapsed="false">
      <c r="A35" s="11" t="s">
        <v>764</v>
      </c>
      <c r="B35" s="11"/>
      <c r="C35" s="11"/>
      <c r="D35" s="11"/>
    </row>
    <row r="37" customFormat="false" ht="15" hidden="false" customHeight="false" outlineLevel="0" collapsed="false">
      <c r="A37" s="9" t="s">
        <v>765</v>
      </c>
      <c r="B37" s="9" t="s">
        <v>766</v>
      </c>
      <c r="C37" s="9" t="s">
        <v>767</v>
      </c>
    </row>
    <row r="38" customFormat="false" ht="31.5" hidden="false" customHeight="true" outlineLevel="0" collapsed="false">
      <c r="A38" s="6" t="s">
        <v>768</v>
      </c>
      <c r="B38" s="4" t="s">
        <v>769</v>
      </c>
      <c r="C38" s="4" t="s">
        <v>770</v>
      </c>
    </row>
    <row r="39" customFormat="false" ht="31.5" hidden="false" customHeight="true" outlineLevel="0" collapsed="false">
      <c r="A39" s="6" t="s">
        <v>771</v>
      </c>
      <c r="B39" s="6" t="s">
        <v>772</v>
      </c>
      <c r="C39" s="6" t="s">
        <v>773</v>
      </c>
    </row>
    <row r="40" customFormat="false" ht="31.5" hidden="false" customHeight="true" outlineLevel="0" collapsed="false">
      <c r="A40" s="6" t="s">
        <v>774</v>
      </c>
      <c r="B40" s="6" t="s">
        <v>775</v>
      </c>
      <c r="C40" s="4" t="s">
        <v>776</v>
      </c>
    </row>
    <row r="41" customFormat="false" ht="31.5" hidden="false" customHeight="true" outlineLevel="0" collapsed="false">
      <c r="A41" s="6" t="s">
        <v>777</v>
      </c>
      <c r="B41" s="4" t="s">
        <v>778</v>
      </c>
      <c r="C41" s="4" t="s">
        <v>779</v>
      </c>
    </row>
    <row r="42" customFormat="false" ht="31.5" hidden="false" customHeight="true" outlineLevel="0" collapsed="false">
      <c r="A42" s="6" t="s">
        <v>780</v>
      </c>
      <c r="B42" s="4" t="s">
        <v>781</v>
      </c>
      <c r="C42" s="4" t="s">
        <v>782</v>
      </c>
    </row>
    <row r="43" customFormat="false" ht="31.5" hidden="false" customHeight="true" outlineLevel="0" collapsed="false">
      <c r="A43" s="6" t="s">
        <v>783</v>
      </c>
      <c r="B43" s="4" t="s">
        <v>784</v>
      </c>
      <c r="C43" s="4" t="s">
        <v>785</v>
      </c>
    </row>
    <row r="44" customFormat="false" ht="31.5" hidden="false" customHeight="true" outlineLevel="0" collapsed="false">
      <c r="A44" s="6" t="s">
        <v>786</v>
      </c>
      <c r="B44" s="4" t="s">
        <v>787</v>
      </c>
      <c r="C44" s="4" t="s">
        <v>788</v>
      </c>
    </row>
    <row r="45" customFormat="false" ht="31.5" hidden="false" customHeight="true" outlineLevel="0" collapsed="false">
      <c r="A45" s="6" t="s">
        <v>789</v>
      </c>
      <c r="B45" s="4" t="s">
        <v>790</v>
      </c>
      <c r="C45" s="4" t="s">
        <v>791</v>
      </c>
    </row>
  </sheetData>
  <mergeCells count="1"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2026-10-06T07:07:33Z</dcterms:created>
  <dc:creator>openpyxl</dc:creator>
  <dc:description/>
  <dc:language>en-US</dc:language>
  <cp:lastModifiedBy/>
  <dcterms:modified xsi:type="dcterms:W3CDTF">2026-10-06T07:07:33Z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