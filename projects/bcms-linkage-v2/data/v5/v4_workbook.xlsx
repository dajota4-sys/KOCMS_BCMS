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4845246d72436e" /></Relationships>
</file>

<file path=xl/workbook.xml><?xml version="1.0" encoding="utf-8"?>
<x:workbook xmlns:x="http://schemas.openxmlformats.org/spreadsheetml/2006/main">
  <x:sheets>
    <x:sheet xmlns:r="http://schemas.openxmlformats.org/officeDocument/2006/relationships" name="시작점" sheetId="1" r:id="Rba8c711953a546e7"/>
    <x:sheet xmlns:r="http://schemas.openxmlformats.org/officeDocument/2006/relationships" name="관계MAP" sheetId="2" r:id="Re3dcf8987a724ffa"/>
    <x:sheet xmlns:r="http://schemas.openxmlformats.org/officeDocument/2006/relationships" name="관계근거31" sheetId="3" r:id="R6e79cd190dfa4e54"/>
    <x:sheet xmlns:r="http://schemas.openxmlformats.org/officeDocument/2006/relationships" name="예비문항179" sheetId="4" r:id="R80ec434733814826"/>
    <x:sheet xmlns:r="http://schemas.openxmlformats.org/officeDocument/2006/relationships" name="품질개념6" sheetId="5" r:id="R4358127a12c3456e"/>
    <x:sheet xmlns:r="http://schemas.openxmlformats.org/officeDocument/2006/relationships" name="객체22" sheetId="6" r:id="R8725f44a65564497"/>
    <x:sheet xmlns:r="http://schemas.openxmlformats.org/officeDocument/2006/relationships" name="인용원문72" sheetId="7" r:id="Rf4979650c76f4233"/>
    <x:sheet xmlns:r="http://schemas.openxmlformats.org/officeDocument/2006/relationships" name="외부학술근거" sheetId="8" r:id="Rfa7e09f584f741d5"/>
    <x:sheet xmlns:r="http://schemas.openxmlformats.org/officeDocument/2006/relationships" name="온톨로지규칙" sheetId="9" r:id="R4d010f0489e04b42"/>
    <x:sheet xmlns:r="http://schemas.openxmlformats.org/officeDocument/2006/relationships" name="보류및누락" sheetId="10" r:id="Re31847f6e3a64e4f"/>
    <x:sheet xmlns:r="http://schemas.openxmlformats.org/officeDocument/2006/relationships" name="응답설계" sheetId="11" r:id="R3eb17610e4814913"/>
    <x:sheet xmlns:r="http://schemas.openxmlformats.org/officeDocument/2006/relationships" name="검증계획" sheetId="12" r:id="R6d9732f56f214144"/>
    <x:sheet xmlns:r="http://schemas.openxmlformats.org/officeDocument/2006/relationships" name="수정이력" sheetId="13" r:id="R22377b16ac03413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9">
    <x:font>
      <x:sz val="11"/>
      <x:name val="Carlito"/>
    </x:font>
    <x:font>
      <x:sz val="11"/>
      <x:color rgb="FF17324D"/>
      <x:name val="Noto Sans KR"/>
    </x:font>
    <x:font>
      <x:b/>
      <x:sz val="11"/>
      <x:color rgb="FFFFFFFF"/>
      <x:name val="Noto Sans KR"/>
    </x:font>
    <x:font>
      <x:sz val="10"/>
      <x:color rgb="FF17324D"/>
      <x:name val="Noto Sans KR"/>
    </x:font>
    <x:font>
      <x:b/>
      <x:sz val="10"/>
      <x:color rgb="FFFFFFFF"/>
      <x:name val="Noto Sans KR"/>
    </x:font>
    <x:font>
      <x:b/>
      <x:sz val="10"/>
      <x:color rgb="FF245E94"/>
      <x:name val="Noto Sans KR"/>
    </x:font>
    <x:font>
      <x:b/>
      <x:sz val="10"/>
      <x:color rgb="FF94621B"/>
      <x:name val="Noto Sans KR"/>
    </x:font>
    <x:font>
      <x:b/>
      <x:sz val="10"/>
      <x:color rgb="FF6D747E"/>
      <x:name val="Noto Sans KR"/>
    </x:font>
    <x:font>
      <x:b/>
      <x:sz val="10"/>
      <x:color rgb="FF377A64"/>
      <x:name val="Noto Sans KR"/>
    </x:font>
  </x:fonts>
  <x:fills count="10">
    <x:fill>
      <x:patternFill patternType="none"/>
    </x:fill>
    <x:fill>
      <x:patternFill patternType="gray125"/>
    </x:fill>
    <x:fill>
      <x:patternFill patternType="solid">
        <x:fgColor rgb="FF17324D"/>
      </x:patternFill>
    </x:fill>
    <x:fill>
      <x:patternFill patternType="solid">
        <x:fgColor rgb="FFF3F6F9"/>
      </x:patternFill>
    </x:fill>
    <x:fill>
      <x:patternFill patternType="solid">
        <x:fgColor rgb="FFE7EEF4"/>
      </x:patternFill>
    </x:fill>
    <x:fill>
      <x:patternFill patternType="solid">
        <x:fgColor rgb="FFE3EFF9"/>
      </x:patternFill>
    </x:fill>
    <x:fill>
      <x:patternFill patternType="solid">
        <x:fgColor rgb="FFFFF0D8"/>
      </x:patternFill>
    </x:fill>
    <x:fill>
      <x:patternFill patternType="solid">
        <x:fgColor rgb="FFE6E8EB"/>
      </x:patternFill>
    </x:fill>
    <x:fill>
      <x:patternFill patternType="solid">
        <x:fgColor rgb="FFE2F0E8"/>
      </x:patternFill>
    </x:fill>
    <x:fill>
      <x:patternFill patternType="solid">
        <x:fgColor rgb="FFFFF3CC"/>
      </x:patternFill>
    </x:fill>
  </x:fills>
  <x:borders count="1">
    <x:border>
      <x:left/>
      <x:right/>
      <x:top/>
      <x:bottom/>
      <x:diagonal/>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horizontal="center"/>
    </x:xf>
    <x:xf numFmtId="0" fontId="3" fillId="2" borderId="0" xfId="0" applyNumberFormat="1" applyFont="1" applyFill="1" applyBorder="1" applyAlignment="1">
      <x:alignment horizontal="center"/>
    </x:xf>
    <x:xf numFmtId="0" fontId="4" fillId="2" borderId="0" xfId="0" applyNumberFormat="1" applyFont="1" applyFill="1" applyBorder="1" applyAlignment="1">
      <x:alignment horizontal="center"/>
    </x:xf>
    <x:xf numFmtId="0" fontId="3" fillId="4" borderId="0" xfId="0" applyNumberFormat="1" applyFont="1" applyFill="1" applyBorder="1" applyAlignment="1">
      <x:alignment horizontal="center"/>
    </x:xf>
    <x:xf numFmtId="0" fontId="3" fillId="5" borderId="0" xfId="0" applyNumberFormat="1" applyFont="1" applyFill="1" applyBorder="1" applyAlignment="1">
      <x:alignment horizontal="center"/>
    </x:xf>
    <x:xf numFmtId="0" fontId="5" fillId="5" borderId="0" xfId="0" applyNumberFormat="1" applyFont="1" applyFill="1" applyBorder="1" applyAlignment="1">
      <x:alignment horizontal="center"/>
    </x:xf>
    <x:xf numFmtId="0" fontId="3" fillId="6" borderId="0" xfId="0" applyNumberFormat="1" applyFont="1" applyFill="1" applyBorder="1" applyAlignment="1">
      <x:alignment horizontal="center"/>
    </x:xf>
    <x:xf numFmtId="0" fontId="6" fillId="6" borderId="0" xfId="0" applyNumberFormat="1" applyFont="1" applyFill="1" applyBorder="1" applyAlignment="1">
      <x:alignment horizontal="center"/>
    </x:xf>
    <x:xf numFmtId="0" fontId="3" fillId="7" borderId="0" xfId="0" applyNumberFormat="1" applyFont="1" applyFill="1" applyBorder="1" applyAlignment="1">
      <x:alignment horizontal="center"/>
    </x:xf>
    <x:xf numFmtId="0" fontId="7" fillId="7" borderId="0" xfId="0" applyNumberFormat="1" applyFont="1" applyFill="1" applyBorder="1" applyAlignment="1">
      <x:alignment horizontal="center"/>
    </x:xf>
    <x:xf numFmtId="0" fontId="3" fillId="8" borderId="0" xfId="0" applyNumberFormat="1" applyFont="1" applyFill="1" applyBorder="1" applyAlignment="1">
      <x:alignment horizontal="center"/>
    </x:xf>
    <x:xf numFmtId="0" fontId="8" fillId="8" borderId="0" xfId="0" applyNumberFormat="1" applyFont="1" applyFill="1" applyBorder="1" applyAlignment="1">
      <x:alignment horizontal="center"/>
    </x:xf>
    <x:xf numFmtId="0" fontId="3" fillId="0" borderId="0" xfId="0" applyNumberFormat="1" applyFont="1" applyFill="1" applyBorder="1" applyAlignment="1">
      <x:alignment wrapText="1"/>
    </x:xf>
    <x:xf numFmtId="0" fontId="1" fillId="9"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f58d9d777c48e5" /><Relationship Type="http://schemas.openxmlformats.org/officeDocument/2006/relationships/theme" Target="/xl/theme/theme1.xml" Id="Rf3d04dc95e034980" /><Relationship Type="http://schemas.openxmlformats.org/officeDocument/2006/relationships/sharedStrings" Target="/xl/sharedStrings.xml" Id="R33d7c7e6b0594cb4" /><Relationship Type="http://schemas.openxmlformats.org/officeDocument/2006/relationships/worksheet" Target="/xl/worksheets/sheet1.xml" Id="Rba8c711953a546e7" /><Relationship Type="http://schemas.openxmlformats.org/officeDocument/2006/relationships/worksheet" Target="/xl/worksheets/sheet2.xml" Id="Re3dcf8987a724ffa" /><Relationship Type="http://schemas.openxmlformats.org/officeDocument/2006/relationships/worksheet" Target="/xl/worksheets/sheet3.xml" Id="R6e79cd190dfa4e54" /><Relationship Type="http://schemas.openxmlformats.org/officeDocument/2006/relationships/worksheet" Target="/xl/worksheets/sheet4.xml" Id="R80ec434733814826" /><Relationship Type="http://schemas.openxmlformats.org/officeDocument/2006/relationships/worksheet" Target="/xl/worksheets/sheet5.xml" Id="R4358127a12c3456e" /><Relationship Type="http://schemas.openxmlformats.org/officeDocument/2006/relationships/worksheet" Target="/xl/worksheets/sheet6.xml" Id="R8725f44a65564497" /><Relationship Type="http://schemas.openxmlformats.org/officeDocument/2006/relationships/worksheet" Target="/xl/worksheets/sheet7.xml" Id="Rf4979650c76f4233" /><Relationship Type="http://schemas.openxmlformats.org/officeDocument/2006/relationships/worksheet" Target="/xl/worksheets/sheet8.xml" Id="Rfa7e09f584f741d5" /><Relationship Type="http://schemas.openxmlformats.org/officeDocument/2006/relationships/worksheet" Target="/xl/worksheets/sheet9.xml" Id="R4d010f0489e04b42" /><Relationship Type="http://schemas.openxmlformats.org/officeDocument/2006/relationships/worksheet" Target="/xl/worksheets/sheet10.xml" Id="Re31847f6e3a64e4f" /><Relationship Type="http://schemas.openxmlformats.org/officeDocument/2006/relationships/worksheet" Target="/xl/worksheets/sheet11.xml" Id="R3eb17610e4814913" /><Relationship Type="http://schemas.openxmlformats.org/officeDocument/2006/relationships/worksheet" Target="/xl/worksheets/sheet12.xml" Id="R6d9732f56f214144" /><Relationship Type="http://schemas.openxmlformats.org/officeDocument/2006/relationships/worksheet" Target="/xl/worksheets/sheet13.xml" Id="R22377b16ac034139" /></Relationships>
</file>

<file path=xl/tables/table1.xml><?xml version="1.0" encoding="utf-8"?>
<x:table xmlns:x="http://schemas.openxmlformats.org/spreadsheetml/2006/main" id="1" name="ResearchTable1" displayName="ResearchTable1" ref="A1:B16" headerRowCount="1" totalsRowCount="0" totalsRowShown="0">
  <x:tableColumns count="2">
    <x:tableColumn id="1" name="상태"/>
    <x:tableColumn id="2" name="연구 기준 2026년 10월 9일 V4"/>
  </x:tableColumns>
  <x:tableStyleInfo name="TableStyleMedium2" showFirstColumn="0" showLastColumn="0" showRowStripes="1" showColumnStripes="0"/>
</x:table>
</file>

<file path=xl/tables/table2.xml><?xml version="1.0" encoding="utf-8"?>
<x:table xmlns:x="http://schemas.openxmlformats.org/spreadsheetml/2006/main" id="2" name="ResearchTable3" displayName="ResearchTable3" ref="A1:M32" headerRowCount="1" totalsRowCount="0" totalsRowShown="0">
  <x:tableColumns count="13">
    <x:tableColumn id="1" name="관계ID"/>
    <x:tableColumn id="2" name="출발"/>
    <x:tableColumn id="3" name="도착"/>
    <x:tableColumn id="4" name="관계 의미"/>
    <x:tableColumn id="5" name="V3 등급"/>
    <x:tableColumn id="6" name="V4 등급"/>
    <x:tableColumn id="7" name="분류"/>
    <x:tableColumn id="8" name="인용ID"/>
    <x:tableColumn id="9" name="원문 요지"/>
    <x:tableColumn id="10" name="연구자 정규화"/>
    <x:tableColumn id="11" name="수정·주의"/>
    <x:tableColumn id="12" name="전문가 판단"/>
    <x:tableColumn id="13" name="검토 의견"/>
  </x:tableColumns>
  <x:tableStyleInfo name="TableStyleMedium2" showFirstColumn="0" showLastColumn="0" showRowStripes="1" showColumnStripes="0"/>
</x:table>
</file>

<file path=xl/tables/table3.xml><?xml version="1.0" encoding="utf-8"?>
<x:table xmlns:x="http://schemas.openxmlformats.org/spreadsheetml/2006/main" id="3" name="ResearchTable4" displayName="ResearchTable4" ref="A1:U180" headerRowCount="1" totalsRowCount="0" totalsRowShown="0">
  <x:tableColumns count="21">
    <x:tableColumn id="1" name="문항ID"/>
    <x:tableColumn id="2" name="관계ID"/>
    <x:tableColumn id="3" name="코드"/>
    <x:tableColumn id="4" name="측정 개념"/>
    <x:tableColumn id="5" name="역할·검토 상태"/>
    <x:tableColumn id="6" name="V4 문항 후보"/>
    <x:tableColumn id="7" name="V3 원문항"/>
    <x:tableColumn id="8" name="연결 등급"/>
    <x:tableColumn id="9" name="연결 출처"/>
    <x:tableColumn id="10" name="개념 근거"/>
    <x:tableColumn id="11" name="수정·보류 사유"/>
    <x:tableColumn id="12" name="전문가1"/>
    <x:tableColumn id="13" name="전문가2"/>
    <x:tableColumn id="14" name="전문가3"/>
    <x:tableColumn id="15" name="전문가4"/>
    <x:tableColumn id="16" name="전문가5"/>
    <x:tableColumn id="17" name="전문가6"/>
    <x:tableColumn id="18" name="I-CVI"/>
    <x:tableColumn id="19" name="검토 진행"/>
    <x:tableColumn id="20" name="최종 결정"/>
    <x:tableColumn id="21" name="수정 의견"/>
  </x:tableColumns>
  <x:tableStyleInfo name="TableStyleMedium2" showFirstColumn="0" showLastColumn="0" showRowStripes="1" showColumnStripes="0"/>
</x:table>
</file>

<file path=xl/tables/table4.xml><?xml version="1.0" encoding="utf-8"?>
<x:table xmlns:x="http://schemas.openxmlformats.org/spreadsheetml/2006/main" id="4" name="ResearchTable5" displayName="ResearchTable5" ref="A1:G7" headerRowCount="1" totalsRowCount="0" totalsRowShown="0">
  <x:tableColumns count="7">
    <x:tableColumn id="1" name="코드"/>
    <x:tableColumn id="2" name="수정 개념"/>
    <x:tableColumn id="3" name="검토 역할"/>
    <x:tableColumn id="4" name="조작적 정의 후보"/>
    <x:tableColumn id="5" name="출처·위치"/>
    <x:tableColumn id="6" name="원문이 말하는 범위"/>
    <x:tableColumn id="7" name="전이·한계"/>
  </x:tableColumns>
  <x:tableStyleInfo name="TableStyleMedium2" showFirstColumn="0" showLastColumn="0" showRowStripes="1" showColumnStripes="0"/>
</x:table>
</file>

<file path=xl/tables/table5.xml><?xml version="1.0" encoding="utf-8"?>
<x:table xmlns:x="http://schemas.openxmlformats.org/spreadsheetml/2006/main" id="5" name="ResearchTable6" displayName="ResearchTable6" ref="A1:J23" headerRowCount="1" totalsRowCount="0" totalsRowShown="0">
  <x:tableColumns count="10">
    <x:tableColumn id="1" name="ID"/>
    <x:tableColumn id="2" name="한국어"/>
    <x:tableColumn id="3" name="Arias Table 5 원명"/>
    <x:tableColumn id="4" name="원문 범주"/>
    <x:tableColumn id="5" name="PDCA"/>
    <x:tableColumn id="6" name="재난관리 주기"/>
    <x:tableColumn id="7" name="전문가 지명률 %"/>
    <x:tableColumn id="8" name="원자료 분류"/>
    <x:tableColumn id="9" name="대표 산출물 연구자 제안"/>
    <x:tableColumn id="10" name="기준 출처"/>
  </x:tableColumns>
  <x:tableStyleInfo name="TableStyleMedium2" showFirstColumn="0" showLastColumn="0" showRowStripes="1" showColumnStripes="0"/>
</x:table>
</file>

<file path=xl/tables/table6.xml><?xml version="1.0" encoding="utf-8"?>
<x:table xmlns:x="http://schemas.openxmlformats.org/spreadsheetml/2006/main" id="6" name="ResearchTable7" displayName="ResearchTable7" ref="A1:H73" headerRowCount="1" totalsRowCount="0" totalsRowShown="0">
  <x:tableColumns count="8">
    <x:tableColumn id="1" name="인용ID"/>
    <x:tableColumn id="2" name="출처"/>
    <x:tableColumn id="3" name="PDF 쪽"/>
    <x:tableColumn id="4" name="절"/>
    <x:tableColumn id="5" name="제공 원문"/>
    <x:tableColumn id="6" name="참고 번역"/>
    <x:tableColumn id="7" name="V3 사용처"/>
    <x:tableColumn id="8" name="문자 대조 상태"/>
  </x:tableColumns>
  <x:tableStyleInfo name="TableStyleMedium2" showFirstColumn="0" showLastColumn="0" showRowStripes="1" showColumnStripes="0"/>
</x:table>
</file>

<file path=xl/tables/table7.xml><?xml version="1.0" encoding="utf-8"?>
<x:table xmlns:x="http://schemas.openxmlformats.org/spreadsheetml/2006/main" id="7" name="ResearchTable8" displayName="ResearchTable8" ref="A1:F16" headerRowCount="1" totalsRowCount="0" totalsRowShown="0">
  <x:tableColumns count="6">
    <x:tableColumn id="1" name="ID"/>
    <x:tableColumn id="2" name="참고문헌"/>
    <x:tableColumn id="3" name="확인 수준"/>
    <x:tableColumn id="4" name="확인 위치"/>
    <x:tableColumn id="5" name="사용 범위·한계"/>
    <x:tableColumn id="6" name="원문 또는 출판사 URL"/>
  </x:tableColumns>
  <x:tableStyleInfo name="TableStyleMedium2" showFirstColumn="0" showLastColumn="0" showRowStripes="1" showColumnStripes="0"/>
</x:table>
</file>

<file path=xl/tables/table8.xml><?xml version="1.0" encoding="utf-8"?>
<x:table xmlns:x="http://schemas.openxmlformats.org/spreadsheetml/2006/main" id="8" name="ResearchTable9" displayName="ResearchTable9" ref="A1:D15" headerRowCount="1" totalsRowCount="0" totalsRowShown="0">
  <x:tableColumns count="4">
    <x:tableColumn id="1" name="요소"/>
    <x:tableColumn id="2" name="유형·질의"/>
    <x:tableColumn id="3" name="정의·규칙"/>
    <x:tableColumn id="4" name="예시·검증 조건"/>
  </x:tableColumns>
  <x:tableStyleInfo name="TableStyleMedium2" showFirstColumn="0" showLastColumn="0" showRowStripes="1" showColumnStripes="0"/>
</x:table>
</file>

<file path=xl/tables/table9.xml><?xml version="1.0" encoding="utf-8"?>
<x:table xmlns:x="http://schemas.openxmlformats.org/spreadsheetml/2006/main" id="9" name="ResearchTable10" displayName="ResearchTable10" ref="A1:E10" headerRowCount="1" totalsRowCount="0" totalsRowShown="0">
  <x:tableColumns count="5">
    <x:tableColumn id="1" name="ID"/>
    <x:tableColumn id="2" name="관계 후보"/>
    <x:tableColumn id="3" name="관계 내용"/>
    <x:tableColumn id="4" name="근거·보류 사유"/>
    <x:tableColumn id="5" name="다음 처리"/>
  </x:tableColumns>
  <x:tableStyleInfo name="TableStyleMedium2" showFirstColumn="0" showLastColumn="0" showRowStripes="1" showColumnStripes="0"/>
</x:table>
</file>

<file path=xl/tables/table10.xml><?xml version="1.0" encoding="utf-8"?>
<x:table xmlns:x="http://schemas.openxmlformats.org/spreadsheetml/2006/main" id="10" name="ResearchTable11" displayName="ResearchTable11" ref="A1:C10" headerRowCount="1" totalsRowCount="0" totalsRowShown="0">
  <x:tableColumns count="3">
    <x:tableColumn id="1" name="항목"/>
    <x:tableColumn id="2" name="후보 규칙"/>
    <x:tableColumn id="3" name="운영·해석 조건"/>
  </x:tableColumns>
  <x:tableStyleInfo name="TableStyleMedium2" showFirstColumn="0" showLastColumn="0" showRowStripes="1" showColumnStripes="0"/>
</x:table>
</file>

<file path=xl/tables/table11.xml><?xml version="1.0" encoding="utf-8"?>
<x:table xmlns:x="http://schemas.openxmlformats.org/spreadsheetml/2006/main" id="11" name="ResearchTable12" displayName="ResearchTable12" ref="A1:D9" headerRowCount="1" totalsRowCount="0" totalsRowShown="0">
  <x:tableColumns count="4">
    <x:tableColumn id="1" name="Gate"/>
    <x:tableColumn id="2" name="목적"/>
    <x:tableColumn id="3" name="다음 검토"/>
    <x:tableColumn id="4" name="완료 조건·주의"/>
  </x:tableColumns>
  <x:tableStyleInfo name="TableStyleMedium2" showFirstColumn="0" showLastColumn="0" showRowStripes="1" showColumnStripes="0"/>
</x:table>
</file>

<file path=xl/tables/table12.xml><?xml version="1.0" encoding="utf-8"?>
<x:table xmlns:x="http://schemas.openxmlformats.org/spreadsheetml/2006/main" id="12" name="ResearchTable13" displayName="ResearchTable13" ref="A1:F21" headerRowCount="1" totalsRowCount="0" totalsRowShown="0">
  <x:tableColumns count="6">
    <x:tableColumn id="1" name="ID"/>
    <x:tableColumn id="2" name="중요도"/>
    <x:tableColumn id="3" name="대상"/>
    <x:tableColumn id="4" name="V3 문제"/>
    <x:tableColumn id="5" name="V4 수정"/>
    <x:tableColumn id="6" name="근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dc3412bb294121" /></Relationships>
</file>

<file path=xl/worksheets/_rels/sheet3.xml.rels>&#65279;<?xml version="1.0" encoding="utf-8"?><Relationships xmlns="http://schemas.openxmlformats.org/package/2006/relationships"><Relationship Type="http://schemas.openxmlformats.org/officeDocument/2006/relationships/table" Target="/xl/tables/table2.xml" Id="R692b4885473140d2" /></Relationships>
</file>

<file path=xl/worksheets/_rels/sheet4.xml.rels>&#65279;<?xml version="1.0" encoding="utf-8"?><Relationships xmlns="http://schemas.openxmlformats.org/package/2006/relationships"><Relationship Type="http://schemas.openxmlformats.org/officeDocument/2006/relationships/table" Target="/xl/tables/table3.xml" Id="R1d0e7fa28d5942fd" /></Relationships>
</file>

<file path=xl/worksheets/_rels/sheet5.xml.rels>&#65279;<?xml version="1.0" encoding="utf-8"?><Relationships xmlns="http://schemas.openxmlformats.org/package/2006/relationships"><Relationship Type="http://schemas.openxmlformats.org/officeDocument/2006/relationships/table" Target="/xl/tables/table4.xml" Id="Rc25c4914d4874668" /></Relationships>
</file>

<file path=xl/worksheets/_rels/sheet6.xml.rels>&#65279;<?xml version="1.0" encoding="utf-8"?><Relationships xmlns="http://schemas.openxmlformats.org/package/2006/relationships"><Relationship Type="http://schemas.openxmlformats.org/officeDocument/2006/relationships/table" Target="/xl/tables/table5.xml" Id="R019b6ff49f7b4576" /></Relationships>
</file>

<file path=xl/worksheets/_rels/sheet7.xml.rels>&#65279;<?xml version="1.0" encoding="utf-8"?><Relationships xmlns="http://schemas.openxmlformats.org/package/2006/relationships"><Relationship Type="http://schemas.openxmlformats.org/officeDocument/2006/relationships/table" Target="/xl/tables/table6.xml" Id="R8cf61ed74f5e4bd8" /></Relationships>
</file>

<file path=xl/worksheets/_rels/sheet8.xml.rels>&#65279;<?xml version="1.0" encoding="utf-8"?><Relationships xmlns="http://schemas.openxmlformats.org/package/2006/relationships"><Relationship Type="http://schemas.openxmlformats.org/officeDocument/2006/relationships/table" Target="/xl/tables/table7.xml" Id="R78392184dda442e5" /></Relationships>
</file>

<file path=xl/worksheets/_rels/sheet9.xml.rels>&#65279;<?xml version="1.0" encoding="utf-8"?><Relationships xmlns="http://schemas.openxmlformats.org/package/2006/relationships"><Relationship Type="http://schemas.openxmlformats.org/officeDocument/2006/relationships/table" Target="/xl/tables/table8.xml" Id="R46b3106055954c91" /></Relationships>
</file>

<file path=xl/worksheets/_rels/sheet10.xml.rels>&#65279;<?xml version="1.0" encoding="utf-8"?><Relationships xmlns="http://schemas.openxmlformats.org/package/2006/relationships"><Relationship Type="http://schemas.openxmlformats.org/officeDocument/2006/relationships/table" Target="/xl/tables/table9.xml" Id="Ra2340850b91a4654" /></Relationships>
</file>

<file path=xl/worksheets/_rels/sheet11.xml.rels>&#65279;<?xml version="1.0" encoding="utf-8"?><Relationships xmlns="http://schemas.openxmlformats.org/package/2006/relationships"><Relationship Type="http://schemas.openxmlformats.org/officeDocument/2006/relationships/table" Target="/xl/tables/table10.xml" Id="R549a2686d9624564" /></Relationships>
</file>

<file path=xl/worksheets/_rels/sheet12.xml.rels>&#65279;<?xml version="1.0" encoding="utf-8"?><Relationships xmlns="http://schemas.openxmlformats.org/package/2006/relationships"><Relationship Type="http://schemas.openxmlformats.org/officeDocument/2006/relationships/table" Target="/xl/tables/table11.xml" Id="Rd56cad65eeac49d4" /></Relationships>
</file>

<file path=xl/worksheets/_rels/sheet13.xml.rels>&#65279;<?xml version="1.0" encoding="utf-8"?><Relationships xmlns="http://schemas.openxmlformats.org/package/2006/relationships"><Relationship Type="http://schemas.openxmlformats.org/officeDocument/2006/relationships/table" Target="/xl/tables/table12.xml" Id="Rc2d90e3a8b304067"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14.4399995803833" hidden="0" customWidth="1"/>
    <x:col min="2" max="2" width="115.55999755859375" hidden="0" customWidth="1"/>
  </x:cols>
  <x:sheetData>
    <x:row r="1" ht="37.5" customHeight="1">
      <x:c r="A1" s="5" t="str">
        <x:v>상태</x:v>
      </x:c>
      <x:c r="B1" s="5" t="str">
        <x:v>연구 기준 2026년 10월 9일 V4</x:v>
      </x:c>
    </x:row>
    <x:row r="2" ht="31.5" customHeight="1">
      <x:c r="A2" s="3" t="str">
        <x:v>확정</x:v>
      </x:c>
      <x:c r="B2" s="3" t="str">
        <x:v>Arias Table 5의 22개 BCMS 프로세스 유형을 객체 범위로 사용한다.</x:v>
      </x:c>
    </x:row>
    <x:row r="3" ht="31.5" customHeight="1">
      <x:c r="A3" s="6" t="str">
        <x:v>확정</x:v>
      </x:c>
      <x:c r="B3" s="6" t="str">
        <x:v>이전 반영·확인·갱신 세 관점을 측정 틀로 사용하지 않는다.</x:v>
      </x:c>
    </x:row>
    <x:row r="4" ht="31.5" customHeight="1">
      <x:c r="A4" s="3" t="str">
        <x:v>검토안</x:v>
      </x:c>
      <x:c r="B4" s="3" t="str">
        <x:v>6개 개념은 후보이다. 연결 품질 4·관리조건 1·개선 경로 1로 역할을 구분하며 요인 수는 미확정이다.</x:v>
      </x:c>
    </x:row>
    <x:row r="5" ht="31.5" customHeight="1">
      <x:c r="A5" s="6" t="str">
        <x:v>관계 기록</x:v>
      </x:c>
      <x:c r="B5" s="6" t="n">
        <x:f>COUNTA('관계근거31'!A2:A32)</x:f>
        <x:v>31</x:v>
      </x:c>
    </x:row>
    <x:row r="6" ht="31.5" customHeight="1">
      <x:c r="A6" s="3" t="str">
        <x:v>운영 후보</x:v>
      </x:c>
      <x:c r="B6" s="3" t="n">
        <x:f>COUNTIF('관계근거31'!G2:G32,"운영 후보")</x:f>
        <x:v>24</x:v>
      </x:c>
    </x:row>
    <x:row r="7" ht="31.5" customHeight="1">
      <x:c r="A7" s="6" t="str">
        <x:v>위계 표시</x:v>
      </x:c>
      <x:c r="B7" s="6" t="n">
        <x:f>COUNTIF('관계근거31'!G2:G32,"위계 표시")</x:f>
        <x:v>2</x:v>
      </x:c>
    </x:row>
    <x:row r="8" ht="31.5" customHeight="1">
      <x:c r="A8" s="3" t="str">
        <x:v>집단 진술</x:v>
      </x:c>
      <x:c r="B8" s="3" t="n">
        <x:f>COUNTIF('관계근거31'!G2:G32,"집단 진술")</x:f>
        <x:v>2</x:v>
      </x:c>
    </x:row>
    <x:row r="9" ht="31.5" customHeight="1">
      <x:c r="A9" s="6" t="str">
        <x:v>근거 보류</x:v>
      </x:c>
      <x:c r="B9" s="6" t="n">
        <x:f>COUNTIF('관계근거31'!G2:G32,"근거 보류")</x:f>
        <x:v>3</x:v>
      </x:c>
    </x:row>
    <x:row r="10" ht="31.5" customHeight="1">
      <x:c r="A10" s="3" t="str">
        <x:v>문항 기록</x:v>
      </x:c>
      <x:c r="B10" s="3" t="n">
        <x:f>COUNTA('예비문항179'!A2:A180)</x:f>
        <x:v>179</x:v>
      </x:c>
    </x:row>
    <x:row r="11" ht="31.5" customHeight="1">
      <x:c r="A11" s="6" t="str">
        <x:v>문항 선별</x:v>
      </x:c>
      <x:c r="B11" s="6" t="str">
        <x:v>179개는 검토 은행. 연결 품질 후보 96·관리조건 후보 24·경로 후보 8·구조/근거 보류 35·종합 7·검토/준거 9.</x:v>
      </x:c>
    </x:row>
    <x:row r="12" ht="39" customHeight="1">
      <x:c r="A12" s="3" t="str">
        <x:v>측정 정의 후보</x:v>
      </x:c>
      <x:c r="B12" s="3" t="str">
        <x:v>조직의 BCMS에서 문헌으로 정의한 운영 연결의 산출물·기준이 후속 업무에 모순 없이 대응하고, 근거와 수행 사실을 찾을 수 있으며, 변경 정보가 필요한 시점에 전달·처리되는 정도.</x:v>
      </x:c>
    </x:row>
    <x:row r="13" ht="31.5" customHeight="1">
      <x:c r="A13" s="6" t="str">
        <x:v>점수</x:v>
      </x:c>
      <x:c r="B13" s="6" t="str">
        <x:v>차원 평균·동일가중 지수·형성적 또는 반영적 모형을 아직 확정하지 않는다.</x:v>
      </x:c>
    </x:row>
    <x:row r="14" ht="31.5" customHeight="1">
      <x:c r="A14" s="3" t="str">
        <x:v>범위</x:v>
      </x:c>
      <x:c r="B14" s="3" t="str">
        <x:v>운영 후보에 18개 유형이 등장한다. POL·AWR·WARN·REC의 운영 연결 공백을 보강하거나 제한으로 명시한다.</x:v>
      </x:c>
    </x:row>
    <x:row r="15" ht="31.5" customHeight="1">
      <x:c r="A15" s="6" t="str">
        <x:v>다음 Gate 2</x:v>
      </x:c>
      <x:c r="B15" s="6" t="str">
        <x:v>관계별 전달 산출물·사용 목적·필수성·품질 개념 적합성을 검토한다. 그 후 전문가 문항 심사와 인지면접으로 축소한다.</x:v>
      </x:c>
    </x:row>
    <x:row r="16" ht="31.5" customHeight="1">
      <x:c r="A16" s="3" t="str">
        <x:v>읽는 순서</x:v>
      </x:c>
      <x:c r="B16" s="3" t="str">
        <x:v>시작점 → 관계MAP → 관계근거31 → 예비문항179. 나머지 시트는 정의·근거·수정 이력을 확인할 때 사용한다.</x:v>
      </x:c>
    </x:row>
  </x:sheetData>
  <x:pageMargins left="0.7" right="0.7" top="0.75" bottom="0.75" header="0.3" footer="0.3"/>
  <x:tableParts count="1">
    <x:tablePart xmlns:r="http://schemas.openxmlformats.org/officeDocument/2006/relationships" r:id="R23dc3412bb294121"/>
  </x:tableParts>
</x:worksheet>
</file>

<file path=xl/worksheets/sheet2.xml><?xml version="1.0" encoding="utf-8"?>
<x:worksheet xmlns:x="http://schemas.openxmlformats.org/spreadsheetml/2006/main">
  <x:sheetPr>
    <x:tabColor rgb="FF245E94"/>
  </x:sheetPr>
  <x:sheetViews>
    <x:sheetView showGridLines="0" workbookViewId="0"/>
  </x:sheetViews>
  <x:sheetFormatPr defaultRowHeight="15"/>
  <x:cols>
    <x:col min="1" max="1" width="5.889999866485596" hidden="0" customWidth="1"/>
    <x:col min="2" max="2" width="5.889999866485596" hidden="0" customWidth="1"/>
    <x:col min="3" max="3" width="5.889999866485596" hidden="0" customWidth="1"/>
    <x:col min="4" max="4" width="5.889999866485596" hidden="0" customWidth="1"/>
    <x:col min="5" max="5" width="5.889999866485596" hidden="0" customWidth="1"/>
    <x:col min="6" max="6" width="5.889999866485596" hidden="0" customWidth="1"/>
    <x:col min="7" max="7" width="5.889999866485596" hidden="0" customWidth="1"/>
    <x:col min="8" max="8" width="5.889999866485596" hidden="0" customWidth="1"/>
    <x:col min="9" max="9" width="5.889999866485596" hidden="0" customWidth="1"/>
    <x:col min="10" max="10" width="5.889999866485596" hidden="0" customWidth="1"/>
    <x:col min="11" max="11" width="5.889999866485596" hidden="0" customWidth="1"/>
    <x:col min="12" max="12" width="5.889999866485596" hidden="0" customWidth="1"/>
    <x:col min="13" max="13" width="5.889999866485596" hidden="0" customWidth="1"/>
    <x:col min="14" max="14" width="5.889999866485596" hidden="0" customWidth="1"/>
    <x:col min="15" max="15" width="5.889999866485596" hidden="0" customWidth="1"/>
    <x:col min="16" max="16" width="5.889999866485596" hidden="0" customWidth="1"/>
    <x:col min="17" max="17" width="5.889999866485596" hidden="0" customWidth="1"/>
    <x:col min="18" max="18" width="5.889999866485596" hidden="0" customWidth="1"/>
    <x:col min="19" max="19" width="5.889999866485596" hidden="0" customWidth="1"/>
    <x:col min="20" max="20" width="5.889999866485596" hidden="0" customWidth="1"/>
    <x:col min="21" max="21" width="5.889999866485596" hidden="0" customWidth="1"/>
    <x:col min="22" max="22" width="5.889999866485596" hidden="0" customWidth="1"/>
    <x:col min="23" max="23" width="5.889999866485596" hidden="0" customWidth="1"/>
  </x:cols>
  <x:sheetData>
    <x:row r="1">
      <x:c r="A1" s="7" t="str">
        <x:v>22개 프로세스 관계 MAP   Y 출발 유형   X 도착 유형</x:v>
      </x:c>
      <x:c r="B1" s="7"/>
      <x:c r="C1" s="7"/>
      <x:c r="D1" s="7"/>
      <x:c r="E1" s="7"/>
      <x:c r="F1" s="7"/>
      <x:c r="G1" s="7"/>
      <x:c r="H1" s="7"/>
      <x:c r="I1" s="7"/>
      <x:c r="J1" s="7"/>
      <x:c r="K1" s="7"/>
      <x:c r="L1" s="7"/>
      <x:c r="M1" s="7"/>
      <x:c r="N1" s="7"/>
      <x:c r="O1" s="7"/>
      <x:c r="P1" s="7"/>
      <x:c r="Q1" s="7"/>
      <x:c r="R1" s="7"/>
      <x:c r="S1" s="7"/>
      <x:c r="T1" s="7"/>
      <x:c r="U1" s="7"/>
      <x:c r="V1" s="7"/>
      <x:c r="W1" s="7"/>
    </x:row>
    <x:row r="2">
      <x:c r="A2" s="7" t="str">
        <x:v>파랑 E1 직접 / 주황 E2 정규화 / 초록 H 위계 / 회색 ? 근거 보류. 빈 셀은 미등록이며 관계 부재의 증거가 아니다.</x:v>
      </x:c>
      <x:c r="B2" s="7"/>
      <x:c r="C2" s="7"/>
      <x:c r="D2" s="7"/>
      <x:c r="E2" s="7"/>
      <x:c r="F2" s="7"/>
      <x:c r="G2" s="7"/>
      <x:c r="H2" s="7"/>
      <x:c r="I2" s="7"/>
      <x:c r="J2" s="7"/>
      <x:c r="K2" s="7"/>
      <x:c r="L2" s="7"/>
      <x:c r="M2" s="7"/>
      <x:c r="N2" s="7"/>
      <x:c r="O2" s="7"/>
      <x:c r="P2" s="7"/>
      <x:c r="Q2" s="7"/>
      <x:c r="R2" s="7"/>
      <x:c r="S2" s="7"/>
      <x:c r="T2" s="7"/>
      <x:c r="U2" s="7"/>
      <x:c r="V2" s="7"/>
      <x:c r="W2" s="7"/>
    </x:row>
    <x:row r="3">
      <x:c r="A3" s="7"/>
      <x:c r="B3" s="7"/>
      <x:c r="C3" s="7"/>
      <x:c r="D3" s="7"/>
      <x:c r="E3" s="7"/>
      <x:c r="F3" s="7"/>
      <x:c r="G3" s="7"/>
      <x:c r="H3" s="7"/>
      <x:c r="I3" s="7"/>
      <x:c r="J3" s="7"/>
      <x:c r="K3" s="7"/>
      <x:c r="L3" s="7"/>
      <x:c r="M3" s="7"/>
      <x:c r="N3" s="7"/>
      <x:c r="O3" s="7"/>
      <x:c r="P3" s="7"/>
      <x:c r="Q3" s="7"/>
      <x:c r="R3" s="7"/>
      <x:c r="S3" s="7"/>
      <x:c r="T3" s="7"/>
      <x:c r="U3" s="7"/>
      <x:c r="V3" s="7"/>
      <x:c r="W3" s="7"/>
    </x:row>
    <x:row r="4" ht="22.5" customHeight="1">
      <x:c r="A4" s="10" t="str">
        <x:v>Y / X</x:v>
      </x:c>
      <x:c r="B4" s="10" t="str">
        <x:v>GOV</x:v>
      </x:c>
      <x:c r="C4" s="10" t="str">
        <x:v>POL</x:v>
      </x:c>
      <x:c r="D4" s="10" t="str">
        <x:v>REQ</x:v>
      </x:c>
      <x:c r="E4" s="10" t="str">
        <x:v>BIA</x:v>
      </x:c>
      <x:c r="F4" s="10" t="str">
        <x:v>RA</x:v>
      </x:c>
      <x:c r="G4" s="10" t="str">
        <x:v>STR</x:v>
      </x:c>
      <x:c r="H4" s="10" t="str">
        <x:v>PLAN</x:v>
      </x:c>
      <x:c r="I4" s="10" t="str">
        <x:v>IMP</x:v>
      </x:c>
      <x:c r="J4" s="10" t="str">
        <x:v>INC</x:v>
      </x:c>
      <x:c r="K4" s="10" t="str">
        <x:v>EXE</x:v>
      </x:c>
      <x:c r="L4" s="10" t="str">
        <x:v>AWR</x:v>
      </x:c>
      <x:c r="M4" s="10" t="str">
        <x:v>SUP</x:v>
      </x:c>
      <x:c r="N4" s="10" t="str">
        <x:v>AUD</x:v>
      </x:c>
      <x:c r="O4" s="10" t="str">
        <x:v>PERF</x:v>
      </x:c>
      <x:c r="P4" s="10" t="str">
        <x:v>CI</x:v>
      </x:c>
      <x:c r="Q4" s="10" t="str">
        <x:v>CHG</x:v>
      </x:c>
      <x:c r="R4" s="10" t="str">
        <x:v>WARN</x:v>
      </x:c>
      <x:c r="S4" s="10" t="str">
        <x:v>REC</x:v>
      </x:c>
      <x:c r="T4" s="10" t="str">
        <x:v>DOC</x:v>
      </x:c>
      <x:c r="U4" s="10" t="str">
        <x:v>RES</x:v>
      </x:c>
      <x:c r="V4" s="10" t="str">
        <x:v>COM</x:v>
      </x:c>
      <x:c r="W4" s="10" t="str">
        <x:v>CRM</x:v>
      </x:c>
    </x:row>
    <x:row r="5" ht="22.5" customHeight="1">
      <x:c r="A5" s="11" t="str">
        <x:v>GOV</x:v>
      </x:c>
      <x:c r="B5" s="8" t="str">
        <x:v>—</x:v>
      </x:c>
      <x:c r="C5" s="17" t="str">
        <x:v>L29 ?</x:v>
      </x:c>
      <x:c r="D5" s="8" t="str"/>
      <x:c r="E5" s="8" t="str"/>
      <x:c r="F5" s="8" t="str"/>
      <x:c r="G5" s="8" t="str"/>
      <x:c r="H5" s="8" t="str"/>
      <x:c r="I5" s="8" t="str"/>
      <x:c r="J5" s="8" t="str"/>
      <x:c r="K5" s="8" t="str"/>
      <x:c r="L5" s="8" t="str"/>
      <x:c r="M5" s="8" t="str"/>
      <x:c r="N5" s="8" t="str"/>
      <x:c r="O5" s="8" t="str"/>
      <x:c r="P5" s="8" t="str"/>
      <x:c r="Q5" s="8" t="str"/>
      <x:c r="R5" s="8" t="str"/>
      <x:c r="S5" s="8" t="str"/>
      <x:c r="T5" s="8" t="str"/>
      <x:c r="U5" s="8" t="str"/>
      <x:c r="V5" s="8" t="str"/>
      <x:c r="W5" s="8" t="str"/>
    </x:row>
    <x:row r="6" ht="22.5" customHeight="1">
      <x:c r="A6" s="11" t="str">
        <x:v>POL</x:v>
      </x:c>
      <x:c r="B6" s="8" t="str"/>
      <x:c r="C6" s="8" t="str">
        <x:v>—</x:v>
      </x:c>
      <x:c r="D6" s="8" t="str"/>
      <x:c r="E6" s="8" t="str"/>
      <x:c r="F6" s="8" t="str"/>
      <x:c r="G6" s="8" t="str"/>
      <x:c r="H6" s="8" t="str"/>
      <x:c r="I6" s="8" t="str"/>
      <x:c r="J6" s="8" t="str"/>
      <x:c r="K6" s="8" t="str"/>
      <x:c r="L6" s="8" t="str"/>
      <x:c r="M6" s="8" t="str"/>
      <x:c r="N6" s="8" t="str"/>
      <x:c r="O6" s="8" t="str"/>
      <x:c r="P6" s="8" t="str"/>
      <x:c r="Q6" s="8" t="str"/>
      <x:c r="R6" s="8" t="str"/>
      <x:c r="S6" s="8" t="str"/>
      <x:c r="T6" s="8" t="str"/>
      <x:c r="U6" s="8" t="str"/>
      <x:c r="V6" s="8" t="str"/>
      <x:c r="W6" s="8" t="str"/>
    </x:row>
    <x:row r="7" ht="22.5" customHeight="1">
      <x:c r="A7" s="11" t="str">
        <x:v>REQ</x:v>
      </x:c>
      <x:c r="B7" s="8" t="str"/>
      <x:c r="C7" s="8" t="str"/>
      <x:c r="D7" s="8" t="str">
        <x:v>—</x:v>
      </x:c>
      <x:c r="E7" s="13" t="str">
        <x:v>L01</x:v>
      </x:c>
      <x:c r="F7" s="13" t="str">
        <x:v>L02</x:v>
      </x:c>
      <x:c r="G7" s="8" t="str"/>
      <x:c r="H7" s="8" t="str"/>
      <x:c r="I7" s="8" t="str"/>
      <x:c r="J7" s="8" t="str"/>
      <x:c r="K7" s="8" t="str"/>
      <x:c r="L7" s="8" t="str"/>
      <x:c r="M7" s="13" t="str">
        <x:v>L05</x:v>
      </x:c>
      <x:c r="N7" s="13" t="str">
        <x:v>L04</x:v>
      </x:c>
      <x:c r="O7" s="8" t="str"/>
      <x:c r="P7" s="8" t="str"/>
      <x:c r="Q7" s="8" t="str"/>
      <x:c r="R7" s="8" t="str"/>
      <x:c r="S7" s="8" t="str"/>
      <x:c r="T7" s="8" t="str"/>
      <x:c r="U7" s="8" t="str"/>
      <x:c r="V7" s="8" t="str"/>
      <x:c r="W7" s="8" t="str"/>
    </x:row>
    <x:row r="8" ht="22.5" customHeight="1">
      <x:c r="A8" s="11" t="str">
        <x:v>BIA</x:v>
      </x:c>
      <x:c r="B8" s="8" t="str"/>
      <x:c r="C8" s="8" t="str"/>
      <x:c r="D8" s="8" t="str"/>
      <x:c r="E8" s="8" t="str">
        <x:v>—</x:v>
      </x:c>
      <x:c r="F8" s="13" t="str">
        <x:v>L03</x:v>
      </x:c>
      <x:c r="G8" s="13" t="str">
        <x:v>L06</x:v>
      </x:c>
      <x:c r="H8" s="8" t="str"/>
      <x:c r="I8" s="8" t="str"/>
      <x:c r="J8" s="8" t="str"/>
      <x:c r="K8" s="8" t="str"/>
      <x:c r="L8" s="8" t="str"/>
      <x:c r="M8" s="8" t="str"/>
      <x:c r="N8" s="8" t="str"/>
      <x:c r="O8" s="8" t="str"/>
      <x:c r="P8" s="8" t="str"/>
      <x:c r="Q8" s="8" t="str"/>
      <x:c r="R8" s="8" t="str"/>
      <x:c r="S8" s="8" t="str"/>
      <x:c r="T8" s="8" t="str"/>
      <x:c r="U8" s="17" t="str">
        <x:v>L11 ?</x:v>
      </x:c>
      <x:c r="V8" s="8" t="str"/>
      <x:c r="W8" s="8" t="str"/>
    </x:row>
    <x:row r="9" ht="22.5" customHeight="1">
      <x:c r="A9" s="11" t="str">
        <x:v>RA</x:v>
      </x:c>
      <x:c r="B9" s="8" t="str"/>
      <x:c r="C9" s="8" t="str"/>
      <x:c r="D9" s="8" t="str"/>
      <x:c r="E9" s="8" t="str"/>
      <x:c r="F9" s="8" t="str">
        <x:v>—</x:v>
      </x:c>
      <x:c r="G9" s="8" t="str"/>
      <x:c r="H9" s="13" t="str">
        <x:v>L09</x:v>
      </x:c>
      <x:c r="I9" s="8" t="str"/>
      <x:c r="J9" s="8" t="str"/>
      <x:c r="K9" s="8" t="str"/>
      <x:c r="L9" s="8" t="str"/>
      <x:c r="M9" s="8" t="str"/>
      <x:c r="N9" s="8" t="str"/>
      <x:c r="O9" s="8" t="str"/>
      <x:c r="P9" s="8" t="str"/>
      <x:c r="Q9" s="8" t="str"/>
      <x:c r="R9" s="8" t="str"/>
      <x:c r="S9" s="8" t="str"/>
      <x:c r="T9" s="8" t="str"/>
      <x:c r="U9" s="8" t="str"/>
      <x:c r="V9" s="8" t="str"/>
      <x:c r="W9" s="8" t="str"/>
    </x:row>
    <x:row r="10" ht="22.5" customHeight="1">
      <x:c r="A10" s="11" t="str">
        <x:v>STR</x:v>
      </x:c>
      <x:c r="B10" s="8" t="str"/>
      <x:c r="C10" s="8" t="str"/>
      <x:c r="D10" s="8" t="str"/>
      <x:c r="E10" s="8" t="str"/>
      <x:c r="F10" s="8" t="str"/>
      <x:c r="G10" s="8" t="str">
        <x:v>—</x:v>
      </x:c>
      <x:c r="H10" s="13" t="str">
        <x:v>L08</x:v>
      </x:c>
      <x:c r="I10" s="13" t="str">
        <x:v>L07</x:v>
      </x:c>
      <x:c r="J10" s="8" t="str"/>
      <x:c r="K10" s="8" t="str"/>
      <x:c r="L10" s="8" t="str"/>
      <x:c r="M10" s="8" t="str"/>
      <x:c r="N10" s="8" t="str"/>
      <x:c r="O10" s="8" t="str"/>
      <x:c r="P10" s="8" t="str"/>
      <x:c r="Q10" s="8" t="str"/>
      <x:c r="R10" s="8" t="str"/>
      <x:c r="S10" s="8" t="str"/>
      <x:c r="T10" s="8" t="str"/>
      <x:c r="U10" s="8" t="str"/>
      <x:c r="V10" s="8" t="str"/>
      <x:c r="W10" s="8" t="str"/>
    </x:row>
    <x:row r="11" ht="22.5" customHeight="1">
      <x:c r="A11" s="11" t="str">
        <x:v>PLAN</x:v>
      </x:c>
      <x:c r="B11" s="8" t="str"/>
      <x:c r="C11" s="8" t="str"/>
      <x:c r="D11" s="8" t="str"/>
      <x:c r="E11" s="8" t="str"/>
      <x:c r="F11" s="8" t="str"/>
      <x:c r="G11" s="8" t="str"/>
      <x:c r="H11" s="8" t="str">
        <x:v>—</x:v>
      </x:c>
      <x:c r="I11" s="8" t="str"/>
      <x:c r="J11" s="15" t="str">
        <x:v>L12</x:v>
      </x:c>
      <x:c r="K11" s="13" t="str">
        <x:v>L15</x:v>
      </x:c>
      <x:c r="L11" s="17" t="str">
        <x:v>L17 ?</x:v>
      </x:c>
      <x:c r="M11" s="8" t="str"/>
      <x:c r="N11" s="8" t="str"/>
      <x:c r="O11" s="8" t="str"/>
      <x:c r="P11" s="8" t="str"/>
      <x:c r="Q11" s="8" t="str"/>
      <x:c r="R11" s="8" t="str"/>
      <x:c r="S11" s="8" t="str"/>
      <x:c r="T11" s="8" t="str"/>
      <x:c r="U11" s="8" t="str"/>
      <x:c r="V11" s="8" t="str"/>
      <x:c r="W11" s="8" t="str"/>
    </x:row>
    <x:row r="12" ht="22.5" customHeight="1">
      <x:c r="A12" s="11" t="str">
        <x:v>IMP</x:v>
      </x:c>
      <x:c r="B12" s="8" t="str"/>
      <x:c r="C12" s="8" t="str"/>
      <x:c r="D12" s="8" t="str"/>
      <x:c r="E12" s="8" t="str"/>
      <x:c r="F12" s="8" t="str"/>
      <x:c r="G12" s="8" t="str"/>
      <x:c r="H12" s="8" t="str"/>
      <x:c r="I12" s="8" t="str">
        <x:v>—</x:v>
      </x:c>
      <x:c r="J12" s="8" t="str"/>
      <x:c r="K12" s="8" t="str"/>
      <x:c r="L12" s="8" t="str"/>
      <x:c r="M12" s="8" t="str"/>
      <x:c r="N12" s="8" t="str"/>
      <x:c r="O12" s="8" t="str"/>
      <x:c r="P12" s="8" t="str"/>
      <x:c r="Q12" s="8" t="str"/>
      <x:c r="R12" s="8" t="str"/>
      <x:c r="S12" s="8" t="str"/>
      <x:c r="T12" s="8" t="str"/>
      <x:c r="U12" s="8" t="str"/>
      <x:c r="V12" s="8" t="str"/>
      <x:c r="W12" s="8" t="str"/>
    </x:row>
    <x:row r="13" ht="22.5" customHeight="1">
      <x:c r="A13" s="11" t="str">
        <x:v>INC</x:v>
      </x:c>
      <x:c r="B13" s="8" t="str"/>
      <x:c r="C13" s="8" t="str"/>
      <x:c r="D13" s="8" t="str"/>
      <x:c r="E13" s="8" t="str"/>
      <x:c r="F13" s="8" t="str"/>
      <x:c r="G13" s="8" t="str"/>
      <x:c r="H13" s="8" t="str"/>
      <x:c r="I13" s="8" t="str"/>
      <x:c r="J13" s="8" t="str">
        <x:v>—</x:v>
      </x:c>
      <x:c r="K13" s="8" t="str"/>
      <x:c r="L13" s="8" t="str"/>
      <x:c r="M13" s="8" t="str"/>
      <x:c r="N13" s="8" t="str"/>
      <x:c r="O13" s="8" t="str"/>
      <x:c r="P13" s="8" t="str"/>
      <x:c r="Q13" s="15" t="str">
        <x:v>L23</x:v>
      </x:c>
      <x:c r="R13" s="19" t="str">
        <x:v>L13 H</x:v>
      </x:c>
      <x:c r="S13" s="19" t="str">
        <x:v>L14 H</x:v>
      </x:c>
      <x:c r="T13" s="8" t="str"/>
      <x:c r="U13" s="8" t="str"/>
      <x:c r="V13" s="8" t="str"/>
      <x:c r="W13" s="8" t="str"/>
    </x:row>
    <x:row r="14" ht="22.5" customHeight="1">
      <x:c r="A14" s="11" t="str">
        <x:v>EXE</x:v>
      </x:c>
      <x:c r="B14" s="8" t="str"/>
      <x:c r="C14" s="8" t="str"/>
      <x:c r="D14" s="8" t="str"/>
      <x:c r="E14" s="8" t="str"/>
      <x:c r="F14" s="8" t="str"/>
      <x:c r="G14" s="8" t="str"/>
      <x:c r="H14" s="15" t="str">
        <x:v>L16</x:v>
      </x:c>
      <x:c r="I14" s="8" t="str"/>
      <x:c r="J14" s="8" t="str"/>
      <x:c r="K14" s="8" t="str">
        <x:v>—</x:v>
      </x:c>
      <x:c r="L14" s="8" t="str"/>
      <x:c r="M14" s="8" t="str"/>
      <x:c r="N14" s="8" t="str"/>
      <x:c r="O14" s="8" t="str"/>
      <x:c r="P14" s="8" t="str"/>
      <x:c r="Q14" s="15" t="str">
        <x:v>L24</x:v>
      </x:c>
      <x:c r="R14" s="8" t="str"/>
      <x:c r="S14" s="8" t="str"/>
      <x:c r="T14" s="8" t="str"/>
      <x:c r="U14" s="8" t="str"/>
      <x:c r="V14" s="8" t="str"/>
      <x:c r="W14" s="8" t="str"/>
    </x:row>
    <x:row r="15" ht="22.5" customHeight="1">
      <x:c r="A15" s="11" t="str">
        <x:v>AWR</x:v>
      </x:c>
      <x:c r="B15" s="8" t="str"/>
      <x:c r="C15" s="8" t="str"/>
      <x:c r="D15" s="8" t="str"/>
      <x:c r="E15" s="8" t="str"/>
      <x:c r="F15" s="8" t="str"/>
      <x:c r="G15" s="8" t="str"/>
      <x:c r="H15" s="8" t="str"/>
      <x:c r="I15" s="8" t="str"/>
      <x:c r="J15" s="8" t="str"/>
      <x:c r="K15" s="8" t="str"/>
      <x:c r="L15" s="8" t="str">
        <x:v>—</x:v>
      </x:c>
      <x:c r="M15" s="8" t="str"/>
      <x:c r="N15" s="8" t="str"/>
      <x:c r="O15" s="8" t="str"/>
      <x:c r="P15" s="8" t="str"/>
      <x:c r="Q15" s="8" t="str"/>
      <x:c r="R15" s="8" t="str"/>
      <x:c r="S15" s="8" t="str"/>
      <x:c r="T15" s="8" t="str"/>
      <x:c r="U15" s="8" t="str"/>
      <x:c r="V15" s="8" t="str"/>
      <x:c r="W15" s="8" t="str"/>
    </x:row>
    <x:row r="16" ht="22.5" customHeight="1">
      <x:c r="A16" s="11" t="str">
        <x:v>SUP</x:v>
      </x:c>
      <x:c r="B16" s="8" t="str"/>
      <x:c r="C16" s="8" t="str"/>
      <x:c r="D16" s="8" t="str"/>
      <x:c r="E16" s="8" t="str"/>
      <x:c r="F16" s="8" t="str"/>
      <x:c r="G16" s="8" t="str"/>
      <x:c r="H16" s="8" t="str"/>
      <x:c r="I16" s="8" t="str"/>
      <x:c r="J16" s="8" t="str"/>
      <x:c r="K16" s="8" t="str"/>
      <x:c r="L16" s="8" t="str"/>
      <x:c r="M16" s="8" t="str">
        <x:v>—</x:v>
      </x:c>
      <x:c r="N16" s="8" t="str"/>
      <x:c r="O16" s="8" t="str"/>
      <x:c r="P16" s="13" t="str">
        <x:v>L20</x:v>
      </x:c>
      <x:c r="Q16" s="8" t="str"/>
      <x:c r="R16" s="8" t="str"/>
      <x:c r="S16" s="8" t="str"/>
      <x:c r="T16" s="8" t="str"/>
      <x:c r="U16" s="8" t="str"/>
      <x:c r="V16" s="8" t="str"/>
      <x:c r="W16" s="8" t="str"/>
    </x:row>
    <x:row r="17" ht="22.5" customHeight="1">
      <x:c r="A17" s="11" t="str">
        <x:v>AUD</x:v>
      </x:c>
      <x:c r="B17" s="8" t="str"/>
      <x:c r="C17" s="8" t="str"/>
      <x:c r="D17" s="8" t="str"/>
      <x:c r="E17" s="8" t="str"/>
      <x:c r="F17" s="8" t="str"/>
      <x:c r="G17" s="8" t="str"/>
      <x:c r="H17" s="8" t="str"/>
      <x:c r="I17" s="8" t="str"/>
      <x:c r="J17" s="8" t="str"/>
      <x:c r="K17" s="8" t="str"/>
      <x:c r="L17" s="8" t="str"/>
      <x:c r="M17" s="8" t="str"/>
      <x:c r="N17" s="8" t="str">
        <x:v>—</x:v>
      </x:c>
      <x:c r="O17" s="8" t="str"/>
      <x:c r="P17" s="13" t="str">
        <x:v>L19</x:v>
      </x:c>
      <x:c r="Q17" s="8" t="str"/>
      <x:c r="R17" s="8" t="str"/>
      <x:c r="S17" s="8" t="str"/>
      <x:c r="T17" s="8" t="str"/>
      <x:c r="U17" s="8" t="str"/>
      <x:c r="V17" s="8" t="str"/>
      <x:c r="W17" s="8" t="str"/>
    </x:row>
    <x:row r="18" ht="22.5" customHeight="1">
      <x:c r="A18" s="11" t="str">
        <x:v>PERF</x:v>
      </x:c>
      <x:c r="B18" s="8" t="str"/>
      <x:c r="C18" s="8" t="str"/>
      <x:c r="D18" s="8" t="str"/>
      <x:c r="E18" s="8" t="str"/>
      <x:c r="F18" s="8" t="str"/>
      <x:c r="G18" s="8" t="str"/>
      <x:c r="H18" s="8" t="str"/>
      <x:c r="I18" s="8" t="str"/>
      <x:c r="J18" s="8" t="str"/>
      <x:c r="K18" s="8" t="str"/>
      <x:c r="L18" s="8" t="str"/>
      <x:c r="M18" s="8" t="str"/>
      <x:c r="N18" s="8" t="str"/>
      <x:c r="O18" s="8" t="str">
        <x:v>—</x:v>
      </x:c>
      <x:c r="P18" s="13" t="str">
        <x:v>L18</x:v>
      </x:c>
      <x:c r="Q18" s="8" t="str"/>
      <x:c r="R18" s="8" t="str"/>
      <x:c r="S18" s="8" t="str"/>
      <x:c r="T18" s="8" t="str"/>
      <x:c r="U18" s="8" t="str"/>
      <x:c r="V18" s="8" t="str"/>
      <x:c r="W18" s="8" t="str"/>
    </x:row>
    <x:row r="19" ht="22.5" customHeight="1">
      <x:c r="A19" s="11" t="str">
        <x:v>CI</x:v>
      </x:c>
      <x:c r="B19" s="8" t="str"/>
      <x:c r="C19" s="8" t="str"/>
      <x:c r="D19" s="8" t="str"/>
      <x:c r="E19" s="8" t="str"/>
      <x:c r="F19" s="8" t="str"/>
      <x:c r="G19" s="8" t="str"/>
      <x:c r="H19" s="8" t="str"/>
      <x:c r="I19" s="8" t="str"/>
      <x:c r="J19" s="8" t="str"/>
      <x:c r="K19" s="8" t="str"/>
      <x:c r="L19" s="8" t="str"/>
      <x:c r="M19" s="8" t="str"/>
      <x:c r="N19" s="8" t="str"/>
      <x:c r="O19" s="8" t="str"/>
      <x:c r="P19" s="8" t="str">
        <x:v>—</x:v>
      </x:c>
      <x:c r="Q19" s="8" t="str"/>
      <x:c r="R19" s="8" t="str"/>
      <x:c r="S19" s="8" t="str"/>
      <x:c r="T19" s="8" t="str"/>
      <x:c r="U19" s="8" t="str"/>
      <x:c r="V19" s="8" t="str"/>
      <x:c r="W19" s="8" t="str"/>
    </x:row>
    <x:row r="20" ht="22.5" customHeight="1">
      <x:c r="A20" s="11" t="str">
        <x:v>CHG</x:v>
      </x:c>
      <x:c r="B20" s="8" t="str"/>
      <x:c r="C20" s="8" t="str"/>
      <x:c r="D20" s="8" t="str"/>
      <x:c r="E20" s="8" t="str"/>
      <x:c r="F20" s="13" t="str">
        <x:v>L21</x:v>
      </x:c>
      <x:c r="G20" s="8" t="str"/>
      <x:c r="H20" s="8" t="str"/>
      <x:c r="I20" s="8" t="str"/>
      <x:c r="J20" s="15" t="str">
        <x:v>L25</x:v>
      </x:c>
      <x:c r="K20" s="15" t="str">
        <x:v>L26</x:v>
      </x:c>
      <x:c r="L20" s="8" t="str"/>
      <x:c r="M20" s="8" t="str"/>
      <x:c r="N20" s="8" t="str"/>
      <x:c r="O20" s="8" t="str"/>
      <x:c r="P20" s="8" t="str"/>
      <x:c r="Q20" s="8" t="str">
        <x:v>—</x:v>
      </x:c>
      <x:c r="R20" s="8" t="str"/>
      <x:c r="S20" s="8" t="str"/>
      <x:c r="T20" s="13" t="str">
        <x:v>L22</x:v>
      </x:c>
      <x:c r="U20" s="8" t="str"/>
      <x:c r="V20" s="8" t="str"/>
      <x:c r="W20" s="8" t="str"/>
    </x:row>
    <x:row r="21" ht="22.5" customHeight="1">
      <x:c r="A21" s="11" t="str">
        <x:v>WARN</x:v>
      </x:c>
      <x:c r="B21" s="8" t="str"/>
      <x:c r="C21" s="8" t="str"/>
      <x:c r="D21" s="8" t="str"/>
      <x:c r="E21" s="8" t="str"/>
      <x:c r="F21" s="8" t="str"/>
      <x:c r="G21" s="8" t="str"/>
      <x:c r="H21" s="8" t="str"/>
      <x:c r="I21" s="8" t="str"/>
      <x:c r="J21" s="8" t="str"/>
      <x:c r="K21" s="8" t="str"/>
      <x:c r="L21" s="8" t="str"/>
      <x:c r="M21" s="8" t="str"/>
      <x:c r="N21" s="8" t="str"/>
      <x:c r="O21" s="8" t="str"/>
      <x:c r="P21" s="8" t="str"/>
      <x:c r="Q21" s="8" t="str"/>
      <x:c r="R21" s="8" t="str">
        <x:v>—</x:v>
      </x:c>
      <x:c r="S21" s="8" t="str"/>
      <x:c r="T21" s="8" t="str"/>
      <x:c r="U21" s="8" t="str"/>
      <x:c r="V21" s="8" t="str"/>
      <x:c r="W21" s="8" t="str"/>
    </x:row>
    <x:row r="22" ht="22.5" customHeight="1">
      <x:c r="A22" s="11" t="str">
        <x:v>REC</x:v>
      </x:c>
      <x:c r="B22" s="8" t="str"/>
      <x:c r="C22" s="8" t="str"/>
      <x:c r="D22" s="8" t="str"/>
      <x:c r="E22" s="8" t="str"/>
      <x:c r="F22" s="8" t="str"/>
      <x:c r="G22" s="8" t="str"/>
      <x:c r="H22" s="8" t="str"/>
      <x:c r="I22" s="8" t="str"/>
      <x:c r="J22" s="8" t="str"/>
      <x:c r="K22" s="8" t="str"/>
      <x:c r="L22" s="8" t="str"/>
      <x:c r="M22" s="8" t="str"/>
      <x:c r="N22" s="8" t="str"/>
      <x:c r="O22" s="8" t="str"/>
      <x:c r="P22" s="8" t="str"/>
      <x:c r="Q22" s="8" t="str"/>
      <x:c r="R22" s="8" t="str"/>
      <x:c r="S22" s="8" t="str">
        <x:v>—</x:v>
      </x:c>
      <x:c r="T22" s="8" t="str"/>
      <x:c r="U22" s="8" t="str"/>
      <x:c r="V22" s="8" t="str"/>
      <x:c r="W22" s="8" t="str"/>
    </x:row>
    <x:row r="23" ht="22.5" customHeight="1">
      <x:c r="A23" s="11" t="str">
        <x:v>DOC</x:v>
      </x:c>
      <x:c r="B23" s="8" t="str"/>
      <x:c r="C23" s="8" t="str"/>
      <x:c r="D23" s="8" t="str"/>
      <x:c r="E23" s="8" t="str"/>
      <x:c r="F23" s="8" t="str"/>
      <x:c r="G23" s="8" t="str"/>
      <x:c r="H23" s="8" t="str"/>
      <x:c r="I23" s="8" t="str"/>
      <x:c r="J23" s="8" t="str"/>
      <x:c r="K23" s="8" t="str"/>
      <x:c r="L23" s="8" t="str"/>
      <x:c r="M23" s="8" t="str"/>
      <x:c r="N23" s="8" t="str"/>
      <x:c r="O23" s="8" t="str"/>
      <x:c r="P23" s="8" t="str"/>
      <x:c r="Q23" s="8" t="str"/>
      <x:c r="R23" s="8" t="str"/>
      <x:c r="S23" s="8" t="str"/>
      <x:c r="T23" s="8" t="str">
        <x:v>—</x:v>
      </x:c>
      <x:c r="U23" s="8" t="str"/>
      <x:c r="V23" s="8" t="str"/>
      <x:c r="W23" s="8" t="str"/>
    </x:row>
    <x:row r="24" ht="22.5" customHeight="1">
      <x:c r="A24" s="11" t="str">
        <x:v>RES</x:v>
      </x:c>
      <x:c r="B24" s="8" t="str"/>
      <x:c r="C24" s="8" t="str"/>
      <x:c r="D24" s="8" t="str"/>
      <x:c r="E24" s="8" t="str"/>
      <x:c r="F24" s="8" t="str"/>
      <x:c r="G24" s="8" t="str"/>
      <x:c r="H24" s="8" t="str"/>
      <x:c r="I24" s="15" t="str">
        <x:v>L10</x:v>
      </x:c>
      <x:c r="J24" s="8" t="str"/>
      <x:c r="K24" s="8" t="str"/>
      <x:c r="L24" s="8" t="str"/>
      <x:c r="M24" s="8" t="str"/>
      <x:c r="N24" s="8" t="str"/>
      <x:c r="O24" s="8" t="str"/>
      <x:c r="P24" s="8" t="str"/>
      <x:c r="Q24" s="8" t="str"/>
      <x:c r="R24" s="8" t="str"/>
      <x:c r="S24" s="8" t="str"/>
      <x:c r="T24" s="8" t="str"/>
      <x:c r="U24" s="8" t="str">
        <x:v>—</x:v>
      </x:c>
      <x:c r="V24" s="8" t="str"/>
      <x:c r="W24" s="15" t="str">
        <x:v>L31</x:v>
      </x:c>
    </x:row>
    <x:row r="25" ht="22.5" customHeight="1">
      <x:c r="A25" s="11" t="str">
        <x:v>COM</x:v>
      </x:c>
      <x:c r="B25" s="13" t="str">
        <x:v>L28</x:v>
      </x:c>
      <x:c r="C25" s="8" t="str"/>
      <x:c r="D25" s="8" t="str"/>
      <x:c r="E25" s="8" t="str"/>
      <x:c r="F25" s="8" t="str"/>
      <x:c r="G25" s="8" t="str"/>
      <x:c r="H25" s="8" t="str"/>
      <x:c r="I25" s="8" t="str"/>
      <x:c r="J25" s="8" t="str"/>
      <x:c r="K25" s="8" t="str"/>
      <x:c r="L25" s="8" t="str"/>
      <x:c r="M25" s="8" t="str"/>
      <x:c r="N25" s="8" t="str"/>
      <x:c r="O25" s="8" t="str"/>
      <x:c r="P25" s="8" t="str"/>
      <x:c r="Q25" s="8" t="str"/>
      <x:c r="R25" s="8" t="str"/>
      <x:c r="S25" s="8" t="str"/>
      <x:c r="T25" s="8" t="str"/>
      <x:c r="U25" s="8" t="str"/>
      <x:c r="V25" s="8" t="str">
        <x:v>—</x:v>
      </x:c>
      <x:c r="W25" s="8" t="str"/>
    </x:row>
    <x:row r="26" ht="22.5" customHeight="1">
      <x:c r="A26" s="11" t="str">
        <x:v>CRM</x:v>
      </x:c>
      <x:c r="B26" s="8" t="str"/>
      <x:c r="C26" s="8" t="str"/>
      <x:c r="D26" s="8" t="str"/>
      <x:c r="E26" s="8" t="str"/>
      <x:c r="F26" s="8" t="str"/>
      <x:c r="G26" s="8" t="str"/>
      <x:c r="H26" s="8" t="str"/>
      <x:c r="I26" s="8" t="str"/>
      <x:c r="J26" s="8" t="str"/>
      <x:c r="K26" s="8" t="str"/>
      <x:c r="L26" s="8" t="str"/>
      <x:c r="M26" s="8" t="str"/>
      <x:c r="N26" s="8" t="str"/>
      <x:c r="O26" s="8" t="str"/>
      <x:c r="P26" s="8" t="str"/>
      <x:c r="Q26" s="8" t="str"/>
      <x:c r="R26" s="8" t="str"/>
      <x:c r="S26" s="8" t="str"/>
      <x:c r="T26" s="8" t="str"/>
      <x:c r="U26" s="8" t="str"/>
      <x:c r="V26" s="8" t="str"/>
      <x:c r="W26" s="8" t="str">
        <x:v>—</x:v>
      </x:c>
    </x:row>
    <x:row r="27">
      <x:c r="A27" s="7"/>
      <x:c r="B27" s="7"/>
      <x:c r="C27" s="7"/>
      <x:c r="D27" s="7"/>
      <x:c r="E27" s="7"/>
      <x:c r="F27" s="7"/>
      <x:c r="G27" s="7"/>
      <x:c r="H27" s="7"/>
      <x:c r="I27" s="7"/>
      <x:c r="J27" s="7"/>
      <x:c r="K27" s="7"/>
      <x:c r="L27" s="7"/>
      <x:c r="M27" s="7"/>
      <x:c r="N27" s="7"/>
      <x:c r="O27" s="7"/>
      <x:c r="P27" s="7"/>
      <x:c r="Q27" s="7"/>
      <x:c r="R27" s="7"/>
      <x:c r="S27" s="7"/>
      <x:c r="T27" s="7"/>
      <x:c r="U27" s="7"/>
      <x:c r="V27" s="7"/>
      <x:c r="W27" s="7"/>
    </x:row>
    <x:row r="28" ht="31.5" customHeight="1">
      <x:c r="A28" s="20" t="str">
        <x:v>L27: 거의 모든 BCMS 결과를 COM에서 소통한다는 집단 진술. L30: 핵심 프로세스에 자원을 공급한다는 집단 진술. CORE는 객체로 추가하지 않음.</x:v>
      </x:c>
      <x:c r="B28" s="20"/>
      <x:c r="C28" s="20"/>
      <x:c r="D28" s="20"/>
      <x:c r="E28" s="20"/>
      <x:c r="F28" s="20"/>
      <x:c r="G28" s="20"/>
      <x:c r="H28" s="20"/>
      <x:c r="I28" s="20"/>
      <x:c r="J28" s="20"/>
      <x:c r="K28" s="20"/>
      <x:c r="L28" s="20"/>
      <x:c r="M28" s="20"/>
      <x:c r="N28" s="20"/>
      <x:c r="O28" s="20"/>
      <x:c r="P28" s="20"/>
      <x:c r="Q28" s="20"/>
      <x:c r="R28" s="20"/>
      <x:c r="S28" s="20"/>
      <x:c r="T28" s="20"/>
      <x:c r="U28" s="20"/>
      <x:c r="V28" s="20"/>
      <x:c r="W28" s="20"/>
    </x:row>
    <x:row r="29" ht="31.5" customHeight="1">
      <x:c r="A29" s="20" t="str">
        <x:v>Z: 운영 후보 셀의 ID로 관계근거31과 예비문항179를 조회. 책임명확성은 관리조건, 개선조치 완결성은 경로 후보로 별도 검토.</x:v>
      </x:c>
      <x:c r="B29" s="20"/>
      <x:c r="C29" s="20"/>
      <x:c r="D29" s="20"/>
      <x:c r="E29" s="20"/>
      <x:c r="F29" s="20"/>
      <x:c r="G29" s="20"/>
      <x:c r="H29" s="20"/>
      <x:c r="I29" s="20"/>
      <x:c r="J29" s="20"/>
      <x:c r="K29" s="20"/>
      <x:c r="L29" s="20"/>
      <x:c r="M29" s="20"/>
      <x:c r="N29" s="20"/>
      <x:c r="O29" s="20"/>
      <x:c r="P29" s="20"/>
      <x:c r="Q29" s="20"/>
      <x:c r="R29" s="20"/>
      <x:c r="S29" s="20"/>
      <x:c r="T29" s="20"/>
      <x:c r="U29" s="20"/>
      <x:c r="V29" s="20"/>
      <x:c r="W29" s="20"/>
    </x:row>
    <x:row r="30" ht="31.5" customHeight="1">
      <x:c r="A30" s="20" t="str">
        <x:v>객체 원명은 객체22. MAP은 현 등록 관계의 스냅샷이며 관계 범위를 변경하면 다시 생성한다. 출처: Arias §4.3 pp.14–16.</x:v>
      </x:c>
      <x:c r="B30" s="20"/>
      <x:c r="C30" s="20"/>
      <x:c r="D30" s="20"/>
      <x:c r="E30" s="20"/>
      <x:c r="F30" s="20"/>
      <x:c r="G30" s="20"/>
      <x:c r="H30" s="20"/>
      <x:c r="I30" s="20"/>
      <x:c r="J30" s="20"/>
      <x:c r="K30" s="20"/>
      <x:c r="L30" s="20"/>
      <x:c r="M30" s="20"/>
      <x:c r="N30" s="20"/>
      <x:c r="O30" s="20"/>
      <x:c r="P30" s="20"/>
      <x:c r="Q30" s="20"/>
      <x:c r="R30" s="20"/>
      <x:c r="S30" s="20"/>
      <x:c r="T30" s="20"/>
      <x:c r="U30" s="20"/>
      <x:c r="V30" s="20"/>
      <x:c r="W30" s="20"/>
    </x:row>
    <x:row r="31">
      <x:c r="A31" s="7"/>
      <x:c r="B31" s="7"/>
      <x:c r="C31" s="7"/>
      <x:c r="D31" s="7"/>
      <x:c r="E31" s="7"/>
      <x:c r="F31" s="7"/>
      <x:c r="G31" s="7"/>
      <x:c r="H31" s="7"/>
      <x:c r="I31" s="7"/>
      <x:c r="J31" s="7"/>
      <x:c r="K31" s="7"/>
      <x:c r="L31" s="7"/>
      <x:c r="M31" s="7"/>
      <x:c r="N31" s="7"/>
      <x:c r="O31" s="7"/>
      <x:c r="P31" s="7"/>
      <x:c r="Q31" s="7"/>
      <x:c r="R31" s="7"/>
      <x:c r="S31" s="7"/>
      <x:c r="T31" s="7"/>
      <x:c r="U31" s="7"/>
      <x:c r="V31" s="7"/>
      <x:c r="W31" s="7"/>
    </x:row>
  </x:sheetData>
  <x:mergeCells>
    <x:mergeCell ref="A1:W1"/>
    <x:mergeCell ref="A2:W2"/>
    <x:mergeCell ref="A28:W28"/>
    <x:mergeCell ref="A29:W29"/>
    <x:mergeCell ref="A30:W30"/>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890000343322754" hidden="0" customWidth="1"/>
    <x:col min="2" max="2" width="8.329999923706055" hidden="0" customWidth="1"/>
    <x:col min="3" max="3" width="8.329999923706055" hidden="0" customWidth="1"/>
    <x:col min="4" max="4" width="20" hidden="0" customWidth="1"/>
    <x:col min="5" max="5" width="8.890000343322754" hidden="0" customWidth="1"/>
    <x:col min="6" max="6" width="8.890000343322754" hidden="0" customWidth="1"/>
    <x:col min="7" max="7" width="12.220000267028809" hidden="0" customWidth="1"/>
    <x:col min="8" max="8" width="10" hidden="0" customWidth="1"/>
    <x:col min="9" max="9" width="46.66999816894531" hidden="0" customWidth="1"/>
    <x:col min="10" max="10" width="47.779998779296875" hidden="0" customWidth="1"/>
    <x:col min="11" max="11" width="51.11000061035156" hidden="0" customWidth="1"/>
    <x:col min="12" max="12" width="14.4399995803833" hidden="0" customWidth="1"/>
    <x:col min="13" max="13" width="36.66999816894531" hidden="0" customWidth="1"/>
  </x:cols>
  <x:sheetData>
    <x:row r="1" ht="37.5" customHeight="1">
      <x:c r="A1" s="5" t="str">
        <x:v>관계ID</x:v>
      </x:c>
      <x:c r="B1" s="5" t="str">
        <x:v>출발</x:v>
      </x:c>
      <x:c r="C1" s="5" t="str">
        <x:v>도착</x:v>
      </x:c>
      <x:c r="D1" s="5" t="str">
        <x:v>관계 의미</x:v>
      </x:c>
      <x:c r="E1" s="5" t="str">
        <x:v>V3 등급</x:v>
      </x:c>
      <x:c r="F1" s="5" t="str">
        <x:v>V4 등급</x:v>
      </x:c>
      <x:c r="G1" s="5" t="str">
        <x:v>분류</x:v>
      </x:c>
      <x:c r="H1" s="5" t="str">
        <x:v>인용ID</x:v>
      </x:c>
      <x:c r="I1" s="5" t="str">
        <x:v>원문 요지</x:v>
      </x:c>
      <x:c r="J1" s="5" t="str">
        <x:v>연구자 정규화</x:v>
      </x:c>
      <x:c r="K1" s="5" t="str">
        <x:v>수정·주의</x:v>
      </x:c>
      <x:c r="L1" s="5" t="str">
        <x:v>전문가 판단</x:v>
      </x:c>
      <x:c r="M1" s="5" t="str">
        <x:v>검토 의견</x:v>
      </x:c>
    </x:row>
    <x:row r="2" ht="53.25" customHeight="1">
      <x:c r="A2" s="3" t="str">
        <x:v>L01</x:v>
      </x:c>
      <x:c r="B2" s="3" t="str">
        <x:v>REQ</x:v>
      </x:c>
      <x:c r="C2" s="3" t="str">
        <x:v>BIA</x:v>
      </x:c>
      <x:c r="D2" s="3" t="str">
        <x:v>입력된다·활용된다</x:v>
      </x:c>
      <x:c r="E2" s="3" t="str">
        <x:v>E1</x:v>
      </x:c>
      <x:c r="F2" s="3" t="str">
        <x:v>E1</x:v>
      </x:c>
      <x:c r="G2" s="3" t="str">
        <x:v>운영 후보</x:v>
      </x:c>
      <x:c r="H2" s="3" t="str">
        <x:v>A11</x:v>
      </x:c>
      <x:c r="I2" s="3" t="str">
        <x:v>요구사항관리가 식별한 법규·규제·계약 요구사항이 BIA·중요도 분석 프로세스에 "정보를 제공(inform)"한다.</x:v>
      </x:c>
      <x:c r="J2" s="3" t="str">
        <x:v>"inform"을 "S의 산출물이 T의 입력·기준이 된다(informs)"로 해석. A11은 4개 프로세스를 한 문장으로 열거하므로 L01·L02·L04·L05는 이 문장에서 연구자가 분리한 연결.</x:v>
      </x:c>
      <x:c r="K2" s="3" t="str">
        <x:v>원문의 관계 의미를 산출물과 사용 목적까지 구체화한 뒤 전문가에게 적절성을 평가받는다.</x:v>
      </x:c>
      <x:c r="L2" s="3" t="str">
        <x:v>미검토</x:v>
      </x:c>
      <x:c r="M2" s="3" t="str"/>
    </x:row>
    <x:row r="3" ht="39" customHeight="1">
      <x:c r="A3" s="6" t="str">
        <x:v>L02</x:v>
      </x:c>
      <x:c r="B3" s="6" t="str">
        <x:v>REQ</x:v>
      </x:c>
      <x:c r="C3" s="6" t="str">
        <x:v>RA</x:v>
      </x:c>
      <x:c r="D3" s="6" t="str">
        <x:v>입력된다·활용된다</x:v>
      </x:c>
      <x:c r="E3" s="6" t="str">
        <x:v>E1</x:v>
      </x:c>
      <x:c r="F3" s="6" t="str">
        <x:v>E1</x:v>
      </x:c>
      <x:c r="G3" s="6" t="str">
        <x:v>운영 후보</x:v>
      </x:c>
      <x:c r="H3" s="6" t="str">
        <x:v>A11</x:v>
      </x:c>
      <x:c r="I3" s="6" t="str">
        <x:v>요구사항관리의 결과가 리스크평가 프로세스에 정보를 제공한다.</x:v>
      </x:c>
      <x:c r="J3" s="6" t="str">
        <x:v>인용문 분리 사유는 L01과 동일.</x:v>
      </x:c>
      <x:c r="K3" s="6" t="str">
        <x:v>원문의 관계 의미를 산출물과 사용 목적까지 구체화한 뒤 전문가에게 적절성을 평가받는다.</x:v>
      </x:c>
      <x:c r="L3" s="6" t="str">
        <x:v>미검토</x:v>
      </x:c>
      <x:c r="M3" s="6" t="str"/>
    </x:row>
    <x:row r="4" ht="53.25" customHeight="1">
      <x:c r="A4" s="3" t="str">
        <x:v>L03</x:v>
      </x:c>
      <x:c r="B4" s="3" t="str">
        <x:v>BIA</x:v>
      </x:c>
      <x:c r="C4" s="3" t="str">
        <x:v>RA</x:v>
      </x:c>
      <x:c r="D4" s="3" t="str">
        <x:v>근거가 된다</x:v>
      </x:c>
      <x:c r="E4" s="3" t="str">
        <x:v>E1</x:v>
      </x:c>
      <x:c r="F4" s="3" t="str">
        <x:v>E1</x:v>
      </x:c>
      <x:c r="G4" s="3" t="str">
        <x:v>운영 후보</x:v>
      </x:c>
      <x:c r="H4" s="3" t="str">
        <x:v>A12</x:v>
      </x:c>
      <x:c r="I4" s="3" t="str">
        <x:v>리스크평가는 BIA·중요도 분석의 결과를 기반(foundation)으로 삼는다. BIA의 최종 결과는 근거가 첨부된 문서화된 진술(업무연속성 요구사항)이다.</x:v>
      </x:c>
      <x:c r="J4" s="3" t="str">
        <x:v>"relies on ... as its foundation"을 informs(입력·기준)로 해석.</x:v>
      </x:c>
      <x:c r="K4" s="3" t="str">
        <x:v>원문의 관계 의미를 산출물과 사용 목적까지 구체화한 뒤 전문가에게 적절성을 평가받는다.</x:v>
      </x:c>
      <x:c r="L4" s="3" t="str">
        <x:v>미검토</x:v>
      </x:c>
      <x:c r="M4" s="3" t="str"/>
    </x:row>
    <x:row r="5" ht="39" customHeight="1">
      <x:c r="A5" s="6" t="str">
        <x:v>L04</x:v>
      </x:c>
      <x:c r="B5" s="6" t="str">
        <x:v>REQ</x:v>
      </x:c>
      <x:c r="C5" s="6" t="str">
        <x:v>AUD</x:v>
      </x:c>
      <x:c r="D5" s="6" t="str">
        <x:v>입력된다·활용된다</x:v>
      </x:c>
      <x:c r="E5" s="6" t="str">
        <x:v>E1</x:v>
      </x:c>
      <x:c r="F5" s="6" t="str">
        <x:v>E1</x:v>
      </x:c>
      <x:c r="G5" s="6" t="str">
        <x:v>운영 후보</x:v>
      </x:c>
      <x:c r="H5" s="6" t="str">
        <x:v>A11</x:v>
      </x:c>
      <x:c r="I5" s="6" t="str">
        <x:v>요구사항관리의 결과가 내부감사 프로세스에 정보를 제공한다.</x:v>
      </x:c>
      <x:c r="J5" s="6" t="str">
        <x:v>인용문 분리 사유는 L01과 동일. 내부감사 기준에 요구사항이 포함된다는 구체적 형태는 연구자의 지표화.</x:v>
      </x:c>
      <x:c r="K5" s="6" t="str">
        <x:v>원문의 관계 의미를 산출물과 사용 목적까지 구체화한 뒤 전문가에게 적절성을 평가받는다.</x:v>
      </x:c>
      <x:c r="L5" s="6" t="str">
        <x:v>미검토</x:v>
      </x:c>
      <x:c r="M5" s="6" t="str"/>
    </x:row>
    <x:row r="6" ht="53.25" customHeight="1">
      <x:c r="A6" s="3" t="str">
        <x:v>L05</x:v>
      </x:c>
      <x:c r="B6" s="3" t="str">
        <x:v>REQ</x:v>
      </x:c>
      <x:c r="C6" s="3" t="str">
        <x:v>SUP</x:v>
      </x:c>
      <x:c r="D6" s="3" t="str">
        <x:v>입력된다·활용된다</x:v>
      </x:c>
      <x:c r="E6" s="3" t="str">
        <x:v>E1</x:v>
      </x:c>
      <x:c r="F6" s="3" t="str">
        <x:v>E1</x:v>
      </x:c>
      <x:c r="G6" s="3" t="str">
        <x:v>운영 후보</x:v>
      </x:c>
      <x:c r="H6" s="3" t="str">
        <x:v>A11</x:v>
      </x:c>
      <x:c r="I6" s="3" t="str">
        <x:v>요구사항관리의 결과가 공급망관리 프로세스에 정보를 제공한다. 외주 서비스는 업무연속성 관점에서 평가·분석·통제되어야 한다.</x:v>
      </x:c>
      <x:c r="J6" s="3" t="str">
        <x:v>인용문 분리 사유는 L01과 동일. "공급업체 선정·계약 조건에 BC 요구사항 포함"은 A39(외주 서비스 통제)를 바탕으로 한 연구자의 지표화.</x:v>
      </x:c>
      <x:c r="K6" s="3" t="str">
        <x:v>원문의 관계 의미를 산출물과 사용 목적까지 구체화한 뒤 전문가에게 적절성을 평가받는다.</x:v>
      </x:c>
      <x:c r="L6" s="3" t="str">
        <x:v>미검토</x:v>
      </x:c>
      <x:c r="M6" s="3" t="str"/>
    </x:row>
    <x:row r="7" ht="53.25" customHeight="1">
      <x:c r="A7" s="6" t="str">
        <x:v>L06</x:v>
      </x:c>
      <x:c r="B7" s="6" t="str">
        <x:v>BIA</x:v>
      </x:c>
      <x:c r="C7" s="6" t="str">
        <x:v>STR</x:v>
      </x:c>
      <x:c r="D7" s="6" t="str">
        <x:v>근거가 된다</x:v>
      </x:c>
      <x:c r="E7" s="6" t="str">
        <x:v>E1</x:v>
      </x:c>
      <x:c r="F7" s="6" t="str">
        <x:v>E1</x:v>
      </x:c>
      <x:c r="G7" s="6" t="str">
        <x:v>운영 후보</x:v>
      </x:c>
      <x:c r="H7" s="6" t="str">
        <x:v>A14</x:v>
      </x:c>
      <x:c r="I7" s="6" t="str">
        <x:v>BIA·중요도 분석이 완료된 후, 승인된 업무연속성 요구사항이 BC 전략·솔루션의 결정·선정을 안내(guide)한다. BIA 결과는 경영진 승인을 거친다.</x:v>
      </x:c>
      <x:c r="J7" s="6" t="str">
        <x:v>"guide"를 informs(입력·기준)로 해석.</x:v>
      </x:c>
      <x:c r="K7" s="6" t="str">
        <x:v>승인된 업무연속성 요구사항은 BIA 산출물이며 REQ의 법규·계약 요구사항과 구별한다.</x:v>
      </x:c>
      <x:c r="L7" s="6" t="str">
        <x:v>미검토</x:v>
      </x:c>
      <x:c r="M7" s="6" t="str"/>
    </x:row>
    <x:row r="8" ht="67.5" customHeight="1">
      <x:c r="A8" s="3" t="str">
        <x:v>L07</x:v>
      </x:c>
      <x:c r="B8" s="3" t="str">
        <x:v>STR</x:v>
      </x:c>
      <x:c r="C8" s="3" t="str">
        <x:v>IMP</x:v>
      </x:c>
      <x:c r="D8" s="3" t="str">
        <x:v>도출·이행된다</x:v>
      </x:c>
      <x:c r="E8" s="3" t="str">
        <x:v>E1</x:v>
      </x:c>
      <x:c r="F8" s="3" t="str">
        <x:v>E1</x:v>
      </x:c>
      <x:c r="G8" s="3" t="str">
        <x:v>운영 후보</x:v>
      </x:c>
      <x:c r="H8" s="3" t="str">
        <x:v>A15</x:v>
      </x:c>
      <x:c r="I8" s="3" t="str">
        <x:v>솔루션 이행관리 프로세스는 BC 전략·솔루션과 필요한 변경이 계획대로 실행되도록 보장하며, 이를 개시하고 검증한다.</x:v>
      </x:c>
      <x:c r="J8" s="3" t="str">
        <x:v>인용문의 주어는 이행관리이고 대상은 전략·솔루션이므로 "STR이 IMP에서 구체화·실행된다"(STR→IMP)로 방향을 해석. A36은 이행관리가 전략·솔루션을 "verifying"한다고 서술하며, 이는 정합성·증빙성 문항에서 "확인하는 행위"를 구체화할 때 참고했다.</x:v>
      </x:c>
      <x:c r="K8" s="3" t="str">
        <x:v>원문의 관계 의미를 산출물과 사용 목적까지 구체화한 뒤 전문가에게 적절성을 평가받는다.</x:v>
      </x:c>
      <x:c r="L8" s="3" t="str">
        <x:v>미검토</x:v>
      </x:c>
      <x:c r="M8" s="3" t="str"/>
    </x:row>
    <x:row r="9" ht="39" customHeight="1">
      <x:c r="A9" s="6" t="str">
        <x:v>L08</x:v>
      </x:c>
      <x:c r="B9" s="6" t="str">
        <x:v>STR</x:v>
      </x:c>
      <x:c r="C9" s="6" t="str">
        <x:v>PLAN</x:v>
      </x:c>
      <x:c r="D9" s="6" t="str">
        <x:v>도출·이행된다</x:v>
      </x:c>
      <x:c r="E9" s="6" t="str">
        <x:v>E1</x:v>
      </x:c>
      <x:c r="F9" s="6" t="str">
        <x:v>E1</x:v>
      </x:c>
      <x:c r="G9" s="6" t="str">
        <x:v>운영 후보</x:v>
      </x:c>
      <x:c r="H9" s="6" t="str">
        <x:v>A16</x:v>
      </x:c>
      <x:c r="I9" s="6" t="str">
        <x:v>BC 계획·절차는 식별된 BC 전략·솔루션에서 도출(derived)되어 개발된다.</x:v>
      </x:c>
      <x:c r="J9" s="6" t="str">
        <x:v>"derived from"을 elaboratedInto(S의 내용이 T로 구체화됨)로 해석.</x:v>
      </x:c>
      <x:c r="K9" s="6" t="str">
        <x:v>원문의 관계 의미를 산출물과 사용 목적까지 구체화한 뒤 전문가에게 적절성을 평가받는다.</x:v>
      </x:c>
      <x:c r="L9" s="6" t="str">
        <x:v>미검토</x:v>
      </x:c>
      <x:c r="M9" s="6" t="str"/>
    </x:row>
    <x:row r="10" ht="39" customHeight="1">
      <x:c r="A10" s="3" t="str">
        <x:v>L09</x:v>
      </x:c>
      <x:c r="B10" s="3" t="str">
        <x:v>RA</x:v>
      </x:c>
      <x:c r="C10" s="3" t="str">
        <x:v>PLAN</x:v>
      </x:c>
      <x:c r="D10" s="3" t="str">
        <x:v>입력된다·활용된다</x:v>
      </x:c>
      <x:c r="E10" s="3" t="str">
        <x:v>E1</x:v>
      </x:c>
      <x:c r="F10" s="3" t="str">
        <x:v>E1</x:v>
      </x:c>
      <x:c r="G10" s="3" t="str">
        <x:v>운영 후보</x:v>
      </x:c>
      <x:c r="H10" s="3" t="str">
        <x:v>A17</x:v>
      </x:c>
      <x:c r="I10" s="3" t="str">
        <x:v>리스크평가는 업무연속성 계획·절차 개발에 필수적인 입력(essential input)을 제공한다.</x:v>
      </x:c>
      <x:c r="J10" s="3" t="str">
        <x:v>A17의 주어 "it"이 리스크평가 프로세스임은 앞 문장의 주어에서 연구자가 확인한 지시 관계.</x:v>
      </x:c>
      <x:c r="K10" s="3" t="str">
        <x:v>원문의 관계 의미를 산출물과 사용 목적까지 구체화한 뒤 전문가에게 적절성을 평가받는다.</x:v>
      </x:c>
      <x:c r="L10" s="3" t="str">
        <x:v>미검토</x:v>
      </x:c>
      <x:c r="M10" s="3" t="str"/>
    </x:row>
    <x:row r="11" ht="67.5" customHeight="1">
      <x:c r="A11" s="6" t="str">
        <x:v>L10</x:v>
      </x:c>
      <x:c r="B11" s="6" t="str">
        <x:v>RES</x:v>
      </x:c>
      <x:c r="C11" s="6" t="str">
        <x:v>IMP</x:v>
      </x:c>
      <x:c r="D11" s="6" t="str">
        <x:v>제공한다</x:v>
      </x:c>
      <x:c r="E11" s="6" t="str">
        <x:v>E2</x:v>
      </x:c>
      <x:c r="F11" s="6" t="str">
        <x:v>E2</x:v>
      </x:c>
      <x:c r="G11" s="6" t="str">
        <x:v>운영 후보</x:v>
      </x:c>
      <x:c r="H11" s="6" t="str">
        <x:v>A18</x:v>
      </x:c>
      <x:c r="I11" s="6" t="str">
        <x:v>자원관리의 산출물에는 선정된 전략의 이행·운영을 위한 문서화된 자원이 포함된다. 전략 실행에 필요한 자원은 자원관리에서 식별·배정·모니터링된다.</x:v>
      </x:c>
      <x:c r="J11" s="6" t="str">
        <x:v>[연구자 보완] 인용문은 "selected strategies의 implementing and running"을 위한 자원이라고만 쓰며 도착 프로세스를 특정하지 않는다. 이를 솔루션 이행관리(IMP)로 특정한 것은 연구자 해석(운영(running)은 IMP 외 프로세스일 수도 있음).</x:v>
      </x:c>
      <x:c r="K11" s="6" t="str">
        <x:v>원문은 선택된 전략의 구현 자원을 말한다. 도착을 IMP 프로세스로 특정하는 것은 연구자 해석이다.</x:v>
      </x:c>
      <x:c r="L11" s="6" t="str">
        <x:v>미검토</x:v>
      </x:c>
      <x:c r="M11" s="6" t="str"/>
    </x:row>
    <x:row r="12" ht="67.5" customHeight="1">
      <x:c r="A12" s="3" t="str">
        <x:v>L11</x:v>
      </x:c>
      <x:c r="B12" s="3" t="str">
        <x:v>BIA</x:v>
      </x:c>
      <x:c r="C12" s="3" t="str">
        <x:v>RES</x:v>
      </x:c>
      <x:c r="D12" s="3" t="str">
        <x:v>입력된다·활용된다</x:v>
      </x:c>
      <x:c r="E12" s="3" t="str">
        <x:v>E3</x:v>
      </x:c>
      <x:c r="F12" s="3" t="str">
        <x:v>E3</x:v>
      </x:c>
      <x:c r="G12" s="3" t="str">
        <x:v>근거 보류</x:v>
      </x:c>
      <x:c r="H12" s="3" t="str">
        <x:v>(없음)</x:v>
      </x:c>
      <x:c r="I12" s="3" t="str">
        <x:v>Białas는 BIA 보고서를 "서비스 재개에 필요한 자원"으로 질의하는 예를 보여 준다. Arias는 자원관리가 전략·BCMS 프로세스 실행에 필요한 자원을 식별한다고만 서술한다.</x:v>
      </x:c>
      <x:c r="J12" s="3" t="str">
        <x:v>[연구자 가정] BIA가 파악한 복구 필요 자원이 자원관리 계획에 투입된다는 연결은 Arias에 서술이 없다. Białas의 예는 프로세스 간 연결이 아니라 BIA 보고서 내부 속성(자원 항목)을 질의하는 수준이므로 유추 근거에 그친다.</x:v>
      </x:c>
      <x:c r="K12" s="3" t="str">
        <x:v>Białas의 BIA 보고서와 자원 정보 질의는 BIA→RES라는 프로세스 흐름의 직접 근거가 아니다.</x:v>
      </x:c>
      <x:c r="L12" s="3" t="str">
        <x:v>미검토</x:v>
      </x:c>
      <x:c r="M12" s="3" t="str"/>
    </x:row>
    <x:row r="13" ht="67.5" customHeight="1">
      <x:c r="A13" s="6" t="str">
        <x:v>L12</x:v>
      </x:c>
      <x:c r="B13" s="6" t="str">
        <x:v>PLAN</x:v>
      </x:c>
      <x:c r="C13" s="6" t="str">
        <x:v>INC</x:v>
      </x:c>
      <x:c r="D13" s="6" t="str">
        <x:v>도출·이행된다</x:v>
      </x:c>
      <x:c r="E13" s="6" t="str">
        <x:v>E2</x:v>
      </x:c>
      <x:c r="F13" s="6" t="str">
        <x:v>E2</x:v>
      </x:c>
      <x:c r="G13" s="6" t="str">
        <x:v>운영 후보</x:v>
      </x:c>
      <x:c r="H13" s="6" t="str">
        <x:v>A19</x:v>
      </x:c>
      <x:c r="I13" s="6" t="str">
        <x:v>BC 전략·솔루션의 가동은 중단 사건에 대응하여 BC 계획·절차의 실행을 통해 개시된다. 경보·커뮤니케이션은 조직의 BC 계획·절차 안에서 대응을 조정한다.</x:v>
      </x:c>
      <x:c r="J13" s="6" t="str">
        <x:v>[연구자 보완] 인용문은 "BC 계획·절차가 중단 사건 대응 시 실행된다"고 쓰지만 도착 프로세스를 "사고·비상 대응"으로 명시하지 않는다. 사고·비상 대응이 "중단 사건 관리의 포괄적 접근"을 정의한다는 같은 쪽 서술과 결합해 PLAN→INC로 해석.</x:v>
      </x:c>
      <x:c r="K13" s="6" t="str">
        <x:v>원문은 계획의 실행과 대응을 설명한다. 도착 프로세스와 사용 산출물의 특정은 연구자 해석이다.</x:v>
      </x:c>
      <x:c r="L13" s="6" t="str">
        <x:v>미검토</x:v>
      </x:c>
      <x:c r="M13" s="6" t="str"/>
    </x:row>
    <x:row r="14" ht="81.75" customHeight="1">
      <x:c r="A14" s="3" t="str">
        <x:v>L13</x:v>
      </x:c>
      <x:c r="B14" s="3" t="str">
        <x:v>INC</x:v>
      </x:c>
      <x:c r="C14" s="3" t="str">
        <x:v>WARN</x:v>
      </x:c>
      <x:c r="D14" s="3" t="str">
        <x:v>포함한다</x:v>
      </x:c>
      <x:c r="E14" s="3" t="str">
        <x:v>E1</x:v>
      </x:c>
      <x:c r="F14" s="3" t="str">
        <x:v>E1</x:v>
      </x:c>
      <x:c r="G14" s="3" t="str">
        <x:v>위계 표시</x:v>
      </x:c>
      <x:c r="H14" s="3" t="str">
        <x:v>A21</x:v>
      </x:c>
      <x:c r="I14" s="3" t="str">
        <x:v>사고·비상 대응 프로세스는 두 개의 주요 하위 프로세스(경보·커뮤니케이션, 복구)를 포함한다. 경보·커뮤니케이션은 BC 계획·절차 안에서 대응을 조정한다.</x:v>
      </x:c>
      <x:c r="J14" s="3" t="str">
        <x:v>[연구자 판단] "subprocess"는 정보 흐름이 아니라 포함 관계(contains)이다. 연계성 측정에서는 "하위 프로세스가 상위 대응 절차 안에 통합되어 실제 운영되는가"를 지표화했다. Arias는 Table 5에서 경보·커뮤니케이션을 별도 프로세스로도 목록화(p.14)하므로 포함 관계를 연결로 측정할지는 연구자 결정 사항.</x:v>
      </x:c>
      <x:c r="K14" s="3" t="str">
        <x:v>contains는 하위 프로세스 포함 관계이다. 산출물 전달 관계의 품질 문항으로 사용하지 않는다.</x:v>
      </x:c>
      <x:c r="L14" s="3" t="str">
        <x:v>미검토</x:v>
      </x:c>
      <x:c r="M14" s="3" t="str"/>
    </x:row>
    <x:row r="15" ht="53.25" customHeight="1">
      <x:c r="A15" s="6" t="str">
        <x:v>L14</x:v>
      </x:c>
      <x:c r="B15" s="6" t="str">
        <x:v>INC</x:v>
      </x:c>
      <x:c r="C15" s="6" t="str">
        <x:v>REC</x:v>
      </x:c>
      <x:c r="D15" s="6" t="str">
        <x:v>포함한다</x:v>
      </x:c>
      <x:c r="E15" s="6" t="str">
        <x:v>E1</x:v>
      </x:c>
      <x:c r="F15" s="6" t="str">
        <x:v>E1</x:v>
      </x:c>
      <x:c r="G15" s="6" t="str">
        <x:v>위계 표시</x:v>
      </x:c>
      <x:c r="H15" s="6" t="str">
        <x:v>A21</x:v>
      </x:c>
      <x:c r="I15" s="6" t="str">
        <x:v>사고·비상 대응 프로세스는 복구 프로세스를 하위 프로세스로 포함한다. 복구는 임시 조치 상태에서 일상 업무를 회복·재개하는 것이다.</x:v>
      </x:c>
      <x:c r="J15" s="6" t="str">
        <x:v>[연구자 판단] L13과 같은 이유로 포함 관계를 지표화. "대응 결과를 복구가 이어받는다"는 문항의 표현은 연구자의 지표화이며 인용문이 직접 말하는 내용이 아니다.</x:v>
      </x:c>
      <x:c r="K15" s="6" t="str">
        <x:v>원문은 복구를 포함한다고 말한다. INC에서 REC로의 시간적 전환을 직접 입증하지 않는다.</x:v>
      </x:c>
      <x:c r="L15" s="6" t="str">
        <x:v>미검토</x:v>
      </x:c>
      <x:c r="M15" s="6" t="str"/>
    </x:row>
    <x:row r="16" ht="53.25" customHeight="1">
      <x:c r="A16" s="3" t="str">
        <x:v>L15</x:v>
      </x:c>
      <x:c r="B16" s="3" t="str">
        <x:v>PLAN</x:v>
      </x:c>
      <x:c r="C16" s="3" t="str">
        <x:v>EXE</x:v>
      </x:c>
      <x:c r="D16" s="3" t="str">
        <x:v>시험·검증된다</x:v>
      </x:c>
      <x:c r="E16" s="3" t="str">
        <x:v>E1</x:v>
      </x:c>
      <x:c r="F16" s="3" t="str">
        <x:v>E1</x:v>
      </x:c>
      <x:c r="G16" s="3" t="str">
        <x:v>운영 후보</x:v>
      </x:c>
      <x:c r="H16" s="3" t="str">
        <x:v>A23</x:v>
      </x:c>
      <x:c r="I16" s="3" t="str">
        <x:v>BC 전략·솔루션과 BC 계획·절차(경보·커뮤니케이션 절차 포함)는 정기적으로 시험되어 유효성이 검증된다.</x:v>
      </x:c>
      <x:c r="J16" s="3" t="str">
        <x:v>"tested regularly to validate their effectiveness"를 testedBy(S가 T에 의해 시험됨)로 해석. 훈련·연습 시나리오 설계 방식은 연구자의 지표화.</x:v>
      </x:c>
      <x:c r="K16" s="3" t="str">
        <x:v>원문의 관계 의미를 산출물과 사용 목적까지 구체화한 뒤 전문가에게 적절성을 평가받는다.</x:v>
      </x:c>
      <x:c r="L16" s="3" t="str">
        <x:v>미검토</x:v>
      </x:c>
      <x:c r="M16" s="3" t="str"/>
    </x:row>
    <x:row r="17" ht="53.25" customHeight="1">
      <x:c r="A17" s="6" t="str">
        <x:v>L16</x:v>
      </x:c>
      <x:c r="B17" s="6" t="str">
        <x:v>EXE</x:v>
      </x:c>
      <x:c r="C17" s="6" t="str">
        <x:v>PLAN</x:v>
      </x:c>
      <x:c r="D17" s="6" t="str">
        <x:v>개정·갱신한다</x:v>
      </x:c>
      <x:c r="E17" s="6" t="str">
        <x:v>E1</x:v>
      </x:c>
      <x:c r="F17" s="6" t="str">
        <x:v>E2</x:v>
      </x:c>
      <x:c r="G17" s="6" t="str">
        <x:v>운영 후보</x:v>
      </x:c>
      <x:c r="H17" s="6" t="str">
        <x:v>A23</x:v>
      </x:c>
      <x:c r="I17" s="6" t="str">
        <x:v>연습은 필요한 조정·개선(adjustments or enhancements)을 촉구(prompt)한다.</x:v>
      </x:c>
      <x:c r="J17" s="6" t="str">
        <x:v>조정 대상은 인용문상 "전략·솔루션·계획·절차" 모두이나 본 연결은 BC 계획·절차로 한정(연구자 한정). 방향 해석(EXE의 결과가 PLAN을 개정)은 연구자 해석.</x:v>
      </x:c>
      <x:c r="K17" s="6" t="str">
        <x:v>adjustments/enhancements의 대상·방향을 EXE→PLAN으로 정규화했다. 관련 STR·WARN 시험도 원문에 있다.</x:v>
      </x:c>
      <x:c r="L17" s="6" t="str">
        <x:v>미검토</x:v>
      </x:c>
      <x:c r="M17" s="6" t="str"/>
    </x:row>
    <x:row r="18" ht="67.5" customHeight="1">
      <x:c r="A18" s="3" t="str">
        <x:v>L17</x:v>
      </x:c>
      <x:c r="B18" s="3" t="str">
        <x:v>PLAN</x:v>
      </x:c>
      <x:c r="C18" s="3" t="str">
        <x:v>AWR</x:v>
      </x:c>
      <x:c r="D18" s="3" t="str">
        <x:v>입력된다·활용된다</x:v>
      </x:c>
      <x:c r="E18" s="3" t="str">
        <x:v>E3</x:v>
      </x:c>
      <x:c r="F18" s="3" t="str">
        <x:v>E3</x:v>
      </x:c>
      <x:c r="G18" s="3" t="str">
        <x:v>근거 보류</x:v>
      </x:c>
      <x:c r="H18" s="3" t="str">
        <x:v>(없음)</x:v>
      </x:c>
      <x:c r="I18" s="3" t="str">
        <x:v>Arias는 인식·훈련·교육 프로그램이 인력의 인식과 역량을 키운다고만 서술하며 계획·절차와의 연결은 서술하지 않는다. Białas는 훈련 활동에 "필요(needs)"를 별도 항목으로 둔다.</x:v>
      </x:c>
      <x:c r="J18" s="3" t="str">
        <x:v>[연구자 가정] 교육 내용이 BC 계획·절차(역할 포함)에서 도출·반영된다는 연결은 두 논문에 직접 근거가 없다. 인력이 계획과 자기 역할을 알아야 계획이 실행된다는 연구자 판단에 기초한다.</x:v>
      </x:c>
      <x:c r="K18" s="3" t="str">
        <x:v>교육과 계획의 개별 설명만으로 PLAN→AWR의 직접 관계를 확정할 수 없다.</x:v>
      </x:c>
      <x:c r="L18" s="3" t="str">
        <x:v>미검토</x:v>
      </x:c>
      <x:c r="M18" s="3" t="str"/>
    </x:row>
    <x:row r="19" ht="53.25" customHeight="1">
      <x:c r="A19" s="6" t="str">
        <x:v>L18</x:v>
      </x:c>
      <x:c r="B19" s="6" t="str">
        <x:v>PERF</x:v>
      </x:c>
      <x:c r="C19" s="6" t="str">
        <x:v>CI</x:v>
      </x:c>
      <x:c r="D19" s="6" t="str">
        <x:v>환류된다</x:v>
      </x:c>
      <x:c r="E19" s="6" t="str">
        <x:v>E1</x:v>
      </x:c>
      <x:c r="F19" s="6" t="str">
        <x:v>E1</x:v>
      </x:c>
      <x:c r="G19" s="6" t="str">
        <x:v>운영 후보</x:v>
      </x:c>
      <x:c r="H19" s="6" t="str">
        <x:v>A25</x:v>
      </x:c>
      <x:c r="I19" s="6" t="str">
        <x:v>성과평가의 결과는 BCMS 및 전략·솔루션·계획·절차의 효과성·효율성·적합성·충분성을 개선하는 데 사용되며, 이는 지속적 개선 프로세스에서 실현된다.</x:v>
      </x:c>
      <x:c r="J19" s="6" t="str">
        <x:v>A25는 3개 출처를 한 문장에 열거하므로 L18·L19·L20은 연구자가 분리한 연결.</x:v>
      </x:c>
      <x:c r="K19" s="6" t="str">
        <x:v>원문의 관계 의미를 산출물과 사용 목적까지 구체화한 뒤 전문가에게 적절성을 평가받는다.</x:v>
      </x:c>
      <x:c r="L19" s="6" t="str">
        <x:v>미검토</x:v>
      </x:c>
      <x:c r="M19" s="6" t="str"/>
    </x:row>
    <x:row r="20" ht="39" customHeight="1">
      <x:c r="A20" s="3" t="str">
        <x:v>L19</x:v>
      </x:c>
      <x:c r="B20" s="3" t="str">
        <x:v>AUD</x:v>
      </x:c>
      <x:c r="C20" s="3" t="str">
        <x:v>CI</x:v>
      </x:c>
      <x:c r="D20" s="3" t="str">
        <x:v>환류된다</x:v>
      </x:c>
      <x:c r="E20" s="3" t="str">
        <x:v>E1</x:v>
      </x:c>
      <x:c r="F20" s="3" t="str">
        <x:v>E1</x:v>
      </x:c>
      <x:c r="G20" s="3" t="str">
        <x:v>운영 후보</x:v>
      </x:c>
      <x:c r="H20" s="3" t="str">
        <x:v>A25</x:v>
      </x:c>
      <x:c r="I20" s="3" t="str">
        <x:v>내부감사의 결과는 BCMS 개선에 사용되며, 지속적 개선 프로세스에서 실현된다.</x:v>
      </x:c>
      <x:c r="J20" s="3" t="str">
        <x:v>분리 사유는 L18과 동일.</x:v>
      </x:c>
      <x:c r="K20" s="3" t="str">
        <x:v>원문의 관계 의미를 산출물과 사용 목적까지 구체화한 뒤 전문가에게 적절성을 평가받는다.</x:v>
      </x:c>
      <x:c r="L20" s="3" t="str">
        <x:v>미검토</x:v>
      </x:c>
      <x:c r="M20" s="3" t="str"/>
    </x:row>
    <x:row r="21" ht="39" customHeight="1">
      <x:c r="A21" s="6" t="str">
        <x:v>L20</x:v>
      </x:c>
      <x:c r="B21" s="6" t="str">
        <x:v>SUP</x:v>
      </x:c>
      <x:c r="C21" s="6" t="str">
        <x:v>CI</x:v>
      </x:c>
      <x:c r="D21" s="6" t="str">
        <x:v>환류된다</x:v>
      </x:c>
      <x:c r="E21" s="6" t="str">
        <x:v>E1</x:v>
      </x:c>
      <x:c r="F21" s="6" t="str">
        <x:v>E1</x:v>
      </x:c>
      <x:c r="G21" s="6" t="str">
        <x:v>운영 후보</x:v>
      </x:c>
      <x:c r="H21" s="6" t="str">
        <x:v>A25</x:v>
      </x:c>
      <x:c r="I21" s="6" t="str">
        <x:v>공급망관리의 결과는 BCMS 개선에 사용되며, 지속적 개선 프로세스에서 실현된다.</x:v>
      </x:c>
      <x:c r="J21" s="6" t="str">
        <x:v>분리 사유는 L18과 동일.</x:v>
      </x:c>
      <x:c r="K21" s="6" t="str">
        <x:v>원문의 관계 의미를 산출물과 사용 목적까지 구체화한 뒤 전문가에게 적절성을 평가받는다.</x:v>
      </x:c>
      <x:c r="L21" s="6" t="str">
        <x:v>미검토</x:v>
      </x:c>
      <x:c r="M21" s="6" t="str"/>
    </x:row>
    <x:row r="22" ht="53.25" customHeight="1">
      <x:c r="A22" s="3" t="str">
        <x:v>L21</x:v>
      </x:c>
      <x:c r="B22" s="3" t="str">
        <x:v>CHG</x:v>
      </x:c>
      <x:c r="C22" s="3" t="str">
        <x:v>RA</x:v>
      </x:c>
      <x:c r="D22" s="3" t="str">
        <x:v>수행을 촉발한다</x:v>
      </x:c>
      <x:c r="E22" s="3" t="str">
        <x:v>E1</x:v>
      </x:c>
      <x:c r="F22" s="3" t="str">
        <x:v>E1</x:v>
      </x:c>
      <x:c r="G22" s="3" t="str">
        <x:v>운영 후보</x:v>
      </x:c>
      <x:c r="H22" s="3" t="str">
        <x:v>A27</x:v>
      </x:c>
      <x:c r="I22" s="3" t="str">
        <x:v>BC 변경관리의 산출물에는 중대한 제안·발생 변경에 대응한 리스크평가의 개시, 그리고 리스크평가와 오가는 제안·필요 변경 및 변경 결과가 포함된다.</x:v>
      </x:c>
      <x:c r="J22" s="3" t="str">
        <x:v>A26의 "for and from"은 양방향 흐름을 시사하나 본 연결은 CHG→RA 방향만 채택하고 반대 방향은 보류연결 H02에 기록(연구자 판단).</x:v>
      </x:c>
      <x:c r="K22" s="3" t="str">
        <x:v>원문의 관계 의미를 산출물과 사용 목적까지 구체화한 뒤 전문가에게 적절성을 평가받는다.</x:v>
      </x:c>
      <x:c r="L22" s="3" t="str">
        <x:v>미검토</x:v>
      </x:c>
      <x:c r="M22" s="3" t="str"/>
    </x:row>
    <x:row r="23" ht="53.25" customHeight="1">
      <x:c r="A23" s="6" t="str">
        <x:v>L22</x:v>
      </x:c>
      <x:c r="B23" s="6" t="str">
        <x:v>CHG</x:v>
      </x:c>
      <x:c r="C23" s="6" t="str">
        <x:v>DOC</x:v>
      </x:c>
      <x:c r="D23" s="6" t="str">
        <x:v>개정·갱신한다</x:v>
      </x:c>
      <x:c r="E23" s="6" t="str">
        <x:v>E1</x:v>
      </x:c>
      <x:c r="F23" s="6" t="str">
        <x:v>E1</x:v>
      </x:c>
      <x:c r="G23" s="6" t="str">
        <x:v>운영 후보</x:v>
      </x:c>
      <x:c r="H23" s="6" t="str">
        <x:v>A28</x:v>
      </x:c>
      <x:c r="I23" s="6" t="str">
        <x:v>BC 변경관리의 산출물에는 문서화된 정보 통제 프로세스를 위한 필요한 변경이 포함된다. 문서화된 정보 통제는 정보의 식별·작성·갱신·통제를 포함한다.</x:v>
      </x:c>
      <x:c r="J23" s="6" t="str">
        <x:v>A41의 "updating"은 최신성 차원의 정의를 고안할 때 참고했으며, 최신성의 정의 자체는 연구자 정의.</x:v>
      </x:c>
      <x:c r="K23" s="6" t="str">
        <x:v>원문의 관계 의미를 산출물과 사용 목적까지 구체화한 뒤 전문가에게 적절성을 평가받는다.</x:v>
      </x:c>
      <x:c r="L23" s="6" t="str">
        <x:v>미검토</x:v>
      </x:c>
      <x:c r="M23" s="6" t="str"/>
    </x:row>
    <x:row r="24" ht="53.25" customHeight="1">
      <x:c r="A24" s="3" t="str">
        <x:v>L23</x:v>
      </x:c>
      <x:c r="B24" s="3" t="str">
        <x:v>INC</x:v>
      </x:c>
      <x:c r="C24" s="3" t="str">
        <x:v>CHG</x:v>
      </x:c>
      <x:c r="D24" s="3" t="str">
        <x:v>수행을 촉발한다</x:v>
      </x:c>
      <x:c r="E24" s="3" t="str">
        <x:v>E1</x:v>
      </x:c>
      <x:c r="F24" s="3" t="str">
        <x:v>E2</x:v>
      </x:c>
      <x:c r="G24" s="3" t="str">
        <x:v>운영 후보</x:v>
      </x:c>
      <x:c r="H24" s="3" t="str">
        <x:v>A29</x:v>
      </x:c>
      <x:c r="I24" s="3" t="str">
        <x:v>사고·비상 대응이 개시한 변경의 결과가 변경관리의 산출물에 포함된다("as those processes initiated them").</x:v>
      </x:c>
      <x:c r="J24" s="3" t="str">
        <x:v>"initiated"를 triggers(S의 사건·결과가 T의 수행을 개시)로 해석. A29는 INC·EXE와 변경 결과 방향을 한 문장에 담으므로 L23~L26은 연구자가 분리한 4개 연결.</x:v>
      </x:c>
      <x:c r="K24" s="3" t="str">
        <x:v>initiated them의 해석과 프로세스 쌍의 방향을 연구자가 구체화했다. 전문가 검토 필요.</x:v>
      </x:c>
      <x:c r="L24" s="3" t="str">
        <x:v>미검토</x:v>
      </x:c>
      <x:c r="M24" s="3" t="str"/>
    </x:row>
    <x:row r="25" ht="39" customHeight="1">
      <x:c r="A25" s="6" t="str">
        <x:v>L24</x:v>
      </x:c>
      <x:c r="B25" s="6" t="str">
        <x:v>EXE</x:v>
      </x:c>
      <x:c r="C25" s="6" t="str">
        <x:v>CHG</x:v>
      </x:c>
      <x:c r="D25" s="6" t="str">
        <x:v>수행을 촉발한다</x:v>
      </x:c>
      <x:c r="E25" s="6" t="str">
        <x:v>E1</x:v>
      </x:c>
      <x:c r="F25" s="6" t="str">
        <x:v>E2</x:v>
      </x:c>
      <x:c r="G25" s="6" t="str">
        <x:v>운영 후보</x:v>
      </x:c>
      <x:c r="H25" s="6" t="str">
        <x:v>A29</x:v>
      </x:c>
      <x:c r="I25" s="6" t="str">
        <x:v>훈련·연습이 개시한 변경의 결과가 변경관리의 산출물에 포함된다.</x:v>
      </x:c>
      <x:c r="J25" s="6" t="str">
        <x:v>분리 사유는 L23과 동일.</x:v>
      </x:c>
      <x:c r="K25" s="6" t="str">
        <x:v>initiated them의 해석과 프로세스 쌍의 방향을 연구자가 구체화했다. 전문가 검토 필요.</x:v>
      </x:c>
      <x:c r="L25" s="6" t="str">
        <x:v>미검토</x:v>
      </x:c>
      <x:c r="M25" s="6" t="str"/>
    </x:row>
    <x:row r="26" ht="53.25" customHeight="1">
      <x:c r="A26" s="3" t="str">
        <x:v>L25</x:v>
      </x:c>
      <x:c r="B26" s="3" t="str">
        <x:v>CHG</x:v>
      </x:c>
      <x:c r="C26" s="3" t="str">
        <x:v>INC</x:v>
      </x:c>
      <x:c r="D26" s="3" t="str">
        <x:v>환류된다</x:v>
      </x:c>
      <x:c r="E26" s="3" t="str">
        <x:v>E1</x:v>
      </x:c>
      <x:c r="F26" s="3" t="str">
        <x:v>E2</x:v>
      </x:c>
      <x:c r="G26" s="3" t="str">
        <x:v>운영 후보</x:v>
      </x:c>
      <x:c r="H26" s="3" t="str">
        <x:v>A29</x:v>
      </x:c>
      <x:c r="I26" s="3" t="str">
        <x:v>변경의 결과가 사고·비상 대응 프로세스로 돌아간다("The results of changes to the incident and emergency handling process").</x:v>
      </x:c>
      <x:c r="J26" s="3" t="str">
        <x:v>분리 사유는 L23과 동일. "results of changes to"를 updates(변경이 T의 내용을 개정)로 해석.</x:v>
      </x:c>
      <x:c r="K26" s="3" t="str">
        <x:v>results of changes를 변경 결과 전달로 해석한다. 원문 자체가 닫힌 개선 순환을 검증한 것은 아니다.</x:v>
      </x:c>
      <x:c r="L26" s="3" t="str">
        <x:v>미검토</x:v>
      </x:c>
      <x:c r="M26" s="3" t="str"/>
    </x:row>
    <x:row r="27" ht="39" customHeight="1">
      <x:c r="A27" s="6" t="str">
        <x:v>L26</x:v>
      </x:c>
      <x:c r="B27" s="6" t="str">
        <x:v>CHG</x:v>
      </x:c>
      <x:c r="C27" s="6" t="str">
        <x:v>EXE</x:v>
      </x:c>
      <x:c r="D27" s="6" t="str">
        <x:v>환류된다</x:v>
      </x:c>
      <x:c r="E27" s="6" t="str">
        <x:v>E1</x:v>
      </x:c>
      <x:c r="F27" s="6" t="str">
        <x:v>E2</x:v>
      </x:c>
      <x:c r="G27" s="6" t="str">
        <x:v>운영 후보</x:v>
      </x:c>
      <x:c r="H27" s="6" t="str">
        <x:v>A29</x:v>
      </x:c>
      <x:c r="I27" s="6" t="str">
        <x:v>변경의 결과가 BC 계획·절차 훈련·연습 프로세스로 돌아간다.</x:v>
      </x:c>
      <x:c r="J27" s="6" t="str">
        <x:v>분리 사유는 L23과 동일.</x:v>
      </x:c>
      <x:c r="K27" s="6" t="str">
        <x:v>results of changes를 변경 결과 전달로 해석한다. 원문 자체가 닫힌 개선 순환을 검증한 것은 아니다.</x:v>
      </x:c>
      <x:c r="L27" s="6" t="str">
        <x:v>미검토</x:v>
      </x:c>
      <x:c r="M27" s="6" t="str"/>
    </x:row>
    <x:row r="28" ht="67.5" customHeight="1">
      <x:c r="A28" s="3" t="str">
        <x:v>L27</x:v>
      </x:c>
      <x:c r="B28" s="3" t="str">
        <x:v>CORE</x:v>
      </x:c>
      <x:c r="C28" s="3" t="str">
        <x:v>COM</x:v>
      </x:c>
      <x:c r="D28" s="3" t="str">
        <x:v>전달된다</x:v>
      </x:c>
      <x:c r="E28" s="3" t="str">
        <x:v>E1</x:v>
      </x:c>
      <x:c r="F28" s="3" t="str">
        <x:v>E2</x:v>
      </x:c>
      <x:c r="G28" s="3" t="str">
        <x:v>집단 진술</x:v>
      </x:c>
      <x:c r="H28" s="3" t="str">
        <x:v>A30</x:v>
      </x:c>
      <x:c r="I28" s="3" t="str">
        <x:v>거의 모든 BCMS 프로세스의 결과가 협의·커뮤니케이션 프로세스를 통해 BCMS 외부 이해관계자에게 중앙에서 전달된다.</x:v>
      </x:c>
      <x:c r="J28" s="3" t="str">
        <x:v>[연구자 판단] "nearly all BCMS processes"는 프로세스를 열거하지 않으므로 출발점을 집단 노드 CORE("핵심 BCMS 프로세스 전반")로 처리했다. CORE는 Arias의 객체가 아니라 연구자가 만든 가상 노드이다.</x:v>
      </x:c>
      <x:c r="K28" s="3" t="str">
        <x:v>nearly all BCMS processes를 CORE 또는 모든 핵심 프로세스로 동일시할 수 없다. 집단 주석으로만 보존.</x:v>
      </x:c>
      <x:c r="L28" s="3" t="str">
        <x:v>미검토</x:v>
      </x:c>
      <x:c r="M28" s="3" t="str"/>
    </x:row>
    <x:row r="29" ht="39" customHeight="1">
      <x:c r="A29" s="6" t="str">
        <x:v>L28</x:v>
      </x:c>
      <x:c r="B29" s="6" t="str">
        <x:v>COM</x:v>
      </x:c>
      <x:c r="C29" s="6" t="str">
        <x:v>GOV</x:v>
      </x:c>
      <x:c r="D29" s="6" t="str">
        <x:v>입력된다·활용된다</x:v>
      </x:c>
      <x:c r="E29" s="6" t="str">
        <x:v>E1</x:v>
      </x:c>
      <x:c r="F29" s="6" t="str">
        <x:v>E1</x:v>
      </x:c>
      <x:c r="G29" s="6" t="str">
        <x:v>운영 후보</x:v>
      </x:c>
      <x:c r="H29" s="6" t="str">
        <x:v>A31</x:v>
      </x:c>
      <x:c r="I29" s="6" t="str">
        <x:v>협의·커뮤니케이션의 보고와 식별된 요구사항은 BC 거버넌스 프로세스의 입력으로 쓰인다.</x:v>
      </x:c>
      <x:c r="J29" s="6" t="str">
        <x:v>"These reports"는 앞 문장(리스크와 BC 관리 보고의 커뮤니케이션)을 가리킨다고 연구자가 확인(A47).</x:v>
      </x:c>
      <x:c r="K29" s="6" t="str">
        <x:v>원문의 관계 의미를 산출물과 사용 목적까지 구체화한 뒤 전문가에게 적절성을 평가받는다.</x:v>
      </x:c>
      <x:c r="L29" s="6" t="str">
        <x:v>미검토</x:v>
      </x:c>
      <x:c r="M29" s="6" t="str"/>
    </x:row>
    <x:row r="30" ht="81.75" customHeight="1">
      <x:c r="A30" s="3" t="str">
        <x:v>L29</x:v>
      </x:c>
      <x:c r="B30" s="3" t="str">
        <x:v>GOV</x:v>
      </x:c>
      <x:c r="C30" s="3" t="str">
        <x:v>POL</x:v>
      </x:c>
      <x:c r="D30" s="3" t="str">
        <x:v>도출·이행된다</x:v>
      </x:c>
      <x:c r="E30" s="3" t="str">
        <x:v>E3</x:v>
      </x:c>
      <x:c r="F30" s="3" t="str">
        <x:v>E3</x:v>
      </x:c>
      <x:c r="G30" s="3" t="str">
        <x:v>근거 보류</x:v>
      </x:c>
      <x:c r="H30" s="3" t="str">
        <x:v>(없음)</x:v>
      </x:c>
      <x:c r="I30" s="3" t="str">
        <x:v>Arias는 거버넌스(BCMS가 이해관계자의 목표·요구에 부합하도록 보장)와 정책관리(정책의 개발·유지·보존, 접근·이해 보장)를 각각 서술할 뿐 두 프로세스의 관계는 서술하지 않는다. Białas는 목표(objectives)와 정책(policy)을 "Plan" 단계의 병렬 항목으로 나열한다.</x:v>
      </x:c>
      <x:c r="J30" s="3" t="str">
        <x:v>[연구자 가정] 정책이 경영진이 정한 BC 목표·방향에서 도출된다는 연결은 두 논문에 근거가 없다(이를 뒷받침하는 인용이 두 논문에 없음). 또한 Białas에서는 정책과 목표가 형제 항목이므로 Białas는 이 연결을 지지하지 않는다.</x:v>
      </x:c>
      <x:c r="K30" s="3" t="str">
        <x:v>거버넌스 목표 정렬과 정책관리 설명만으로 GOV→POL의 직접 관계를 확정할 수 없다.</x:v>
      </x:c>
      <x:c r="L30" s="3" t="str">
        <x:v>미검토</x:v>
      </x:c>
      <x:c r="M30" s="3" t="str"/>
    </x:row>
    <x:row r="31" ht="39" customHeight="1">
      <x:c r="A31" s="6" t="str">
        <x:v>L30</x:v>
      </x:c>
      <x:c r="B31" s="6" t="str">
        <x:v>RES</x:v>
      </x:c>
      <x:c r="C31" s="6" t="str">
        <x:v>CORE</x:v>
      </x:c>
      <x:c r="D31" s="6" t="str">
        <x:v>제공한다</x:v>
      </x:c>
      <x:c r="E31" s="6" t="str">
        <x:v>E1</x:v>
      </x:c>
      <x:c r="F31" s="6" t="str">
        <x:v>E1</x:v>
      </x:c>
      <x:c r="G31" s="6" t="str">
        <x:v>집단 진술</x:v>
      </x:c>
      <x:c r="H31" s="6" t="str">
        <x:v>A18</x:v>
      </x:c>
      <x:c r="I31" s="6" t="str">
        <x:v>자원관리의 산출물에는 핵심 BCMS 프로세스 운영을 위한 자원과 BCMS 핵심 프로세스에 대한 자원 사용 보고가 포함된다.</x:v>
      </x:c>
      <x:c r="J31" s="6" t="str">
        <x:v>[연구자 판단] 도착이 "핵심 BCMS 프로세스(복수)"이므로 집단 노드 CORE를 사용(L27과 동일 사유).</x:v>
      </x:c>
      <x:c r="K31" s="6" t="str">
        <x:v>core processes 대상 자원 공급의 집단 서술이다. CORE는 23번째 객체가 아니며 개별 쌍으로 임의 확장하지 않는다.</x:v>
      </x:c>
      <x:c r="L31" s="6" t="str">
        <x:v>미검토</x:v>
      </x:c>
      <x:c r="M31" s="6" t="str"/>
    </x:row>
    <x:row r="32" ht="67.5" customHeight="1">
      <x:c r="A32" s="3" t="str">
        <x:v>L31</x:v>
      </x:c>
      <x:c r="B32" s="3" t="str">
        <x:v>RES</x:v>
      </x:c>
      <x:c r="C32" s="3" t="str">
        <x:v>CRM</x:v>
      </x:c>
      <x:c r="D32" s="3" t="str">
        <x:v>자원 사용 보고 제공</x:v>
      </x:c>
      <x:c r="E32" s="3" t="str">
        <x:v>E1</x:v>
      </x:c>
      <x:c r="F32" s="3" t="str">
        <x:v>E2</x:v>
      </x:c>
      <x:c r="G32" s="3" t="str">
        <x:v>운영 후보</x:v>
      </x:c>
      <x:c r="H32" s="3" t="str">
        <x:v>A18</x:v>
      </x:c>
      <x:c r="I32" s="3" t="str">
        <x:v>자원관리의 산출물에는 고객관계관리 프로세스에 대한 자원 사용 보고가 포함된다. 고객관계관리는 고객 만족의 운영적 관리와 BC 투자 가치의 지속적 입증을 수행한다.</x:v>
      </x:c>
      <x:c r="J32" s="3" t="str">
        <x:v>고객관계관리를 "고객 만족·BC 투자 가치 입증"으로 부르는 것은 CRM의 기능을 서술한 A32를 바탕으로 한 연구자의 지표화이며, 인용문이 "자원 보고가 가치 입증에 쓰인다"고 직접 말하는 것은 아니다.</x:v>
      </x:c>
      <x:c r="K32" s="3" t="str">
        <x:v>CRM에 대한 자원 사용 보고를 말한다. 자원 자체의 공급과 보고 공급을 구별한다.</x:v>
      </x:c>
      <x:c r="L32" s="3" t="str">
        <x:v>미검토</x:v>
      </x:c>
      <x:c r="M32" s="3" t="str"/>
    </x:row>
  </x:sheetData>
  <x:pageMargins left="0.7" right="0.7" top="0.75" bottom="0.75" header="0.3" footer="0.3"/>
  <x:tableParts count="1">
    <x:tablePart xmlns:r="http://schemas.openxmlformats.org/officeDocument/2006/relationships" r:id="R692b4885473140d2"/>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779999732971191" hidden="0" customWidth="1"/>
    <x:col min="2" max="2" width="8.890000343322754" hidden="0" customWidth="1"/>
    <x:col min="3" max="3" width="8.329999923706055" hidden="0" customWidth="1"/>
    <x:col min="4" max="4" width="22.219999313354492" hidden="0" customWidth="1"/>
    <x:col min="5" max="5" width="17.780000686645508" hidden="0" customWidth="1"/>
    <x:col min="6" max="6" width="72.22000122070312" hidden="0" customWidth="1"/>
    <x:col min="7" max="7" width="72.22000122070312" hidden="0" customWidth="1"/>
    <x:col min="8" max="8" width="11.109999656677246" hidden="0" customWidth="1"/>
    <x:col min="9" max="9" width="13.329999923706055" hidden="0" customWidth="1"/>
    <x:col min="10" max="10" width="33.33000183105469" hidden="0" customWidth="1"/>
    <x:col min="11" max="11" width="56.66999816894531" hidden="0" customWidth="1"/>
    <x:col min="12" max="12" width="9.4399995803833" hidden="0" customWidth="1"/>
    <x:col min="13" max="13" width="9.4399995803833" hidden="0" customWidth="1"/>
    <x:col min="14" max="14" width="9.4399995803833" hidden="0" customWidth="1"/>
    <x:col min="15" max="15" width="9.4399995803833" hidden="0" customWidth="1"/>
    <x:col min="16" max="16" width="9.4399995803833" hidden="0" customWidth="1"/>
    <x:col min="17" max="17" width="9.4399995803833" hidden="0" customWidth="1"/>
    <x:col min="18" max="18" width="11.670000076293945" hidden="0" customWidth="1"/>
    <x:col min="19" max="19" width="16.110000610351562" hidden="0" customWidth="1"/>
    <x:col min="20" max="20" width="15.5600004196167" hidden="0" customWidth="1"/>
    <x:col min="21" max="21" width="46.66999816894531" hidden="0" customWidth="1"/>
  </x:cols>
  <x:sheetData>
    <x:row r="1" ht="37.5" customHeight="1">
      <x:c r="A1" s="5" t="str">
        <x:v>문항ID</x:v>
      </x:c>
      <x:c r="B1" s="5" t="str">
        <x:v>관계ID</x:v>
      </x:c>
      <x:c r="C1" s="5" t="str">
        <x:v>코드</x:v>
      </x:c>
      <x:c r="D1" s="5" t="str">
        <x:v>측정 개념</x:v>
      </x:c>
      <x:c r="E1" s="5" t="str">
        <x:v>역할·검토 상태</x:v>
      </x:c>
      <x:c r="F1" s="5" t="str">
        <x:v>V4 문항 후보</x:v>
      </x:c>
      <x:c r="G1" s="5" t="str">
        <x:v>V3 원문항</x:v>
      </x:c>
      <x:c r="H1" s="5" t="str">
        <x:v>연결 등급</x:v>
      </x:c>
      <x:c r="I1" s="5" t="str">
        <x:v>연결 출처</x:v>
      </x:c>
      <x:c r="J1" s="5" t="str">
        <x:v>개념 근거</x:v>
      </x:c>
      <x:c r="K1" s="5" t="str">
        <x:v>수정·보류 사유</x:v>
      </x:c>
      <x:c r="L1" s="5" t="str">
        <x:v>전문가1</x:v>
      </x:c>
      <x:c r="M1" s="5" t="str">
        <x:v>전문가2</x:v>
      </x:c>
      <x:c r="N1" s="5" t="str">
        <x:v>전문가3</x:v>
      </x:c>
      <x:c r="O1" s="5" t="str">
        <x:v>전문가4</x:v>
      </x:c>
      <x:c r="P1" s="5" t="str">
        <x:v>전문가5</x:v>
      </x:c>
      <x:c r="Q1" s="5" t="str">
        <x:v>전문가6</x:v>
      </x:c>
      <x:c r="R1" s="5" t="str">
        <x:v>I-CVI</x:v>
      </x:c>
      <x:c r="S1" s="5" t="str">
        <x:v>검토 진행</x:v>
      </x:c>
      <x:c r="T1" s="5" t="str">
        <x:v>최종 결정</x:v>
      </x:c>
      <x:c r="U1" s="5" t="str">
        <x:v>수정 의견</x:v>
      </x:c>
    </x:row>
    <x:row r="2" ht="39" customHeight="1">
      <x:c r="A2" s="3" t="str">
        <x:v>L01-CO</x:v>
      </x:c>
      <x:c r="B2" s="3" t="str">
        <x:v>L01</x:v>
      </x:c>
      <x:c r="C2" s="3" t="str">
        <x:v>CO</x:v>
      </x:c>
      <x:c r="D2" s="3" t="str">
        <x:v>정합성</x:v>
      </x:c>
      <x:c r="E2" s="3" t="str">
        <x:v>연결 품질 후보</x:v>
      </x:c>
      <x:c r="F2" s="3" t="str">
        <x:v>우리 조직에서는 요구사항 목록이 BIA의 우선순위·복구목표 설정에 입력될 때, 두 내용 중 서로 대응해야 하는 기준·수치·전제에 모순이 없다.</x:v>
      </x:c>
      <x:c r="G2" s="3" t="str">
        <x:v>우리 조직에서는 요구사항 목록이 BIA의 우선순위·복구목표 설정에 입력될 때, 두 내용이 서로 모순 없이 일치한다.</x:v>
      </x:c>
      <x:c r="H2" s="3" t="str">
        <x:v>E1</x:v>
      </x:c>
      <x:c r="I2" s="3" t="str">
        <x:v>A11</x:v>
      </x:c>
      <x:c r="J2" s="3" t="str">
        <x:v>A12·A14·A16; S06</x:v>
      </x:c>
      <x:c r="K2" s="3" t="str">
        <x:v>서로 다른 프로세스 산출물의 내용 전체가 동일해야 한다는 오해를 줄임.</x:v>
      </x:c>
      <x:c r="L2" s="21"/>
      <x:c r="M2" s="21"/>
      <x:c r="N2" s="21"/>
      <x:c r="O2" s="21"/>
      <x:c r="P2" s="21"/>
      <x:c r="Q2" s="21"/>
      <x:c r="R2" s="23" t="str">
        <x:f>IF(COUNT(L2:Q2)=6,COUNTIF(L2:Q2,"&gt;=3")/6,"")</x:f>
      </x:c>
      <x:c r="S2" s="3" t="str">
        <x:f>IF(COUNT(L2:Q2)=6,"6인 평가 완료","평가 미완료")</x:f>
        <x:v>평가 미완료</x:v>
      </x:c>
      <x:c r="T2" s="21" t="str">
        <x:v>미검토</x:v>
      </x:c>
      <x:c r="U2" s="21" t="str"/>
    </x:row>
    <x:row r="3" ht="39" customHeight="1">
      <x:c r="A3" s="6" t="str">
        <x:v>L01-TR</x:v>
      </x:c>
      <x:c r="B3" s="6" t="str">
        <x:v>L01</x:v>
      </x:c>
      <x:c r="C3" s="6" t="str">
        <x:v>TR</x:v>
      </x:c>
      <x:c r="D3" s="6" t="str">
        <x:v>근거 추적가능성</x:v>
      </x:c>
      <x:c r="E3" s="6" t="str">
        <x:v>연결 품질 후보</x:v>
      </x:c>
      <x:c r="F3" s="6" t="str">
        <x:v>우리 조직에서는 BIA의 우선순위·복구목표 설정에서 근거가 된 요구사항 목록을 식별자나 문서 위치를 통해 찾아갈 수 있다.</x:v>
      </x:c>
      <x:c r="G3" s="6" t="str">
        <x:v>우리 조직에서는 BIA의 우선순위·복구목표 설정에서 근거가 된 요구사항 목록을 거슬러 찾아 확인할 수 있다.</x:v>
      </x:c>
      <x:c r="H3" s="6" t="str">
        <x:v>E1</x:v>
      </x:c>
      <x:c r="I3" s="6" t="str">
        <x:v>A11</x:v>
      </x:c>
      <x:c r="J3" s="6" t="str">
        <x:v>S01 §5.1 PDF p.4 저널 pp.94–101</x:v>
      </x:c>
      <x:c r="K3" s="6" t="str">
        <x:v>후방 근거 추적 문항. 전방 추적은 측정 범위에 포함됐다고 주장하지 않음.</x:v>
      </x:c>
      <x:c r="L3" s="21"/>
      <x:c r="M3" s="21"/>
      <x:c r="N3" s="21"/>
      <x:c r="O3" s="21"/>
      <x:c r="P3" s="21"/>
      <x:c r="Q3" s="21"/>
      <x:c r="R3" s="24" t="str">
        <x:f>IF(COUNT(L3:Q3)=6,COUNTIF(L3:Q3,"&gt;=3")/6,"")</x:f>
      </x:c>
      <x:c r="S3" s="6" t="str">
        <x:f>IF(COUNT(L3:Q3)=6,"6인 평가 완료","평가 미완료")</x:f>
        <x:v>평가 미완료</x:v>
      </x:c>
      <x:c r="T3" s="21" t="str">
        <x:v>미검토</x:v>
      </x:c>
      <x:c r="U3" s="21" t="str"/>
    </x:row>
    <x:row r="4" ht="39" customHeight="1">
      <x:c r="A4" s="3" t="str">
        <x:v>L01-EV</x:v>
      </x:c>
      <x:c r="B4" s="3" t="str">
        <x:v>L01</x:v>
      </x:c>
      <x:c r="C4" s="3" t="str">
        <x:v>EV</x:v>
      </x:c>
      <x:c r="D4" s="3" t="str">
        <x:v>연결 증빙가능성</x:v>
      </x:c>
      <x:c r="E4" s="3" t="str">
        <x:v>연결 품질 후보</x:v>
      </x:c>
      <x:c r="F4" s="3" t="str">
        <x:v>우리 조직에서는 요구사항 목록이 BIA의 우선순위·복구목표 설정에 입력될 때, 실제 사용 또는 평가 사실을 보여 주는 기록이 남아 있다.</x:v>
      </x:c>
      <x:c r="G4" s="3" t="str">
        <x:v>우리 조직에서는 요구사항 목록이 BIA의 우선순위·복구목표 설정에 입력될 때, 그 사실을 입증하는 문서·기록·승인(검토 기록, 회의록, 버전 이력 등)이 남아 있다.</x:v>
      </x:c>
      <x:c r="H4" s="3" t="str">
        <x:v>E1</x:v>
      </x:c>
      <x:c r="I4" s="3" t="str">
        <x:v>A11</x:v>
      </x:c>
      <x:c r="J4" s="3" t="str">
        <x:v>B17 PDF p.6; A13·A37</x:v>
      </x:c>
      <x:c r="K4" s="3" t="str">
        <x:v>문서 보유가 아니라 연결의 실제 수행 사실을 증명하는 기록을 묻도록 수정.</x:v>
      </x:c>
      <x:c r="L4" s="21"/>
      <x:c r="M4" s="21"/>
      <x:c r="N4" s="21"/>
      <x:c r="O4" s="21"/>
      <x:c r="P4" s="21"/>
      <x:c r="Q4" s="21"/>
      <x:c r="R4" s="23" t="str">
        <x:f>IF(COUNT(L4:Q4)=6,COUNTIF(L4:Q4,"&gt;=3")/6,"")</x:f>
      </x:c>
      <x:c r="S4" s="3" t="str">
        <x:f>IF(COUNT(L4:Q4)=6,"6인 평가 완료","평가 미완료")</x:f>
        <x:v>평가 미완료</x:v>
      </x:c>
      <x:c r="T4" s="21" t="str">
        <x:v>미검토</x:v>
      </x:c>
      <x:c r="U4" s="21" t="str"/>
    </x:row>
    <x:row r="5" ht="39" customHeight="1">
      <x:c r="A5" s="6" t="str">
        <x:v>L01-AC</x:v>
      </x:c>
      <x:c r="B5" s="6" t="str">
        <x:v>L01</x:v>
      </x:c>
      <x:c r="C5" s="6" t="str">
        <x:v>AC</x:v>
      </x:c>
      <x:c r="D5" s="6" t="str">
        <x:v>연결 책임명확성</x:v>
      </x:c>
      <x:c r="E5" s="6" t="str">
        <x:v>관리조건 후보</x:v>
      </x:c>
      <x:c r="F5" s="6" t="str">
        <x:v>우리 조직에서는 요구사항관리와 BIA·중요도 분석 사이의 해당 연결을 조정할 책임 역할 또는 부서가 명확하다.</x:v>
      </x:c>
      <x:c r="G5" s="6" t="str">
        <x:v>우리 조직에서는 요구사항 목록이 BIA의 우선순위·복구목표 설정에 입력될 때, 그 연결의 검토·승인·변경에 대한 책임자(또는 부서)가 정해져 있다.</x:v>
      </x:c>
      <x:c r="H5" s="6" t="str">
        <x:v>E1</x:v>
      </x:c>
      <x:c r="I5" s="6" t="str">
        <x:v>A11</x:v>
      </x:c>
      <x:c r="J5" s="6" t="str">
        <x:v>A49·A50; S07 출판사 초록</x:v>
      </x:c>
      <x:c r="K5" s="6" t="str">
        <x:v>검토·승인·변경의 세 질문을 단일 조정 책임으로 바꿈. Accountability와 동일 개념으로 인용하지 않음.</x:v>
      </x:c>
      <x:c r="L5" s="21"/>
      <x:c r="M5" s="21"/>
      <x:c r="N5" s="21"/>
      <x:c r="O5" s="21"/>
      <x:c r="P5" s="21"/>
      <x:c r="Q5" s="21"/>
      <x:c r="R5" s="24" t="str">
        <x:f>IF(COUNT(L5:Q5)=6,COUNTIF(L5:Q5,"&gt;=3")/6,"")</x:f>
      </x:c>
      <x:c r="S5" s="6" t="str">
        <x:f>IF(COUNT(L5:Q5)=6,"6인 평가 완료","평가 미완료")</x:f>
        <x:v>평가 미완료</x:v>
      </x:c>
      <x:c r="T5" s="21" t="str">
        <x:v>미검토</x:v>
      </x:c>
      <x:c r="U5" s="21" t="str"/>
    </x:row>
    <x:row r="6" ht="39" customHeight="1">
      <x:c r="A6" s="3" t="str">
        <x:v>L01-TM</x:v>
      </x:c>
      <x:c r="B6" s="3" t="str">
        <x:v>L01</x:v>
      </x:c>
      <x:c r="C6" s="3" t="str">
        <x:v>TM</x:v>
      </x:c>
      <x:c r="D6" s="3" t="str">
        <x:v>변경전파 적시성</x:v>
      </x:c>
      <x:c r="E6" s="3" t="str">
        <x:v>연결 품질 후보</x:v>
      </x:c>
      <x:c r="F6" s="3" t="str">
        <x:v>우리 조직에서는 요구사항 목록이 바뀌면, 그 변경 정보가 BIA·중요도 분석 업무에 필요한 시점 이전에 전달·처리된다.</x:v>
      </x:c>
      <x:c r="G6" s="3" t="str">
        <x:v>우리 조직에서는 요구사항 목록이 바뀌면, BIA의 우선순위·복구목표 설정에 정해진 기간 안에 반영된다.</x:v>
      </x:c>
      <x:c r="H6" s="3" t="str">
        <x:v>E1</x:v>
      </x:c>
      <x:c r="I6" s="3" t="str">
        <x:v>A11</x:v>
      </x:c>
      <x:c r="J6" s="3" t="str">
        <x:v>S04 PDF pp.4–5 저널 pp.214–215; A27·A28·A41</x:v>
      </x:c>
      <x:c r="K6" s="3" t="str">
        <x:v>과업에 필요한 시점을 기준으로 함. 변경이 없었던 조직은 별도 코드로 처리.</x:v>
      </x:c>
      <x:c r="L6" s="21"/>
      <x:c r="M6" s="21"/>
      <x:c r="N6" s="21"/>
      <x:c r="O6" s="21"/>
      <x:c r="P6" s="21"/>
      <x:c r="Q6" s="21"/>
      <x:c r="R6" s="23" t="str">
        <x:f>IF(COUNT(L6:Q6)=6,COUNTIF(L6:Q6,"&gt;=3")/6,"")</x:f>
      </x:c>
      <x:c r="S6" s="3" t="str">
        <x:f>IF(COUNT(L6:Q6)=6,"6인 평가 완료","평가 미완료")</x:f>
        <x:v>평가 미완료</x:v>
      </x:c>
      <x:c r="T6" s="21" t="str">
        <x:v>미검토</x:v>
      </x:c>
      <x:c r="U6" s="21" t="str"/>
    </x:row>
    <x:row r="7" ht="39" customHeight="1">
      <x:c r="A7" s="6" t="str">
        <x:v>L02-CO</x:v>
      </x:c>
      <x:c r="B7" s="6" t="str">
        <x:v>L02</x:v>
      </x:c>
      <x:c r="C7" s="6" t="str">
        <x:v>CO</x:v>
      </x:c>
      <x:c r="D7" s="6" t="str">
        <x:v>정합성</x:v>
      </x:c>
      <x:c r="E7" s="6" t="str">
        <x:v>연결 품질 후보</x:v>
      </x:c>
      <x:c r="F7" s="6" t="str">
        <x:v>우리 조직에서는 요구사항 목록이 리스크평가의 범위·기준에 입력될 때, 두 내용 중 서로 대응해야 하는 기준·수치·전제에 모순이 없다.</x:v>
      </x:c>
      <x:c r="G7" s="6" t="str">
        <x:v>우리 조직에서는 요구사항 목록이 리스크평가의 범위·기준에 입력될 때, 두 내용이 서로 모순 없이 일치한다.</x:v>
      </x:c>
      <x:c r="H7" s="6" t="str">
        <x:v>E1</x:v>
      </x:c>
      <x:c r="I7" s="6" t="str">
        <x:v>A11</x:v>
      </x:c>
      <x:c r="J7" s="6" t="str">
        <x:v>A12·A14·A16; S06</x:v>
      </x:c>
      <x:c r="K7" s="6" t="str">
        <x:v>서로 다른 프로세스 산출물의 내용 전체가 동일해야 한다는 오해를 줄임.</x:v>
      </x:c>
      <x:c r="L7" s="21"/>
      <x:c r="M7" s="21"/>
      <x:c r="N7" s="21"/>
      <x:c r="O7" s="21"/>
      <x:c r="P7" s="21"/>
      <x:c r="Q7" s="21"/>
      <x:c r="R7" s="24" t="str">
        <x:f>IF(COUNT(L7:Q7)=6,COUNTIF(L7:Q7,"&gt;=3")/6,"")</x:f>
      </x:c>
      <x:c r="S7" s="6" t="str">
        <x:f>IF(COUNT(L7:Q7)=6,"6인 평가 완료","평가 미완료")</x:f>
        <x:v>평가 미완료</x:v>
      </x:c>
      <x:c r="T7" s="21" t="str">
        <x:v>미검토</x:v>
      </x:c>
      <x:c r="U7" s="21" t="str"/>
    </x:row>
    <x:row r="8" ht="39" customHeight="1">
      <x:c r="A8" s="3" t="str">
        <x:v>L02-TR</x:v>
      </x:c>
      <x:c r="B8" s="3" t="str">
        <x:v>L02</x:v>
      </x:c>
      <x:c r="C8" s="3" t="str">
        <x:v>TR</x:v>
      </x:c>
      <x:c r="D8" s="3" t="str">
        <x:v>근거 추적가능성</x:v>
      </x:c>
      <x:c r="E8" s="3" t="str">
        <x:v>연결 품질 후보</x:v>
      </x:c>
      <x:c r="F8" s="3" t="str">
        <x:v>우리 조직에서는 리스크평가의 범위·기준에서 근거가 된 요구사항 목록을 식별자나 문서 위치를 통해 찾아갈 수 있다.</x:v>
      </x:c>
      <x:c r="G8" s="3" t="str">
        <x:v>우리 조직에서는 리스크평가의 범위·기준에서 근거가 된 요구사항 목록을 거슬러 찾아 확인할 수 있다.</x:v>
      </x:c>
      <x:c r="H8" s="3" t="str">
        <x:v>E1</x:v>
      </x:c>
      <x:c r="I8" s="3" t="str">
        <x:v>A11</x:v>
      </x:c>
      <x:c r="J8" s="3" t="str">
        <x:v>S01 §5.1 PDF p.4 저널 pp.94–101</x:v>
      </x:c>
      <x:c r="K8" s="3" t="str">
        <x:v>후방 근거 추적 문항. 전방 추적은 측정 범위에 포함됐다고 주장하지 않음.</x:v>
      </x:c>
      <x:c r="L8" s="21"/>
      <x:c r="M8" s="21"/>
      <x:c r="N8" s="21"/>
      <x:c r="O8" s="21"/>
      <x:c r="P8" s="21"/>
      <x:c r="Q8" s="21"/>
      <x:c r="R8" s="23" t="str">
        <x:f>IF(COUNT(L8:Q8)=6,COUNTIF(L8:Q8,"&gt;=3")/6,"")</x:f>
      </x:c>
      <x:c r="S8" s="3" t="str">
        <x:f>IF(COUNT(L8:Q8)=6,"6인 평가 완료","평가 미완료")</x:f>
        <x:v>평가 미완료</x:v>
      </x:c>
      <x:c r="T8" s="21" t="str">
        <x:v>미검토</x:v>
      </x:c>
      <x:c r="U8" s="21" t="str"/>
    </x:row>
    <x:row r="9" ht="39" customHeight="1">
      <x:c r="A9" s="6" t="str">
        <x:v>L02-EV</x:v>
      </x:c>
      <x:c r="B9" s="6" t="str">
        <x:v>L02</x:v>
      </x:c>
      <x:c r="C9" s="6" t="str">
        <x:v>EV</x:v>
      </x:c>
      <x:c r="D9" s="6" t="str">
        <x:v>연결 증빙가능성</x:v>
      </x:c>
      <x:c r="E9" s="6" t="str">
        <x:v>연결 품질 후보</x:v>
      </x:c>
      <x:c r="F9" s="6" t="str">
        <x:v>우리 조직에서는 요구사항 목록이 리스크평가의 범위·기준에 입력될 때, 실제 사용 또는 평가 사실을 보여 주는 기록이 남아 있다.</x:v>
      </x:c>
      <x:c r="G9" s="6" t="str">
        <x:v>우리 조직에서는 요구사항 목록이 리스크평가의 범위·기준에 입력될 때, 그 사실을 입증하는 문서·기록·승인(검토 기록, 회의록, 버전 이력 등)이 남아 있다.</x:v>
      </x:c>
      <x:c r="H9" s="6" t="str">
        <x:v>E1</x:v>
      </x:c>
      <x:c r="I9" s="6" t="str">
        <x:v>A11</x:v>
      </x:c>
      <x:c r="J9" s="6" t="str">
        <x:v>B17 PDF p.6; A13·A37</x:v>
      </x:c>
      <x:c r="K9" s="6" t="str">
        <x:v>문서 보유가 아니라 연결의 실제 수행 사실을 증명하는 기록을 묻도록 수정.</x:v>
      </x:c>
      <x:c r="L9" s="21"/>
      <x:c r="M9" s="21"/>
      <x:c r="N9" s="21"/>
      <x:c r="O9" s="21"/>
      <x:c r="P9" s="21"/>
      <x:c r="Q9" s="21"/>
      <x:c r="R9" s="24" t="str">
        <x:f>IF(COUNT(L9:Q9)=6,COUNTIF(L9:Q9,"&gt;=3")/6,"")</x:f>
      </x:c>
      <x:c r="S9" s="6" t="str">
        <x:f>IF(COUNT(L9:Q9)=6,"6인 평가 완료","평가 미완료")</x:f>
        <x:v>평가 미완료</x:v>
      </x:c>
      <x:c r="T9" s="21" t="str">
        <x:v>미검토</x:v>
      </x:c>
      <x:c r="U9" s="21" t="str"/>
    </x:row>
    <x:row r="10" ht="39" customHeight="1">
      <x:c r="A10" s="3" t="str">
        <x:v>L02-AC</x:v>
      </x:c>
      <x:c r="B10" s="3" t="str">
        <x:v>L02</x:v>
      </x:c>
      <x:c r="C10" s="3" t="str">
        <x:v>AC</x:v>
      </x:c>
      <x:c r="D10" s="3" t="str">
        <x:v>연결 책임명확성</x:v>
      </x:c>
      <x:c r="E10" s="3" t="str">
        <x:v>관리조건 후보</x:v>
      </x:c>
      <x:c r="F10" s="3" t="str">
        <x:v>우리 조직에서는 요구사항관리와 리스크평가 사이의 해당 연결을 조정할 책임 역할 또는 부서가 명확하다.</x:v>
      </x:c>
      <x:c r="G10" s="3" t="str">
        <x:v>우리 조직에서는 요구사항 목록이 리스크평가의 범위·기준에 입력될 때, 그 연결의 검토·승인·변경에 대한 책임자(또는 부서)가 정해져 있다.</x:v>
      </x:c>
      <x:c r="H10" s="3" t="str">
        <x:v>E1</x:v>
      </x:c>
      <x:c r="I10" s="3" t="str">
        <x:v>A11</x:v>
      </x:c>
      <x:c r="J10" s="3" t="str">
        <x:v>A49·A50; S07 출판사 초록</x:v>
      </x:c>
      <x:c r="K10" s="3" t="str">
        <x:v>검토·승인·변경의 세 질문을 단일 조정 책임으로 바꿈. Accountability와 동일 개념으로 인용하지 않음.</x:v>
      </x:c>
      <x:c r="L10" s="21"/>
      <x:c r="M10" s="21"/>
      <x:c r="N10" s="21"/>
      <x:c r="O10" s="21"/>
      <x:c r="P10" s="21"/>
      <x:c r="Q10" s="21"/>
      <x:c r="R10" s="23" t="str">
        <x:f>IF(COUNT(L10:Q10)=6,COUNTIF(L10:Q10,"&gt;=3")/6,"")</x:f>
      </x:c>
      <x:c r="S10" s="3" t="str">
        <x:f>IF(COUNT(L10:Q10)=6,"6인 평가 완료","평가 미완료")</x:f>
        <x:v>평가 미완료</x:v>
      </x:c>
      <x:c r="T10" s="21" t="str">
        <x:v>미검토</x:v>
      </x:c>
      <x:c r="U10" s="21" t="str"/>
    </x:row>
    <x:row r="11" ht="39" customHeight="1">
      <x:c r="A11" s="6" t="str">
        <x:v>L02-TM</x:v>
      </x:c>
      <x:c r="B11" s="6" t="str">
        <x:v>L02</x:v>
      </x:c>
      <x:c r="C11" s="6" t="str">
        <x:v>TM</x:v>
      </x:c>
      <x:c r="D11" s="6" t="str">
        <x:v>변경전파 적시성</x:v>
      </x:c>
      <x:c r="E11" s="6" t="str">
        <x:v>연결 품질 후보</x:v>
      </x:c>
      <x:c r="F11" s="6" t="str">
        <x:v>우리 조직에서는 요구사항 목록이 바뀌면, 그 변경 정보가 리스크평가 업무에 필요한 시점 이전에 전달·처리된다.</x:v>
      </x:c>
      <x:c r="G11" s="6" t="str">
        <x:v>우리 조직에서는 요구사항 목록이 바뀌면, 리스크평가의 범위·기준에 정해진 기간 안에 반영된다.</x:v>
      </x:c>
      <x:c r="H11" s="6" t="str">
        <x:v>E1</x:v>
      </x:c>
      <x:c r="I11" s="6" t="str">
        <x:v>A11</x:v>
      </x:c>
      <x:c r="J11" s="6" t="str">
        <x:v>S04 PDF pp.4–5 저널 pp.214–215; A27·A28·A41</x:v>
      </x:c>
      <x:c r="K11" s="6" t="str">
        <x:v>과업에 필요한 시점을 기준으로 함. 변경이 없었던 조직은 별도 코드로 처리.</x:v>
      </x:c>
      <x:c r="L11" s="21"/>
      <x:c r="M11" s="21"/>
      <x:c r="N11" s="21"/>
      <x:c r="O11" s="21"/>
      <x:c r="P11" s="21"/>
      <x:c r="Q11" s="21"/>
      <x:c r="R11" s="24" t="str">
        <x:f>IF(COUNT(L11:Q11)=6,COUNTIF(L11:Q11,"&gt;=3")/6,"")</x:f>
      </x:c>
      <x:c r="S11" s="6" t="str">
        <x:f>IF(COUNT(L11:Q11)=6,"6인 평가 완료","평가 미완료")</x:f>
        <x:v>평가 미완료</x:v>
      </x:c>
      <x:c r="T11" s="21" t="str">
        <x:v>미검토</x:v>
      </x:c>
      <x:c r="U11" s="21" t="str"/>
    </x:row>
    <x:row r="12" ht="39" customHeight="1">
      <x:c r="A12" s="3" t="str">
        <x:v>L03-CO</x:v>
      </x:c>
      <x:c r="B12" s="3" t="str">
        <x:v>L03</x:v>
      </x:c>
      <x:c r="C12" s="3" t="str">
        <x:v>CO</x:v>
      </x:c>
      <x:c r="D12" s="3" t="str">
        <x:v>정합성</x:v>
      </x:c>
      <x:c r="E12" s="3" t="str">
        <x:v>연결 품질 후보</x:v>
      </x:c>
      <x:c r="F12" s="3" t="str">
        <x:v>우리 조직에서는 BIA 결과가 리스크평가 대상 선정의 근거가 될 때, 두 내용 중 서로 대응해야 하는 기준·수치·전제에 모순이 없다.</x:v>
      </x:c>
      <x:c r="G12" s="3" t="str">
        <x:v>우리 조직에서는 BIA 결과가 리스크평가 대상 선정의 근거가 될 때, 두 내용이 서로 모순 없이 일치한다.</x:v>
      </x:c>
      <x:c r="H12" s="3" t="str">
        <x:v>E1</x:v>
      </x:c>
      <x:c r="I12" s="3" t="str">
        <x:v>A12</x:v>
      </x:c>
      <x:c r="J12" s="3" t="str">
        <x:v>A12·A14·A16; S06</x:v>
      </x:c>
      <x:c r="K12" s="3" t="str">
        <x:v>서로 다른 프로세스 산출물의 내용 전체가 동일해야 한다는 오해를 줄임.</x:v>
      </x:c>
      <x:c r="L12" s="21"/>
      <x:c r="M12" s="21"/>
      <x:c r="N12" s="21"/>
      <x:c r="O12" s="21"/>
      <x:c r="P12" s="21"/>
      <x:c r="Q12" s="21"/>
      <x:c r="R12" s="23" t="str">
        <x:f>IF(COUNT(L12:Q12)=6,COUNTIF(L12:Q12,"&gt;=3")/6,"")</x:f>
      </x:c>
      <x:c r="S12" s="3" t="str">
        <x:f>IF(COUNT(L12:Q12)=6,"6인 평가 완료","평가 미완료")</x:f>
        <x:v>평가 미완료</x:v>
      </x:c>
      <x:c r="T12" s="21" t="str">
        <x:v>미검토</x:v>
      </x:c>
      <x:c r="U12" s="21" t="str"/>
    </x:row>
    <x:row r="13" ht="39" customHeight="1">
      <x:c r="A13" s="6" t="str">
        <x:v>L03-TR</x:v>
      </x:c>
      <x:c r="B13" s="6" t="str">
        <x:v>L03</x:v>
      </x:c>
      <x:c r="C13" s="6" t="str">
        <x:v>TR</x:v>
      </x:c>
      <x:c r="D13" s="6" t="str">
        <x:v>근거 추적가능성</x:v>
      </x:c>
      <x:c r="E13" s="6" t="str">
        <x:v>연결 품질 후보</x:v>
      </x:c>
      <x:c r="F13" s="6" t="str">
        <x:v>우리 조직에서는 리스크평가 대상에서 근거가 된 BIA 결과를 식별자나 문서 위치를 통해 찾아갈 수 있다.</x:v>
      </x:c>
      <x:c r="G13" s="6" t="str">
        <x:v>우리 조직에서는 리스크평가 대상에서 근거가 된 BIA 결과를 거슬러 찾아 확인할 수 있다.</x:v>
      </x:c>
      <x:c r="H13" s="6" t="str">
        <x:v>E1</x:v>
      </x:c>
      <x:c r="I13" s="6" t="str">
        <x:v>A12</x:v>
      </x:c>
      <x:c r="J13" s="6" t="str">
        <x:v>S01 §5.1 PDF p.4 저널 pp.94–101</x:v>
      </x:c>
      <x:c r="K13" s="6" t="str">
        <x:v>후방 근거 추적 문항. 전방 추적은 측정 범위에 포함됐다고 주장하지 않음.</x:v>
      </x:c>
      <x:c r="L13" s="21"/>
      <x:c r="M13" s="21"/>
      <x:c r="N13" s="21"/>
      <x:c r="O13" s="21"/>
      <x:c r="P13" s="21"/>
      <x:c r="Q13" s="21"/>
      <x:c r="R13" s="24" t="str">
        <x:f>IF(COUNT(L13:Q13)=6,COUNTIF(L13:Q13,"&gt;=3")/6,"")</x:f>
      </x:c>
      <x:c r="S13" s="6" t="str">
        <x:f>IF(COUNT(L13:Q13)=6,"6인 평가 완료","평가 미완료")</x:f>
        <x:v>평가 미완료</x:v>
      </x:c>
      <x:c r="T13" s="21" t="str">
        <x:v>미검토</x:v>
      </x:c>
      <x:c r="U13" s="21" t="str"/>
    </x:row>
    <x:row r="14" ht="39" customHeight="1">
      <x:c r="A14" s="3" t="str">
        <x:v>L03-EV</x:v>
      </x:c>
      <x:c r="B14" s="3" t="str">
        <x:v>L03</x:v>
      </x:c>
      <x:c r="C14" s="3" t="str">
        <x:v>EV</x:v>
      </x:c>
      <x:c r="D14" s="3" t="str">
        <x:v>연결 증빙가능성</x:v>
      </x:c>
      <x:c r="E14" s="3" t="str">
        <x:v>연결 품질 후보</x:v>
      </x:c>
      <x:c r="F14" s="3" t="str">
        <x:v>우리 조직에서는 BIA 결과가 리스크평가 대상 선정의 근거가 될 때, 실제 사용 또는 평가 사실을 보여 주는 기록이 남아 있다.</x:v>
      </x:c>
      <x:c r="G14" s="3" t="str">
        <x:v>우리 조직에서는 BIA 결과가 리스크평가 대상 선정의 근거가 될 때, 그 사실을 입증하는 문서·기록·승인(검토 기록, 회의록, 버전 이력 등)이 남아 있다.</x:v>
      </x:c>
      <x:c r="H14" s="3" t="str">
        <x:v>E1</x:v>
      </x:c>
      <x:c r="I14" s="3" t="str">
        <x:v>A12</x:v>
      </x:c>
      <x:c r="J14" s="3" t="str">
        <x:v>B17 PDF p.6; A13·A37</x:v>
      </x:c>
      <x:c r="K14" s="3" t="str">
        <x:v>문서 보유가 아니라 연결의 실제 수행 사실을 증명하는 기록을 묻도록 수정.</x:v>
      </x:c>
      <x:c r="L14" s="21"/>
      <x:c r="M14" s="21"/>
      <x:c r="N14" s="21"/>
      <x:c r="O14" s="21"/>
      <x:c r="P14" s="21"/>
      <x:c r="Q14" s="21"/>
      <x:c r="R14" s="23" t="str">
        <x:f>IF(COUNT(L14:Q14)=6,COUNTIF(L14:Q14,"&gt;=3")/6,"")</x:f>
      </x:c>
      <x:c r="S14" s="3" t="str">
        <x:f>IF(COUNT(L14:Q14)=6,"6인 평가 완료","평가 미완료")</x:f>
        <x:v>평가 미완료</x:v>
      </x:c>
      <x:c r="T14" s="21" t="str">
        <x:v>미검토</x:v>
      </x:c>
      <x:c r="U14" s="21" t="str"/>
    </x:row>
    <x:row r="15" ht="39" customHeight="1">
      <x:c r="A15" s="6" t="str">
        <x:v>L03-AC</x:v>
      </x:c>
      <x:c r="B15" s="6" t="str">
        <x:v>L03</x:v>
      </x:c>
      <x:c r="C15" s="6" t="str">
        <x:v>AC</x:v>
      </x:c>
      <x:c r="D15" s="6" t="str">
        <x:v>연결 책임명확성</x:v>
      </x:c>
      <x:c r="E15" s="6" t="str">
        <x:v>관리조건 후보</x:v>
      </x:c>
      <x:c r="F15" s="6" t="str">
        <x:v>우리 조직에서는 BIA·중요도 분석와 리스크평가 사이의 해당 연결을 조정할 책임 역할 또는 부서가 명확하다.</x:v>
      </x:c>
      <x:c r="G15" s="6" t="str">
        <x:v>우리 조직에서는 BIA 결과가 리스크평가 대상 선정의 근거가 될 때, 그 연결의 검토·승인·변경에 대한 책임자(또는 부서)가 정해져 있다.</x:v>
      </x:c>
      <x:c r="H15" s="6" t="str">
        <x:v>E1</x:v>
      </x:c>
      <x:c r="I15" s="6" t="str">
        <x:v>A12</x:v>
      </x:c>
      <x:c r="J15" s="6" t="str">
        <x:v>A49·A50; S07 출판사 초록</x:v>
      </x:c>
      <x:c r="K15" s="6" t="str">
        <x:v>검토·승인·변경의 세 질문을 단일 조정 책임으로 바꿈. Accountability와 동일 개념으로 인용하지 않음.</x:v>
      </x:c>
      <x:c r="L15" s="21"/>
      <x:c r="M15" s="21"/>
      <x:c r="N15" s="21"/>
      <x:c r="O15" s="21"/>
      <x:c r="P15" s="21"/>
      <x:c r="Q15" s="21"/>
      <x:c r="R15" s="24" t="str">
        <x:f>IF(COUNT(L15:Q15)=6,COUNTIF(L15:Q15,"&gt;=3")/6,"")</x:f>
      </x:c>
      <x:c r="S15" s="6" t="str">
        <x:f>IF(COUNT(L15:Q15)=6,"6인 평가 완료","평가 미완료")</x:f>
        <x:v>평가 미완료</x:v>
      </x:c>
      <x:c r="T15" s="21" t="str">
        <x:v>미검토</x:v>
      </x:c>
      <x:c r="U15" s="21" t="str"/>
    </x:row>
    <x:row r="16" ht="39" customHeight="1">
      <x:c r="A16" s="3" t="str">
        <x:v>L03-TM</x:v>
      </x:c>
      <x:c r="B16" s="3" t="str">
        <x:v>L03</x:v>
      </x:c>
      <x:c r="C16" s="3" t="str">
        <x:v>TM</x:v>
      </x:c>
      <x:c r="D16" s="3" t="str">
        <x:v>변경전파 적시성</x:v>
      </x:c>
      <x:c r="E16" s="3" t="str">
        <x:v>연결 품질 후보</x:v>
      </x:c>
      <x:c r="F16" s="3" t="str">
        <x:v>우리 조직에서는 BIA 결과가 바뀌면, 그 변경 정보가 리스크평가 업무에 필요한 시점 이전에 전달·처리된다.</x:v>
      </x:c>
      <x:c r="G16" s="3" t="str">
        <x:v>우리 조직에서는 BIA 결과가 바뀌면, 리스크평가 대상에 정해진 기간 안에 반영된다.</x:v>
      </x:c>
      <x:c r="H16" s="3" t="str">
        <x:v>E1</x:v>
      </x:c>
      <x:c r="I16" s="3" t="str">
        <x:v>A12</x:v>
      </x:c>
      <x:c r="J16" s="3" t="str">
        <x:v>S04 PDF pp.4–5 저널 pp.214–215; A27·A28·A41</x:v>
      </x:c>
      <x:c r="K16" s="3" t="str">
        <x:v>과업에 필요한 시점을 기준으로 함. 변경이 없었던 조직은 별도 코드로 처리.</x:v>
      </x:c>
      <x:c r="L16" s="21"/>
      <x:c r="M16" s="21"/>
      <x:c r="N16" s="21"/>
      <x:c r="O16" s="21"/>
      <x:c r="P16" s="21"/>
      <x:c r="Q16" s="21"/>
      <x:c r="R16" s="23" t="str">
        <x:f>IF(COUNT(L16:Q16)=6,COUNTIF(L16:Q16,"&gt;=3")/6,"")</x:f>
      </x:c>
      <x:c r="S16" s="3" t="str">
        <x:f>IF(COUNT(L16:Q16)=6,"6인 평가 완료","평가 미완료")</x:f>
        <x:v>평가 미완료</x:v>
      </x:c>
      <x:c r="T16" s="21" t="str">
        <x:v>미검토</x:v>
      </x:c>
      <x:c r="U16" s="21" t="str"/>
    </x:row>
    <x:row r="17" ht="39" customHeight="1">
      <x:c r="A17" s="6" t="str">
        <x:v>L04-CO</x:v>
      </x:c>
      <x:c r="B17" s="6" t="str">
        <x:v>L04</x:v>
      </x:c>
      <x:c r="C17" s="6" t="str">
        <x:v>CO</x:v>
      </x:c>
      <x:c r="D17" s="6" t="str">
        <x:v>정합성</x:v>
      </x:c>
      <x:c r="E17" s="6" t="str">
        <x:v>연결 품질 후보</x:v>
      </x:c>
      <x:c r="F17" s="6" t="str">
        <x:v>우리 조직에서는 요구사항 목록이 내부감사 점검 기준에 입력될 때, 두 내용 중 서로 대응해야 하는 기준·수치·전제에 모순이 없다.</x:v>
      </x:c>
      <x:c r="G17" s="6" t="str">
        <x:v>우리 조직에서는 요구사항 목록이 내부감사 점검 기준에 입력될 때, 두 내용이 서로 모순 없이 일치한다.</x:v>
      </x:c>
      <x:c r="H17" s="6" t="str">
        <x:v>E1</x:v>
      </x:c>
      <x:c r="I17" s="6" t="str">
        <x:v>A11</x:v>
      </x:c>
      <x:c r="J17" s="6" t="str">
        <x:v>A12·A14·A16; S06</x:v>
      </x:c>
      <x:c r="K17" s="6" t="str">
        <x:v>서로 다른 프로세스 산출물의 내용 전체가 동일해야 한다는 오해를 줄임.</x:v>
      </x:c>
      <x:c r="L17" s="21"/>
      <x:c r="M17" s="21"/>
      <x:c r="N17" s="21"/>
      <x:c r="O17" s="21"/>
      <x:c r="P17" s="21"/>
      <x:c r="Q17" s="21"/>
      <x:c r="R17" s="24" t="str">
        <x:f>IF(COUNT(L17:Q17)=6,COUNTIF(L17:Q17,"&gt;=3")/6,"")</x:f>
      </x:c>
      <x:c r="S17" s="6" t="str">
        <x:f>IF(COUNT(L17:Q17)=6,"6인 평가 완료","평가 미완료")</x:f>
        <x:v>평가 미완료</x:v>
      </x:c>
      <x:c r="T17" s="21" t="str">
        <x:v>미검토</x:v>
      </x:c>
      <x:c r="U17" s="21" t="str"/>
    </x:row>
    <x:row r="18" ht="39" customHeight="1">
      <x:c r="A18" s="3" t="str">
        <x:v>L04-TR</x:v>
      </x:c>
      <x:c r="B18" s="3" t="str">
        <x:v>L04</x:v>
      </x:c>
      <x:c r="C18" s="3" t="str">
        <x:v>TR</x:v>
      </x:c>
      <x:c r="D18" s="3" t="str">
        <x:v>근거 추적가능성</x:v>
      </x:c>
      <x:c r="E18" s="3" t="str">
        <x:v>연결 품질 후보</x:v>
      </x:c>
      <x:c r="F18" s="3" t="str">
        <x:v>우리 조직에서는 내부감사 점검 기준에서 근거가 된 요구사항 목록을 식별자나 문서 위치를 통해 찾아갈 수 있다.</x:v>
      </x:c>
      <x:c r="G18" s="3" t="str">
        <x:v>우리 조직에서는 내부감사 점검 기준에서 근거가 된 요구사항 목록을 거슬러 찾아 확인할 수 있다.</x:v>
      </x:c>
      <x:c r="H18" s="3" t="str">
        <x:v>E1</x:v>
      </x:c>
      <x:c r="I18" s="3" t="str">
        <x:v>A11</x:v>
      </x:c>
      <x:c r="J18" s="3" t="str">
        <x:v>S01 §5.1 PDF p.4 저널 pp.94–101</x:v>
      </x:c>
      <x:c r="K18" s="3" t="str">
        <x:v>후방 근거 추적 문항. 전방 추적은 측정 범위에 포함됐다고 주장하지 않음.</x:v>
      </x:c>
      <x:c r="L18" s="21"/>
      <x:c r="M18" s="21"/>
      <x:c r="N18" s="21"/>
      <x:c r="O18" s="21"/>
      <x:c r="P18" s="21"/>
      <x:c r="Q18" s="21"/>
      <x:c r="R18" s="23" t="str">
        <x:f>IF(COUNT(L18:Q18)=6,COUNTIF(L18:Q18,"&gt;=3")/6,"")</x:f>
      </x:c>
      <x:c r="S18" s="3" t="str">
        <x:f>IF(COUNT(L18:Q18)=6,"6인 평가 완료","평가 미완료")</x:f>
        <x:v>평가 미완료</x:v>
      </x:c>
      <x:c r="T18" s="21" t="str">
        <x:v>미검토</x:v>
      </x:c>
      <x:c r="U18" s="21" t="str"/>
    </x:row>
    <x:row r="19" ht="39" customHeight="1">
      <x:c r="A19" s="6" t="str">
        <x:v>L04-EV</x:v>
      </x:c>
      <x:c r="B19" s="6" t="str">
        <x:v>L04</x:v>
      </x:c>
      <x:c r="C19" s="6" t="str">
        <x:v>EV</x:v>
      </x:c>
      <x:c r="D19" s="6" t="str">
        <x:v>연결 증빙가능성</x:v>
      </x:c>
      <x:c r="E19" s="6" t="str">
        <x:v>연결 품질 후보</x:v>
      </x:c>
      <x:c r="F19" s="6" t="str">
        <x:v>우리 조직에서는 요구사항 목록이 내부감사 점검 기준에 입력될 때, 실제 사용 또는 평가 사실을 보여 주는 기록이 남아 있다.</x:v>
      </x:c>
      <x:c r="G19" s="6" t="str">
        <x:v>우리 조직에서는 요구사항 목록이 내부감사 점검 기준에 입력될 때, 그 사실을 입증하는 문서·기록·승인(검토 기록, 회의록, 버전 이력 등)이 남아 있다.</x:v>
      </x:c>
      <x:c r="H19" s="6" t="str">
        <x:v>E1</x:v>
      </x:c>
      <x:c r="I19" s="6" t="str">
        <x:v>A11</x:v>
      </x:c>
      <x:c r="J19" s="6" t="str">
        <x:v>B17 PDF p.6; A13·A37</x:v>
      </x:c>
      <x:c r="K19" s="6" t="str">
        <x:v>문서 보유가 아니라 연결의 실제 수행 사실을 증명하는 기록을 묻도록 수정.</x:v>
      </x:c>
      <x:c r="L19" s="21"/>
      <x:c r="M19" s="21"/>
      <x:c r="N19" s="21"/>
      <x:c r="O19" s="21"/>
      <x:c r="P19" s="21"/>
      <x:c r="Q19" s="21"/>
      <x:c r="R19" s="24" t="str">
        <x:f>IF(COUNT(L19:Q19)=6,COUNTIF(L19:Q19,"&gt;=3")/6,"")</x:f>
      </x:c>
      <x:c r="S19" s="6" t="str">
        <x:f>IF(COUNT(L19:Q19)=6,"6인 평가 완료","평가 미완료")</x:f>
        <x:v>평가 미완료</x:v>
      </x:c>
      <x:c r="T19" s="21" t="str">
        <x:v>미검토</x:v>
      </x:c>
      <x:c r="U19" s="21" t="str"/>
    </x:row>
    <x:row r="20" ht="39" customHeight="1">
      <x:c r="A20" s="3" t="str">
        <x:v>L04-AC</x:v>
      </x:c>
      <x:c r="B20" s="3" t="str">
        <x:v>L04</x:v>
      </x:c>
      <x:c r="C20" s="3" t="str">
        <x:v>AC</x:v>
      </x:c>
      <x:c r="D20" s="3" t="str">
        <x:v>연결 책임명확성</x:v>
      </x:c>
      <x:c r="E20" s="3" t="str">
        <x:v>관리조건 후보</x:v>
      </x:c>
      <x:c r="F20" s="3" t="str">
        <x:v>우리 조직에서는 요구사항관리와 내부감사 사이의 해당 연결을 조정할 책임 역할 또는 부서가 명확하다.</x:v>
      </x:c>
      <x:c r="G20" s="3" t="str">
        <x:v>우리 조직에서는 요구사항 목록이 내부감사 점검 기준에 입력될 때, 그 연결의 검토·승인·변경에 대한 책임자(또는 부서)가 정해져 있다.</x:v>
      </x:c>
      <x:c r="H20" s="3" t="str">
        <x:v>E1</x:v>
      </x:c>
      <x:c r="I20" s="3" t="str">
        <x:v>A11</x:v>
      </x:c>
      <x:c r="J20" s="3" t="str">
        <x:v>A49·A50; S07 출판사 초록</x:v>
      </x:c>
      <x:c r="K20" s="3" t="str">
        <x:v>검토·승인·변경의 세 질문을 단일 조정 책임으로 바꿈. Accountability와 동일 개념으로 인용하지 않음.</x:v>
      </x:c>
      <x:c r="L20" s="21"/>
      <x:c r="M20" s="21"/>
      <x:c r="N20" s="21"/>
      <x:c r="O20" s="21"/>
      <x:c r="P20" s="21"/>
      <x:c r="Q20" s="21"/>
      <x:c r="R20" s="23" t="str">
        <x:f>IF(COUNT(L20:Q20)=6,COUNTIF(L20:Q20,"&gt;=3")/6,"")</x:f>
      </x:c>
      <x:c r="S20" s="3" t="str">
        <x:f>IF(COUNT(L20:Q20)=6,"6인 평가 완료","평가 미완료")</x:f>
        <x:v>평가 미완료</x:v>
      </x:c>
      <x:c r="T20" s="21" t="str">
        <x:v>미검토</x:v>
      </x:c>
      <x:c r="U20" s="21" t="str"/>
    </x:row>
    <x:row r="21" ht="39" customHeight="1">
      <x:c r="A21" s="6" t="str">
        <x:v>L04-TM</x:v>
      </x:c>
      <x:c r="B21" s="6" t="str">
        <x:v>L04</x:v>
      </x:c>
      <x:c r="C21" s="6" t="str">
        <x:v>TM</x:v>
      </x:c>
      <x:c r="D21" s="6" t="str">
        <x:v>변경전파 적시성</x:v>
      </x:c>
      <x:c r="E21" s="6" t="str">
        <x:v>연결 품질 후보</x:v>
      </x:c>
      <x:c r="F21" s="6" t="str">
        <x:v>우리 조직에서는 요구사항 목록이 바뀌면, 그 변경 정보가 내부감사 업무에 필요한 시점 이전에 전달·처리된다.</x:v>
      </x:c>
      <x:c r="G21" s="6" t="str">
        <x:v>우리 조직에서는 요구사항 목록이 바뀌면, 내부감사 점검 기준에 정해진 기간 안에 반영된다.</x:v>
      </x:c>
      <x:c r="H21" s="6" t="str">
        <x:v>E1</x:v>
      </x:c>
      <x:c r="I21" s="6" t="str">
        <x:v>A11</x:v>
      </x:c>
      <x:c r="J21" s="6" t="str">
        <x:v>S04 PDF pp.4–5 저널 pp.214–215; A27·A28·A41</x:v>
      </x:c>
      <x:c r="K21" s="6" t="str">
        <x:v>과업에 필요한 시점을 기준으로 함. 변경이 없었던 조직은 별도 코드로 처리.</x:v>
      </x:c>
      <x:c r="L21" s="21"/>
      <x:c r="M21" s="21"/>
      <x:c r="N21" s="21"/>
      <x:c r="O21" s="21"/>
      <x:c r="P21" s="21"/>
      <x:c r="Q21" s="21"/>
      <x:c r="R21" s="24" t="str">
        <x:f>IF(COUNT(L21:Q21)=6,COUNTIF(L21:Q21,"&gt;=3")/6,"")</x:f>
      </x:c>
      <x:c r="S21" s="6" t="str">
        <x:f>IF(COUNT(L21:Q21)=6,"6인 평가 완료","평가 미완료")</x:f>
        <x:v>평가 미완료</x:v>
      </x:c>
      <x:c r="T21" s="21" t="str">
        <x:v>미검토</x:v>
      </x:c>
      <x:c r="U21" s="21" t="str"/>
    </x:row>
    <x:row r="22" ht="39" customHeight="1">
      <x:c r="A22" s="3" t="str">
        <x:v>L05-CO</x:v>
      </x:c>
      <x:c r="B22" s="3" t="str">
        <x:v>L05</x:v>
      </x:c>
      <x:c r="C22" s="3" t="str">
        <x:v>CO</x:v>
      </x:c>
      <x:c r="D22" s="3" t="str">
        <x:v>정합성</x:v>
      </x:c>
      <x:c r="E22" s="3" t="str">
        <x:v>연결 품질 후보</x:v>
      </x:c>
      <x:c r="F22" s="3" t="str">
        <x:v>우리 조직에서는 BC 요구사항이 공급업체 선정·계약 조건에 입력될 때, 두 내용 중 서로 대응해야 하는 기준·수치·전제에 모순이 없다.</x:v>
      </x:c>
      <x:c r="G22" s="3" t="str">
        <x:v>우리 조직에서는 BC 요구사항이 공급업체 선정·계약 조건에 입력될 때, 두 내용이 서로 모순 없이 일치한다.</x:v>
      </x:c>
      <x:c r="H22" s="3" t="str">
        <x:v>E1</x:v>
      </x:c>
      <x:c r="I22" s="3" t="str">
        <x:v>A11</x:v>
      </x:c>
      <x:c r="J22" s="3" t="str">
        <x:v>A12·A14·A16; S06</x:v>
      </x:c>
      <x:c r="K22" s="3" t="str">
        <x:v>서로 다른 프로세스 산출물의 내용 전체가 동일해야 한다는 오해를 줄임.</x:v>
      </x:c>
      <x:c r="L22" s="21"/>
      <x:c r="M22" s="21"/>
      <x:c r="N22" s="21"/>
      <x:c r="O22" s="21"/>
      <x:c r="P22" s="21"/>
      <x:c r="Q22" s="21"/>
      <x:c r="R22" s="23" t="str">
        <x:f>IF(COUNT(L22:Q22)=6,COUNTIF(L22:Q22,"&gt;=3")/6,"")</x:f>
      </x:c>
      <x:c r="S22" s="3" t="str">
        <x:f>IF(COUNT(L22:Q22)=6,"6인 평가 완료","평가 미완료")</x:f>
        <x:v>평가 미완료</x:v>
      </x:c>
      <x:c r="T22" s="21" t="str">
        <x:v>미검토</x:v>
      </x:c>
      <x:c r="U22" s="21" t="str"/>
    </x:row>
    <x:row r="23" ht="39" customHeight="1">
      <x:c r="A23" s="6" t="str">
        <x:v>L05-TR</x:v>
      </x:c>
      <x:c r="B23" s="6" t="str">
        <x:v>L05</x:v>
      </x:c>
      <x:c r="C23" s="6" t="str">
        <x:v>TR</x:v>
      </x:c>
      <x:c r="D23" s="6" t="str">
        <x:v>근거 추적가능성</x:v>
      </x:c>
      <x:c r="E23" s="6" t="str">
        <x:v>연결 품질 후보</x:v>
      </x:c>
      <x:c r="F23" s="6" t="str">
        <x:v>우리 조직에서는 공급업체 선정·계약 조건에서 근거가 된 BC 요구사항을 식별자나 문서 위치를 통해 찾아갈 수 있다.</x:v>
      </x:c>
      <x:c r="G23" s="6" t="str">
        <x:v>우리 조직에서는 공급업체 선정·계약 조건에서 근거가 된 BC 요구사항을 거슬러 찾아 확인할 수 있다.</x:v>
      </x:c>
      <x:c r="H23" s="6" t="str">
        <x:v>E1</x:v>
      </x:c>
      <x:c r="I23" s="6" t="str">
        <x:v>A11</x:v>
      </x:c>
      <x:c r="J23" s="6" t="str">
        <x:v>S01 §5.1 PDF p.4 저널 pp.94–101</x:v>
      </x:c>
      <x:c r="K23" s="6" t="str">
        <x:v>후방 근거 추적 문항. 전방 추적은 측정 범위에 포함됐다고 주장하지 않음.</x:v>
      </x:c>
      <x:c r="L23" s="21"/>
      <x:c r="M23" s="21"/>
      <x:c r="N23" s="21"/>
      <x:c r="O23" s="21"/>
      <x:c r="P23" s="21"/>
      <x:c r="Q23" s="21"/>
      <x:c r="R23" s="24" t="str">
        <x:f>IF(COUNT(L23:Q23)=6,COUNTIF(L23:Q23,"&gt;=3")/6,"")</x:f>
      </x:c>
      <x:c r="S23" s="6" t="str">
        <x:f>IF(COUNT(L23:Q23)=6,"6인 평가 완료","평가 미완료")</x:f>
        <x:v>평가 미완료</x:v>
      </x:c>
      <x:c r="T23" s="21" t="str">
        <x:v>미검토</x:v>
      </x:c>
      <x:c r="U23" s="21" t="str"/>
    </x:row>
    <x:row r="24" ht="39" customHeight="1">
      <x:c r="A24" s="3" t="str">
        <x:v>L05-EV</x:v>
      </x:c>
      <x:c r="B24" s="3" t="str">
        <x:v>L05</x:v>
      </x:c>
      <x:c r="C24" s="3" t="str">
        <x:v>EV</x:v>
      </x:c>
      <x:c r="D24" s="3" t="str">
        <x:v>연결 증빙가능성</x:v>
      </x:c>
      <x:c r="E24" s="3" t="str">
        <x:v>연결 품질 후보</x:v>
      </x:c>
      <x:c r="F24" s="3" t="str">
        <x:v>우리 조직에서는 BC 요구사항이 공급업체 선정·계약 조건에 입력될 때, 실제 사용 또는 평가 사실을 보여 주는 기록이 남아 있다.</x:v>
      </x:c>
      <x:c r="G24" s="3" t="str">
        <x:v>우리 조직에서는 BC 요구사항이 공급업체 선정·계약 조건에 입력될 때, 그 사실을 입증하는 문서·기록·승인(검토 기록, 회의록, 버전 이력 등)이 남아 있다.</x:v>
      </x:c>
      <x:c r="H24" s="3" t="str">
        <x:v>E1</x:v>
      </x:c>
      <x:c r="I24" s="3" t="str">
        <x:v>A11</x:v>
      </x:c>
      <x:c r="J24" s="3" t="str">
        <x:v>B17 PDF p.6; A13·A37</x:v>
      </x:c>
      <x:c r="K24" s="3" t="str">
        <x:v>문서 보유가 아니라 연결의 실제 수행 사실을 증명하는 기록을 묻도록 수정.</x:v>
      </x:c>
      <x:c r="L24" s="21"/>
      <x:c r="M24" s="21"/>
      <x:c r="N24" s="21"/>
      <x:c r="O24" s="21"/>
      <x:c r="P24" s="21"/>
      <x:c r="Q24" s="21"/>
      <x:c r="R24" s="23" t="str">
        <x:f>IF(COUNT(L24:Q24)=6,COUNTIF(L24:Q24,"&gt;=3")/6,"")</x:f>
      </x:c>
      <x:c r="S24" s="3" t="str">
        <x:f>IF(COUNT(L24:Q24)=6,"6인 평가 완료","평가 미완료")</x:f>
        <x:v>평가 미완료</x:v>
      </x:c>
      <x:c r="T24" s="21" t="str">
        <x:v>미검토</x:v>
      </x:c>
      <x:c r="U24" s="21" t="str"/>
    </x:row>
    <x:row r="25" ht="39" customHeight="1">
      <x:c r="A25" s="6" t="str">
        <x:v>L05-AC</x:v>
      </x:c>
      <x:c r="B25" s="6" t="str">
        <x:v>L05</x:v>
      </x:c>
      <x:c r="C25" s="6" t="str">
        <x:v>AC</x:v>
      </x:c>
      <x:c r="D25" s="6" t="str">
        <x:v>연결 책임명확성</x:v>
      </x:c>
      <x:c r="E25" s="6" t="str">
        <x:v>관리조건 후보</x:v>
      </x:c>
      <x:c r="F25" s="6" t="str">
        <x:v>우리 조직에서는 요구사항관리와 공급망관리 사이의 해당 연결을 조정할 책임 역할 또는 부서가 명확하다.</x:v>
      </x:c>
      <x:c r="G25" s="6" t="str">
        <x:v>우리 조직에서는 BC 요구사항이 공급업체 선정·계약 조건에 입력될 때, 그 연결의 검토·승인·변경에 대한 책임자(또는 부서)가 정해져 있다.</x:v>
      </x:c>
      <x:c r="H25" s="6" t="str">
        <x:v>E1</x:v>
      </x:c>
      <x:c r="I25" s="6" t="str">
        <x:v>A11</x:v>
      </x:c>
      <x:c r="J25" s="6" t="str">
        <x:v>A49·A50; S07 출판사 초록</x:v>
      </x:c>
      <x:c r="K25" s="6" t="str">
        <x:v>검토·승인·변경의 세 질문을 단일 조정 책임으로 바꿈. Accountability와 동일 개념으로 인용하지 않음.</x:v>
      </x:c>
      <x:c r="L25" s="21"/>
      <x:c r="M25" s="21"/>
      <x:c r="N25" s="21"/>
      <x:c r="O25" s="21"/>
      <x:c r="P25" s="21"/>
      <x:c r="Q25" s="21"/>
      <x:c r="R25" s="24" t="str">
        <x:f>IF(COUNT(L25:Q25)=6,COUNTIF(L25:Q25,"&gt;=3")/6,"")</x:f>
      </x:c>
      <x:c r="S25" s="6" t="str">
        <x:f>IF(COUNT(L25:Q25)=6,"6인 평가 완료","평가 미완료")</x:f>
        <x:v>평가 미완료</x:v>
      </x:c>
      <x:c r="T25" s="21" t="str">
        <x:v>미검토</x:v>
      </x:c>
      <x:c r="U25" s="21" t="str"/>
    </x:row>
    <x:row r="26" ht="39" customHeight="1">
      <x:c r="A26" s="3" t="str">
        <x:v>L05-TM</x:v>
      </x:c>
      <x:c r="B26" s="3" t="str">
        <x:v>L05</x:v>
      </x:c>
      <x:c r="C26" s="3" t="str">
        <x:v>TM</x:v>
      </x:c>
      <x:c r="D26" s="3" t="str">
        <x:v>변경전파 적시성</x:v>
      </x:c>
      <x:c r="E26" s="3" t="str">
        <x:v>연결 품질 후보</x:v>
      </x:c>
      <x:c r="F26" s="3" t="str">
        <x:v>우리 조직에서는 BC 요구사항이 바뀌면, 그 변경 정보가 공급망관리 업무에 필요한 시점 이전에 전달·처리된다.</x:v>
      </x:c>
      <x:c r="G26" s="3" t="str">
        <x:v>우리 조직에서는 BC 요구사항이 바뀌면, 공급업체 선정·계약 조건에 정해진 기간 안에 반영된다.</x:v>
      </x:c>
      <x:c r="H26" s="3" t="str">
        <x:v>E1</x:v>
      </x:c>
      <x:c r="I26" s="3" t="str">
        <x:v>A11</x:v>
      </x:c>
      <x:c r="J26" s="3" t="str">
        <x:v>S04 PDF pp.4–5 저널 pp.214–215; A27·A28·A41</x:v>
      </x:c>
      <x:c r="K26" s="3" t="str">
        <x:v>과업에 필요한 시점을 기준으로 함. 변경이 없었던 조직은 별도 코드로 처리.</x:v>
      </x:c>
      <x:c r="L26" s="21"/>
      <x:c r="M26" s="21"/>
      <x:c r="N26" s="21"/>
      <x:c r="O26" s="21"/>
      <x:c r="P26" s="21"/>
      <x:c r="Q26" s="21"/>
      <x:c r="R26" s="23" t="str">
        <x:f>IF(COUNT(L26:Q26)=6,COUNTIF(L26:Q26,"&gt;=3")/6,"")</x:f>
      </x:c>
      <x:c r="S26" s="3" t="str">
        <x:f>IF(COUNT(L26:Q26)=6,"6인 평가 완료","평가 미완료")</x:f>
        <x:v>평가 미완료</x:v>
      </x:c>
      <x:c r="T26" s="21" t="str">
        <x:v>미검토</x:v>
      </x:c>
      <x:c r="U26" s="21" t="str"/>
    </x:row>
    <x:row r="27" ht="39" customHeight="1">
      <x:c r="A27" s="6" t="str">
        <x:v>L06-CO</x:v>
      </x:c>
      <x:c r="B27" s="6" t="str">
        <x:v>L06</x:v>
      </x:c>
      <x:c r="C27" s="6" t="str">
        <x:v>CO</x:v>
      </x:c>
      <x:c r="D27" s="6" t="str">
        <x:v>정합성</x:v>
      </x:c>
      <x:c r="E27" s="6" t="str">
        <x:v>연결 품질 후보</x:v>
      </x:c>
      <x:c r="F27" s="6" t="str">
        <x:v>우리 조직에서는 BIA에서 도출·승인된 업무연속성 요구사항가 전략·솔루션 선정의 근거가 될 때, 두 내용 중 서로 대응해야 하는 기준·수치·전제에 모순이 없다.</x:v>
      </x:c>
      <x:c r="G27" s="6" t="str">
        <x:v>우리 조직에서는 승인된 BIA 결과가 전략·솔루션 선정의 근거가 될 때, 두 내용이 서로 모순 없이 일치한다.</x:v>
      </x:c>
      <x:c r="H27" s="6" t="str">
        <x:v>E1</x:v>
      </x:c>
      <x:c r="I27" s="6" t="str">
        <x:v>A14</x:v>
      </x:c>
      <x:c r="J27" s="6" t="str">
        <x:v>A12·A14·A16; S06</x:v>
      </x:c>
      <x:c r="K27" s="6" t="str">
        <x:v>서로 다른 프로세스 산출물의 내용 전체가 동일해야 한다는 오해를 줄임.</x:v>
      </x:c>
      <x:c r="L27" s="21"/>
      <x:c r="M27" s="21"/>
      <x:c r="N27" s="21"/>
      <x:c r="O27" s="21"/>
      <x:c r="P27" s="21"/>
      <x:c r="Q27" s="21"/>
      <x:c r="R27" s="24" t="str">
        <x:f>IF(COUNT(L27:Q27)=6,COUNTIF(L27:Q27,"&gt;=3")/6,"")</x:f>
      </x:c>
      <x:c r="S27" s="6" t="str">
        <x:f>IF(COUNT(L27:Q27)=6,"6인 평가 완료","평가 미완료")</x:f>
        <x:v>평가 미완료</x:v>
      </x:c>
      <x:c r="T27" s="21" t="str">
        <x:v>미검토</x:v>
      </x:c>
      <x:c r="U27" s="21" t="str"/>
    </x:row>
    <x:row r="28" ht="39" customHeight="1">
      <x:c r="A28" s="3" t="str">
        <x:v>L06-TR</x:v>
      </x:c>
      <x:c r="B28" s="3" t="str">
        <x:v>L06</x:v>
      </x:c>
      <x:c r="C28" s="3" t="str">
        <x:v>TR</x:v>
      </x:c>
      <x:c r="D28" s="3" t="str">
        <x:v>근거 추적가능성</x:v>
      </x:c>
      <x:c r="E28" s="3" t="str">
        <x:v>연결 품질 후보</x:v>
      </x:c>
      <x:c r="F28" s="3" t="str">
        <x:v>우리 조직에서는 전략·솔루션 선정 결과에서 근거가 된 BIA에서 도출·승인된 업무연속성 요구사항를 식별자나 문서 위치를 통해 찾아갈 수 있다.</x:v>
      </x:c>
      <x:c r="G28" s="3" t="str">
        <x:v>우리 조직에서는 전략·솔루션 선정 결과에서 근거가 된 승인된 BIA 결과를 거슬러 찾아 확인할 수 있다.</x:v>
      </x:c>
      <x:c r="H28" s="3" t="str">
        <x:v>E1</x:v>
      </x:c>
      <x:c r="I28" s="3" t="str">
        <x:v>A14</x:v>
      </x:c>
      <x:c r="J28" s="3" t="str">
        <x:v>S01 §5.1 PDF p.4 저널 pp.94–101</x:v>
      </x:c>
      <x:c r="K28" s="3" t="str">
        <x:v>후방 근거 추적 문항. 전방 추적은 측정 범위에 포함됐다고 주장하지 않음.</x:v>
      </x:c>
      <x:c r="L28" s="21"/>
      <x:c r="M28" s="21"/>
      <x:c r="N28" s="21"/>
      <x:c r="O28" s="21"/>
      <x:c r="P28" s="21"/>
      <x:c r="Q28" s="21"/>
      <x:c r="R28" s="23" t="str">
        <x:f>IF(COUNT(L28:Q28)=6,COUNTIF(L28:Q28,"&gt;=3")/6,"")</x:f>
      </x:c>
      <x:c r="S28" s="3" t="str">
        <x:f>IF(COUNT(L28:Q28)=6,"6인 평가 완료","평가 미완료")</x:f>
        <x:v>평가 미완료</x:v>
      </x:c>
      <x:c r="T28" s="21" t="str">
        <x:v>미검토</x:v>
      </x:c>
      <x:c r="U28" s="21" t="str"/>
    </x:row>
    <x:row r="29" ht="39" customHeight="1">
      <x:c r="A29" s="6" t="str">
        <x:v>L06-EV</x:v>
      </x:c>
      <x:c r="B29" s="6" t="str">
        <x:v>L06</x:v>
      </x:c>
      <x:c r="C29" s="6" t="str">
        <x:v>EV</x:v>
      </x:c>
      <x:c r="D29" s="6" t="str">
        <x:v>연결 증빙가능성</x:v>
      </x:c>
      <x:c r="E29" s="6" t="str">
        <x:v>연결 품질 후보</x:v>
      </x:c>
      <x:c r="F29" s="6" t="str">
        <x:v>우리 조직에서는 BIA에서 도출·승인된 업무연속성 요구사항가 전략·솔루션 선정의 근거가 될 때, 실제 사용 또는 평가 사실을 보여 주는 기록이 남아 있다.</x:v>
      </x:c>
      <x:c r="G29" s="6" t="str">
        <x:v>우리 조직에서는 승인된 BIA 결과가 전략·솔루션 선정의 근거가 될 때, 그 사실을 입증하는 문서·기록·승인(검토 기록, 회의록, 버전 이력 등)이 남아 있다.</x:v>
      </x:c>
      <x:c r="H29" s="6" t="str">
        <x:v>E1</x:v>
      </x:c>
      <x:c r="I29" s="6" t="str">
        <x:v>A14</x:v>
      </x:c>
      <x:c r="J29" s="6" t="str">
        <x:v>B17 PDF p.6; A13·A37</x:v>
      </x:c>
      <x:c r="K29" s="6" t="str">
        <x:v>문서 보유가 아니라 연결의 실제 수행 사실을 증명하는 기록을 묻도록 수정.</x:v>
      </x:c>
      <x:c r="L29" s="21"/>
      <x:c r="M29" s="21"/>
      <x:c r="N29" s="21"/>
      <x:c r="O29" s="21"/>
      <x:c r="P29" s="21"/>
      <x:c r="Q29" s="21"/>
      <x:c r="R29" s="24" t="str">
        <x:f>IF(COUNT(L29:Q29)=6,COUNTIF(L29:Q29,"&gt;=3")/6,"")</x:f>
      </x:c>
      <x:c r="S29" s="6" t="str">
        <x:f>IF(COUNT(L29:Q29)=6,"6인 평가 완료","평가 미완료")</x:f>
        <x:v>평가 미완료</x:v>
      </x:c>
      <x:c r="T29" s="21" t="str">
        <x:v>미검토</x:v>
      </x:c>
      <x:c r="U29" s="21" t="str"/>
    </x:row>
    <x:row r="30" ht="39" customHeight="1">
      <x:c r="A30" s="3" t="str">
        <x:v>L06-AC</x:v>
      </x:c>
      <x:c r="B30" s="3" t="str">
        <x:v>L06</x:v>
      </x:c>
      <x:c r="C30" s="3" t="str">
        <x:v>AC</x:v>
      </x:c>
      <x:c r="D30" s="3" t="str">
        <x:v>연결 책임명확성</x:v>
      </x:c>
      <x:c r="E30" s="3" t="str">
        <x:v>관리조건 후보</x:v>
      </x:c>
      <x:c r="F30" s="3" t="str">
        <x:v>우리 조직에서는 BIA·중요도 분석와 BC 전략·솔루션 결정·선정 사이의 해당 연결을 조정할 책임 역할 또는 부서가 명확하다.</x:v>
      </x:c>
      <x:c r="G30" s="3" t="str">
        <x:v>우리 조직에서는 승인된 BIA 결과가 전략·솔루션 선정의 근거가 될 때, 그 연결의 검토·승인·변경에 대한 책임자(또는 부서)가 정해져 있다.</x:v>
      </x:c>
      <x:c r="H30" s="3" t="str">
        <x:v>E1</x:v>
      </x:c>
      <x:c r="I30" s="3" t="str">
        <x:v>A14</x:v>
      </x:c>
      <x:c r="J30" s="3" t="str">
        <x:v>A49·A50; S07 출판사 초록</x:v>
      </x:c>
      <x:c r="K30" s="3" t="str">
        <x:v>검토·승인·변경의 세 질문을 단일 조정 책임으로 바꿈. Accountability와 동일 개념으로 인용하지 않음.</x:v>
      </x:c>
      <x:c r="L30" s="21"/>
      <x:c r="M30" s="21"/>
      <x:c r="N30" s="21"/>
      <x:c r="O30" s="21"/>
      <x:c r="P30" s="21"/>
      <x:c r="Q30" s="21"/>
      <x:c r="R30" s="23" t="str">
        <x:f>IF(COUNT(L30:Q30)=6,COUNTIF(L30:Q30,"&gt;=3")/6,"")</x:f>
      </x:c>
      <x:c r="S30" s="3" t="str">
        <x:f>IF(COUNT(L30:Q30)=6,"6인 평가 완료","평가 미완료")</x:f>
        <x:v>평가 미완료</x:v>
      </x:c>
      <x:c r="T30" s="21" t="str">
        <x:v>미검토</x:v>
      </x:c>
      <x:c r="U30" s="21" t="str"/>
    </x:row>
    <x:row r="31" ht="39" customHeight="1">
      <x:c r="A31" s="6" t="str">
        <x:v>L06-TM</x:v>
      </x:c>
      <x:c r="B31" s="6" t="str">
        <x:v>L06</x:v>
      </x:c>
      <x:c r="C31" s="6" t="str">
        <x:v>TM</x:v>
      </x:c>
      <x:c r="D31" s="6" t="str">
        <x:v>변경전파 적시성</x:v>
      </x:c>
      <x:c r="E31" s="6" t="str">
        <x:v>연결 품질 후보</x:v>
      </x:c>
      <x:c r="F31" s="6" t="str">
        <x:v>우리 조직에서는 BIA에서 도출·승인된 업무연속성 요구사항가 바뀌면, 그 변경 정보가 BC 전략·솔루션 결정·선정 업무에 필요한 시점 이전에 전달·처리된다.</x:v>
      </x:c>
      <x:c r="G31" s="6" t="str">
        <x:v>우리 조직에서는 승인된 BIA 결과가 바뀌면, 전략·솔루션 선정 결과에 정해진 기간 안에 반영된다.</x:v>
      </x:c>
      <x:c r="H31" s="6" t="str">
        <x:v>E1</x:v>
      </x:c>
      <x:c r="I31" s="6" t="str">
        <x:v>A14</x:v>
      </x:c>
      <x:c r="J31" s="6" t="str">
        <x:v>S04 PDF pp.4–5 저널 pp.214–215; A27·A28·A41</x:v>
      </x:c>
      <x:c r="K31" s="6" t="str">
        <x:v>과업에 필요한 시점을 기준으로 함. 변경이 없었던 조직은 별도 코드로 처리.</x:v>
      </x:c>
      <x:c r="L31" s="21"/>
      <x:c r="M31" s="21"/>
      <x:c r="N31" s="21"/>
      <x:c r="O31" s="21"/>
      <x:c r="P31" s="21"/>
      <x:c r="Q31" s="21"/>
      <x:c r="R31" s="24" t="str">
        <x:f>IF(COUNT(L31:Q31)=6,COUNTIF(L31:Q31,"&gt;=3")/6,"")</x:f>
      </x:c>
      <x:c r="S31" s="6" t="str">
        <x:f>IF(COUNT(L31:Q31)=6,"6인 평가 완료","평가 미완료")</x:f>
        <x:v>평가 미완료</x:v>
      </x:c>
      <x:c r="T31" s="21" t="str">
        <x:v>미검토</x:v>
      </x:c>
      <x:c r="U31" s="21" t="str"/>
    </x:row>
    <x:row r="32" ht="39" customHeight="1">
      <x:c r="A32" s="3" t="str">
        <x:v>L07-CO</x:v>
      </x:c>
      <x:c r="B32" s="3" t="str">
        <x:v>L07</x:v>
      </x:c>
      <x:c r="C32" s="3" t="str">
        <x:v>CO</x:v>
      </x:c>
      <x:c r="D32" s="3" t="str">
        <x:v>정합성</x:v>
      </x:c>
      <x:c r="E32" s="3" t="str">
        <x:v>연결 품질 후보</x:v>
      </x:c>
      <x:c r="F32" s="3" t="str">
        <x:v>우리 조직에서는 선정된 전략·솔루션이 솔루션 이행 계획으로 구체화되어 실행될 때, 두 내용 중 서로 대응해야 하는 기준·수치·전제에 모순이 없다.</x:v>
      </x:c>
      <x:c r="G32" s="3" t="str">
        <x:v>우리 조직에서는 선정된 전략·솔루션이 솔루션 이행 계획으로 구체화되어 실행될 때, 두 내용이 서로 모순 없이 일치한다.</x:v>
      </x:c>
      <x:c r="H32" s="3" t="str">
        <x:v>E1</x:v>
      </x:c>
      <x:c r="I32" s="3" t="str">
        <x:v>A15</x:v>
      </x:c>
      <x:c r="J32" s="3" t="str">
        <x:v>A12·A14·A16; S06</x:v>
      </x:c>
      <x:c r="K32" s="3" t="str">
        <x:v>서로 다른 프로세스 산출물의 내용 전체가 동일해야 한다는 오해를 줄임.</x:v>
      </x:c>
      <x:c r="L32" s="21"/>
      <x:c r="M32" s="21"/>
      <x:c r="N32" s="21"/>
      <x:c r="O32" s="21"/>
      <x:c r="P32" s="21"/>
      <x:c r="Q32" s="21"/>
      <x:c r="R32" s="23" t="str">
        <x:f>IF(COUNT(L32:Q32)=6,COUNTIF(L32:Q32,"&gt;=3")/6,"")</x:f>
      </x:c>
      <x:c r="S32" s="3" t="str">
        <x:f>IF(COUNT(L32:Q32)=6,"6인 평가 완료","평가 미완료")</x:f>
        <x:v>평가 미완료</x:v>
      </x:c>
      <x:c r="T32" s="21" t="str">
        <x:v>미검토</x:v>
      </x:c>
      <x:c r="U32" s="21" t="str"/>
    </x:row>
    <x:row r="33" ht="39" customHeight="1">
      <x:c r="A33" s="6" t="str">
        <x:v>L07-TR</x:v>
      </x:c>
      <x:c r="B33" s="6" t="str">
        <x:v>L07</x:v>
      </x:c>
      <x:c r="C33" s="6" t="str">
        <x:v>TR</x:v>
      </x:c>
      <x:c r="D33" s="6" t="str">
        <x:v>근거 추적가능성</x:v>
      </x:c>
      <x:c r="E33" s="6" t="str">
        <x:v>연결 품질 후보</x:v>
      </x:c>
      <x:c r="F33" s="6" t="str">
        <x:v>우리 조직에서는 솔루션 이행 계획에서 근거가 된 선정된 전략·솔루션을 식별자나 문서 위치를 통해 찾아갈 수 있다.</x:v>
      </x:c>
      <x:c r="G33" s="6" t="str">
        <x:v>우리 조직에서는 솔루션 이행 계획에서 근거가 된 선정된 전략·솔루션을 거슬러 찾아 확인할 수 있다.</x:v>
      </x:c>
      <x:c r="H33" s="6" t="str">
        <x:v>E1</x:v>
      </x:c>
      <x:c r="I33" s="6" t="str">
        <x:v>A15</x:v>
      </x:c>
      <x:c r="J33" s="6" t="str">
        <x:v>S01 §5.1 PDF p.4 저널 pp.94–101</x:v>
      </x:c>
      <x:c r="K33" s="6" t="str">
        <x:v>후방 근거 추적 문항. 전방 추적은 측정 범위에 포함됐다고 주장하지 않음.</x:v>
      </x:c>
      <x:c r="L33" s="21"/>
      <x:c r="M33" s="21"/>
      <x:c r="N33" s="21"/>
      <x:c r="O33" s="21"/>
      <x:c r="P33" s="21"/>
      <x:c r="Q33" s="21"/>
      <x:c r="R33" s="24" t="str">
        <x:f>IF(COUNT(L33:Q33)=6,COUNTIF(L33:Q33,"&gt;=3")/6,"")</x:f>
      </x:c>
      <x:c r="S33" s="6" t="str">
        <x:f>IF(COUNT(L33:Q33)=6,"6인 평가 완료","평가 미완료")</x:f>
        <x:v>평가 미완료</x:v>
      </x:c>
      <x:c r="T33" s="21" t="str">
        <x:v>미검토</x:v>
      </x:c>
      <x:c r="U33" s="21" t="str"/>
    </x:row>
    <x:row r="34" ht="39" customHeight="1">
      <x:c r="A34" s="3" t="str">
        <x:v>L07-EV</x:v>
      </x:c>
      <x:c r="B34" s="3" t="str">
        <x:v>L07</x:v>
      </x:c>
      <x:c r="C34" s="3" t="str">
        <x:v>EV</x:v>
      </x:c>
      <x:c r="D34" s="3" t="str">
        <x:v>연결 증빙가능성</x:v>
      </x:c>
      <x:c r="E34" s="3" t="str">
        <x:v>연결 품질 후보</x:v>
      </x:c>
      <x:c r="F34" s="3" t="str">
        <x:v>우리 조직에서는 선정된 전략·솔루션이 솔루션 이행 계획으로 구체화되어 실행될 때, 실제 사용 또는 평가 사실을 보여 주는 기록이 남아 있다.</x:v>
      </x:c>
      <x:c r="G34" s="3" t="str">
        <x:v>우리 조직에서는 선정된 전략·솔루션이 솔루션 이행 계획으로 구체화되어 실행될 때, 그 사실을 입증하는 문서·기록·승인(검토 기록, 회의록, 버전 이력 등)이 남아 있다.</x:v>
      </x:c>
      <x:c r="H34" s="3" t="str">
        <x:v>E1</x:v>
      </x:c>
      <x:c r="I34" s="3" t="str">
        <x:v>A15</x:v>
      </x:c>
      <x:c r="J34" s="3" t="str">
        <x:v>B17 PDF p.6; A13·A37</x:v>
      </x:c>
      <x:c r="K34" s="3" t="str">
        <x:v>문서 보유가 아니라 연결의 실제 수행 사실을 증명하는 기록을 묻도록 수정.</x:v>
      </x:c>
      <x:c r="L34" s="21"/>
      <x:c r="M34" s="21"/>
      <x:c r="N34" s="21"/>
      <x:c r="O34" s="21"/>
      <x:c r="P34" s="21"/>
      <x:c r="Q34" s="21"/>
      <x:c r="R34" s="23" t="str">
        <x:f>IF(COUNT(L34:Q34)=6,COUNTIF(L34:Q34,"&gt;=3")/6,"")</x:f>
      </x:c>
      <x:c r="S34" s="3" t="str">
        <x:f>IF(COUNT(L34:Q34)=6,"6인 평가 완료","평가 미완료")</x:f>
        <x:v>평가 미완료</x:v>
      </x:c>
      <x:c r="T34" s="21" t="str">
        <x:v>미검토</x:v>
      </x:c>
      <x:c r="U34" s="21" t="str"/>
    </x:row>
    <x:row r="35" ht="39" customHeight="1">
      <x:c r="A35" s="6" t="str">
        <x:v>L07-AC</x:v>
      </x:c>
      <x:c r="B35" s="6" t="str">
        <x:v>L07</x:v>
      </x:c>
      <x:c r="C35" s="6" t="str">
        <x:v>AC</x:v>
      </x:c>
      <x:c r="D35" s="6" t="str">
        <x:v>연결 책임명확성</x:v>
      </x:c>
      <x:c r="E35" s="6" t="str">
        <x:v>관리조건 후보</x:v>
      </x:c>
      <x:c r="F35" s="6" t="str">
        <x:v>우리 조직에서는 BC 전략·솔루션 결정·선정와 솔루션 이행관리 사이의 해당 연결을 조정할 책임 역할 또는 부서가 명확하다.</x:v>
      </x:c>
      <x:c r="G35" s="6" t="str">
        <x:v>우리 조직에서는 선정된 전략·솔루션이 솔루션 이행 계획으로 구체화되어 실행될 때, 그 연결의 검토·승인·변경에 대한 책임자(또는 부서)가 정해져 있다.</x:v>
      </x:c>
      <x:c r="H35" s="6" t="str">
        <x:v>E1</x:v>
      </x:c>
      <x:c r="I35" s="6" t="str">
        <x:v>A15</x:v>
      </x:c>
      <x:c r="J35" s="6" t="str">
        <x:v>A49·A50; S07 출판사 초록</x:v>
      </x:c>
      <x:c r="K35" s="6" t="str">
        <x:v>검토·승인·변경의 세 질문을 단일 조정 책임으로 바꿈. Accountability와 동일 개념으로 인용하지 않음.</x:v>
      </x:c>
      <x:c r="L35" s="21"/>
      <x:c r="M35" s="21"/>
      <x:c r="N35" s="21"/>
      <x:c r="O35" s="21"/>
      <x:c r="P35" s="21"/>
      <x:c r="Q35" s="21"/>
      <x:c r="R35" s="24" t="str">
        <x:f>IF(COUNT(L35:Q35)=6,COUNTIF(L35:Q35,"&gt;=3")/6,"")</x:f>
      </x:c>
      <x:c r="S35" s="6" t="str">
        <x:f>IF(COUNT(L35:Q35)=6,"6인 평가 완료","평가 미완료")</x:f>
        <x:v>평가 미완료</x:v>
      </x:c>
      <x:c r="T35" s="21" t="str">
        <x:v>미검토</x:v>
      </x:c>
      <x:c r="U35" s="21" t="str"/>
    </x:row>
    <x:row r="36" ht="39" customHeight="1">
      <x:c r="A36" s="3" t="str">
        <x:v>L07-TM</x:v>
      </x:c>
      <x:c r="B36" s="3" t="str">
        <x:v>L07</x:v>
      </x:c>
      <x:c r="C36" s="3" t="str">
        <x:v>TM</x:v>
      </x:c>
      <x:c r="D36" s="3" t="str">
        <x:v>변경전파 적시성</x:v>
      </x:c>
      <x:c r="E36" s="3" t="str">
        <x:v>연결 품질 후보</x:v>
      </x:c>
      <x:c r="F36" s="3" t="str">
        <x:v>우리 조직에서는 선정된 전략·솔루션이 바뀌면, 그 변경 정보가 솔루션 이행관리 업무에 필요한 시점 이전에 전달·처리된다.</x:v>
      </x:c>
      <x:c r="G36" s="3" t="str">
        <x:v>우리 조직에서는 선정된 전략·솔루션이 바뀌면, 솔루션 이행 계획에 정해진 기간 안에 반영된다.</x:v>
      </x:c>
      <x:c r="H36" s="3" t="str">
        <x:v>E1</x:v>
      </x:c>
      <x:c r="I36" s="3" t="str">
        <x:v>A15</x:v>
      </x:c>
      <x:c r="J36" s="3" t="str">
        <x:v>S04 PDF pp.4–5 저널 pp.214–215; A27·A28·A41</x:v>
      </x:c>
      <x:c r="K36" s="3" t="str">
        <x:v>과업에 필요한 시점을 기준으로 함. 변경이 없었던 조직은 별도 코드로 처리.</x:v>
      </x:c>
      <x:c r="L36" s="21"/>
      <x:c r="M36" s="21"/>
      <x:c r="N36" s="21"/>
      <x:c r="O36" s="21"/>
      <x:c r="P36" s="21"/>
      <x:c r="Q36" s="21"/>
      <x:c r="R36" s="23" t="str">
        <x:f>IF(COUNT(L36:Q36)=6,COUNTIF(L36:Q36,"&gt;=3")/6,"")</x:f>
      </x:c>
      <x:c r="S36" s="3" t="str">
        <x:f>IF(COUNT(L36:Q36)=6,"6인 평가 완료","평가 미완료")</x:f>
        <x:v>평가 미완료</x:v>
      </x:c>
      <x:c r="T36" s="21" t="str">
        <x:v>미검토</x:v>
      </x:c>
      <x:c r="U36" s="21" t="str"/>
    </x:row>
    <x:row r="37" ht="39" customHeight="1">
      <x:c r="A37" s="6" t="str">
        <x:v>L08-CO</x:v>
      </x:c>
      <x:c r="B37" s="6" t="str">
        <x:v>L08</x:v>
      </x:c>
      <x:c r="C37" s="6" t="str">
        <x:v>CO</x:v>
      </x:c>
      <x:c r="D37" s="6" t="str">
        <x:v>정합성</x:v>
      </x:c>
      <x:c r="E37" s="6" t="str">
        <x:v>연결 품질 후보</x:v>
      </x:c>
      <x:c r="F37" s="6" t="str">
        <x:v>우리 조직에서는 선정된 전략·솔루션에서 BC 계획·절차가 도출될 때, 두 내용 중 서로 대응해야 하는 기준·수치·전제에 모순이 없다.</x:v>
      </x:c>
      <x:c r="G37" s="6" t="str">
        <x:v>우리 조직에서는 선정된 전략·솔루션에서 BC 계획·절차가 도출될 때, 두 내용이 서로 모순 없이 일치한다.</x:v>
      </x:c>
      <x:c r="H37" s="6" t="str">
        <x:v>E1</x:v>
      </x:c>
      <x:c r="I37" s="6" t="str">
        <x:v>A16</x:v>
      </x:c>
      <x:c r="J37" s="6" t="str">
        <x:v>A12·A14·A16; S06</x:v>
      </x:c>
      <x:c r="K37" s="6" t="str">
        <x:v>서로 다른 프로세스 산출물의 내용 전체가 동일해야 한다는 오해를 줄임.</x:v>
      </x:c>
      <x:c r="L37" s="21"/>
      <x:c r="M37" s="21"/>
      <x:c r="N37" s="21"/>
      <x:c r="O37" s="21"/>
      <x:c r="P37" s="21"/>
      <x:c r="Q37" s="21"/>
      <x:c r="R37" s="24" t="str">
        <x:f>IF(COUNT(L37:Q37)=6,COUNTIF(L37:Q37,"&gt;=3")/6,"")</x:f>
      </x:c>
      <x:c r="S37" s="6" t="str">
        <x:f>IF(COUNT(L37:Q37)=6,"6인 평가 완료","평가 미완료")</x:f>
        <x:v>평가 미완료</x:v>
      </x:c>
      <x:c r="T37" s="21" t="str">
        <x:v>미검토</x:v>
      </x:c>
      <x:c r="U37" s="21" t="str"/>
    </x:row>
    <x:row r="38" ht="39" customHeight="1">
      <x:c r="A38" s="3" t="str">
        <x:v>L08-TR</x:v>
      </x:c>
      <x:c r="B38" s="3" t="str">
        <x:v>L08</x:v>
      </x:c>
      <x:c r="C38" s="3" t="str">
        <x:v>TR</x:v>
      </x:c>
      <x:c r="D38" s="3" t="str">
        <x:v>근거 추적가능성</x:v>
      </x:c>
      <x:c r="E38" s="3" t="str">
        <x:v>연결 품질 후보</x:v>
      </x:c>
      <x:c r="F38" s="3" t="str">
        <x:v>우리 조직에서는 BC 계획·절차에서 근거가 된 선정된 전략·솔루션을 식별자나 문서 위치를 통해 찾아갈 수 있다.</x:v>
      </x:c>
      <x:c r="G38" s="3" t="str">
        <x:v>우리 조직에서는 BC 계획·절차에서 근거가 된 선정된 전략·솔루션을 거슬러 찾아 확인할 수 있다.</x:v>
      </x:c>
      <x:c r="H38" s="3" t="str">
        <x:v>E1</x:v>
      </x:c>
      <x:c r="I38" s="3" t="str">
        <x:v>A16</x:v>
      </x:c>
      <x:c r="J38" s="3" t="str">
        <x:v>S01 §5.1 PDF p.4 저널 pp.94–101</x:v>
      </x:c>
      <x:c r="K38" s="3" t="str">
        <x:v>후방 근거 추적 문항. 전방 추적은 측정 범위에 포함됐다고 주장하지 않음.</x:v>
      </x:c>
      <x:c r="L38" s="21"/>
      <x:c r="M38" s="21"/>
      <x:c r="N38" s="21"/>
      <x:c r="O38" s="21"/>
      <x:c r="P38" s="21"/>
      <x:c r="Q38" s="21"/>
      <x:c r="R38" s="23" t="str">
        <x:f>IF(COUNT(L38:Q38)=6,COUNTIF(L38:Q38,"&gt;=3")/6,"")</x:f>
      </x:c>
      <x:c r="S38" s="3" t="str">
        <x:f>IF(COUNT(L38:Q38)=6,"6인 평가 완료","평가 미완료")</x:f>
        <x:v>평가 미완료</x:v>
      </x:c>
      <x:c r="T38" s="21" t="str">
        <x:v>미검토</x:v>
      </x:c>
      <x:c r="U38" s="21" t="str"/>
    </x:row>
    <x:row r="39" ht="39" customHeight="1">
      <x:c r="A39" s="6" t="str">
        <x:v>L08-EV</x:v>
      </x:c>
      <x:c r="B39" s="6" t="str">
        <x:v>L08</x:v>
      </x:c>
      <x:c r="C39" s="6" t="str">
        <x:v>EV</x:v>
      </x:c>
      <x:c r="D39" s="6" t="str">
        <x:v>연결 증빙가능성</x:v>
      </x:c>
      <x:c r="E39" s="6" t="str">
        <x:v>연결 품질 후보</x:v>
      </x:c>
      <x:c r="F39" s="6" t="str">
        <x:v>우리 조직에서는 선정된 전략·솔루션에서 BC 계획·절차가 도출될 때, 실제 사용 또는 평가 사실을 보여 주는 기록이 남아 있다.</x:v>
      </x:c>
      <x:c r="G39" s="6" t="str">
        <x:v>우리 조직에서는 선정된 전략·솔루션에서 BC 계획·절차가 도출될 때, 그 사실을 입증하는 문서·기록·승인(검토 기록, 회의록, 버전 이력 등)이 남아 있다.</x:v>
      </x:c>
      <x:c r="H39" s="6" t="str">
        <x:v>E1</x:v>
      </x:c>
      <x:c r="I39" s="6" t="str">
        <x:v>A16</x:v>
      </x:c>
      <x:c r="J39" s="6" t="str">
        <x:v>B17 PDF p.6; A13·A37</x:v>
      </x:c>
      <x:c r="K39" s="6" t="str">
        <x:v>문서 보유가 아니라 연결의 실제 수행 사실을 증명하는 기록을 묻도록 수정.</x:v>
      </x:c>
      <x:c r="L39" s="21"/>
      <x:c r="M39" s="21"/>
      <x:c r="N39" s="21"/>
      <x:c r="O39" s="21"/>
      <x:c r="P39" s="21"/>
      <x:c r="Q39" s="21"/>
      <x:c r="R39" s="24" t="str">
        <x:f>IF(COUNT(L39:Q39)=6,COUNTIF(L39:Q39,"&gt;=3")/6,"")</x:f>
      </x:c>
      <x:c r="S39" s="6" t="str">
        <x:f>IF(COUNT(L39:Q39)=6,"6인 평가 완료","평가 미완료")</x:f>
        <x:v>평가 미완료</x:v>
      </x:c>
      <x:c r="T39" s="21" t="str">
        <x:v>미검토</x:v>
      </x:c>
      <x:c r="U39" s="21" t="str"/>
    </x:row>
    <x:row r="40" ht="39" customHeight="1">
      <x:c r="A40" s="3" t="str">
        <x:v>L08-AC</x:v>
      </x:c>
      <x:c r="B40" s="3" t="str">
        <x:v>L08</x:v>
      </x:c>
      <x:c r="C40" s="3" t="str">
        <x:v>AC</x:v>
      </x:c>
      <x:c r="D40" s="3" t="str">
        <x:v>연결 책임명확성</x:v>
      </x:c>
      <x:c r="E40" s="3" t="str">
        <x:v>관리조건 후보</x:v>
      </x:c>
      <x:c r="F40" s="3" t="str">
        <x:v>우리 조직에서는 BC 전략·솔루션 결정·선정와 BC 계획·절차 개발 사이의 해당 연결을 조정할 책임 역할 또는 부서가 명확하다.</x:v>
      </x:c>
      <x:c r="G40" s="3" t="str">
        <x:v>우리 조직에서는 선정된 전략·솔루션에서 BC 계획·절차가 도출될 때, 그 연결의 검토·승인·변경에 대한 책임자(또는 부서)가 정해져 있다.</x:v>
      </x:c>
      <x:c r="H40" s="3" t="str">
        <x:v>E1</x:v>
      </x:c>
      <x:c r="I40" s="3" t="str">
        <x:v>A16</x:v>
      </x:c>
      <x:c r="J40" s="3" t="str">
        <x:v>A49·A50; S07 출판사 초록</x:v>
      </x:c>
      <x:c r="K40" s="3" t="str">
        <x:v>검토·승인·변경의 세 질문을 단일 조정 책임으로 바꿈. Accountability와 동일 개념으로 인용하지 않음.</x:v>
      </x:c>
      <x:c r="L40" s="21"/>
      <x:c r="M40" s="21"/>
      <x:c r="N40" s="21"/>
      <x:c r="O40" s="21"/>
      <x:c r="P40" s="21"/>
      <x:c r="Q40" s="21"/>
      <x:c r="R40" s="23" t="str">
        <x:f>IF(COUNT(L40:Q40)=6,COUNTIF(L40:Q40,"&gt;=3")/6,"")</x:f>
      </x:c>
      <x:c r="S40" s="3" t="str">
        <x:f>IF(COUNT(L40:Q40)=6,"6인 평가 완료","평가 미완료")</x:f>
        <x:v>평가 미완료</x:v>
      </x:c>
      <x:c r="T40" s="21" t="str">
        <x:v>미검토</x:v>
      </x:c>
      <x:c r="U40" s="21" t="str"/>
    </x:row>
    <x:row r="41" ht="39" customHeight="1">
      <x:c r="A41" s="6" t="str">
        <x:v>L08-TM</x:v>
      </x:c>
      <x:c r="B41" s="6" t="str">
        <x:v>L08</x:v>
      </x:c>
      <x:c r="C41" s="6" t="str">
        <x:v>TM</x:v>
      </x:c>
      <x:c r="D41" s="6" t="str">
        <x:v>변경전파 적시성</x:v>
      </x:c>
      <x:c r="E41" s="6" t="str">
        <x:v>연결 품질 후보</x:v>
      </x:c>
      <x:c r="F41" s="6" t="str">
        <x:v>우리 조직에서는 선정된 전략·솔루션이 바뀌면, 그 변경 정보가 BC 계획·절차 개발 업무에 필요한 시점 이전에 전달·처리된다.</x:v>
      </x:c>
      <x:c r="G41" s="6" t="str">
        <x:v>우리 조직에서는 선정된 전략·솔루션이 바뀌면, BC 계획·절차에 정해진 기간 안에 반영된다.</x:v>
      </x:c>
      <x:c r="H41" s="6" t="str">
        <x:v>E1</x:v>
      </x:c>
      <x:c r="I41" s="6" t="str">
        <x:v>A16</x:v>
      </x:c>
      <x:c r="J41" s="6" t="str">
        <x:v>S04 PDF pp.4–5 저널 pp.214–215; A27·A28·A41</x:v>
      </x:c>
      <x:c r="K41" s="6" t="str">
        <x:v>과업에 필요한 시점을 기준으로 함. 변경이 없었던 조직은 별도 코드로 처리.</x:v>
      </x:c>
      <x:c r="L41" s="21"/>
      <x:c r="M41" s="21"/>
      <x:c r="N41" s="21"/>
      <x:c r="O41" s="21"/>
      <x:c r="P41" s="21"/>
      <x:c r="Q41" s="21"/>
      <x:c r="R41" s="24" t="str">
        <x:f>IF(COUNT(L41:Q41)=6,COUNTIF(L41:Q41,"&gt;=3")/6,"")</x:f>
      </x:c>
      <x:c r="S41" s="6" t="str">
        <x:f>IF(COUNT(L41:Q41)=6,"6인 평가 완료","평가 미완료")</x:f>
        <x:v>평가 미완료</x:v>
      </x:c>
      <x:c r="T41" s="21" t="str">
        <x:v>미검토</x:v>
      </x:c>
      <x:c r="U41" s="21" t="str"/>
    </x:row>
    <x:row r="42" ht="39" customHeight="1">
      <x:c r="A42" s="3" t="str">
        <x:v>L09-CO</x:v>
      </x:c>
      <x:c r="B42" s="3" t="str">
        <x:v>L09</x:v>
      </x:c>
      <x:c r="C42" s="3" t="str">
        <x:v>CO</x:v>
      </x:c>
      <x:c r="D42" s="3" t="str">
        <x:v>정합성</x:v>
      </x:c>
      <x:c r="E42" s="3" t="str">
        <x:v>연결 품질 후보</x:v>
      </x:c>
      <x:c r="F42" s="3" t="str">
        <x:v>우리 조직에서는 리스크평가 결과(위협 시나리오)가 BC 계획·절차 개발에 입력될 때, 두 내용 중 서로 대응해야 하는 기준·수치·전제에 모순이 없다.</x:v>
      </x:c>
      <x:c r="G42" s="3" t="str">
        <x:v>우리 조직에서는 리스크평가 결과(위협 시나리오)가 BC 계획·절차 개발에 입력될 때, 두 내용이 서로 모순 없이 일치한다.</x:v>
      </x:c>
      <x:c r="H42" s="3" t="str">
        <x:v>E1</x:v>
      </x:c>
      <x:c r="I42" s="3" t="str">
        <x:v>A17</x:v>
      </x:c>
      <x:c r="J42" s="3" t="str">
        <x:v>A12·A14·A16; S06</x:v>
      </x:c>
      <x:c r="K42" s="3" t="str">
        <x:v>서로 다른 프로세스 산출물의 내용 전체가 동일해야 한다는 오해를 줄임.</x:v>
      </x:c>
      <x:c r="L42" s="21"/>
      <x:c r="M42" s="21"/>
      <x:c r="N42" s="21"/>
      <x:c r="O42" s="21"/>
      <x:c r="P42" s="21"/>
      <x:c r="Q42" s="21"/>
      <x:c r="R42" s="23" t="str">
        <x:f>IF(COUNT(L42:Q42)=6,COUNTIF(L42:Q42,"&gt;=3")/6,"")</x:f>
      </x:c>
      <x:c r="S42" s="3" t="str">
        <x:f>IF(COUNT(L42:Q42)=6,"6인 평가 완료","평가 미완료")</x:f>
        <x:v>평가 미완료</x:v>
      </x:c>
      <x:c r="T42" s="21" t="str">
        <x:v>미검토</x:v>
      </x:c>
      <x:c r="U42" s="21" t="str"/>
    </x:row>
    <x:row r="43" ht="39" customHeight="1">
      <x:c r="A43" s="6" t="str">
        <x:v>L09-TR</x:v>
      </x:c>
      <x:c r="B43" s="6" t="str">
        <x:v>L09</x:v>
      </x:c>
      <x:c r="C43" s="6" t="str">
        <x:v>TR</x:v>
      </x:c>
      <x:c r="D43" s="6" t="str">
        <x:v>근거 추적가능성</x:v>
      </x:c>
      <x:c r="E43" s="6" t="str">
        <x:v>연결 품질 후보</x:v>
      </x:c>
      <x:c r="F43" s="6" t="str">
        <x:v>우리 조직에서는 BC 계획·절차에서 근거가 된 리스크평가 결과를 식별자나 문서 위치를 통해 찾아갈 수 있다.</x:v>
      </x:c>
      <x:c r="G43" s="6" t="str">
        <x:v>우리 조직에서는 BC 계획·절차에서 근거가 된 리스크평가 결과를 거슬러 찾아 확인할 수 있다.</x:v>
      </x:c>
      <x:c r="H43" s="6" t="str">
        <x:v>E1</x:v>
      </x:c>
      <x:c r="I43" s="6" t="str">
        <x:v>A17</x:v>
      </x:c>
      <x:c r="J43" s="6" t="str">
        <x:v>S01 §5.1 PDF p.4 저널 pp.94–101</x:v>
      </x:c>
      <x:c r="K43" s="6" t="str">
        <x:v>후방 근거 추적 문항. 전방 추적은 측정 범위에 포함됐다고 주장하지 않음.</x:v>
      </x:c>
      <x:c r="L43" s="21"/>
      <x:c r="M43" s="21"/>
      <x:c r="N43" s="21"/>
      <x:c r="O43" s="21"/>
      <x:c r="P43" s="21"/>
      <x:c r="Q43" s="21"/>
      <x:c r="R43" s="24" t="str">
        <x:f>IF(COUNT(L43:Q43)=6,COUNTIF(L43:Q43,"&gt;=3")/6,"")</x:f>
      </x:c>
      <x:c r="S43" s="6" t="str">
        <x:f>IF(COUNT(L43:Q43)=6,"6인 평가 완료","평가 미완료")</x:f>
        <x:v>평가 미완료</x:v>
      </x:c>
      <x:c r="T43" s="21" t="str">
        <x:v>미검토</x:v>
      </x:c>
      <x:c r="U43" s="21" t="str"/>
    </x:row>
    <x:row r="44" ht="39" customHeight="1">
      <x:c r="A44" s="3" t="str">
        <x:v>L09-EV</x:v>
      </x:c>
      <x:c r="B44" s="3" t="str">
        <x:v>L09</x:v>
      </x:c>
      <x:c r="C44" s="3" t="str">
        <x:v>EV</x:v>
      </x:c>
      <x:c r="D44" s="3" t="str">
        <x:v>연결 증빙가능성</x:v>
      </x:c>
      <x:c r="E44" s="3" t="str">
        <x:v>연결 품질 후보</x:v>
      </x:c>
      <x:c r="F44" s="3" t="str">
        <x:v>우리 조직에서는 리스크평가 결과(위협 시나리오)가 BC 계획·절차 개발에 입력될 때, 실제 사용 또는 평가 사실을 보여 주는 기록이 남아 있다.</x:v>
      </x:c>
      <x:c r="G44" s="3" t="str">
        <x:v>우리 조직에서는 리스크평가 결과(위협 시나리오)가 BC 계획·절차 개발에 입력될 때, 그 사실을 입증하는 문서·기록·승인(검토 기록, 회의록, 버전 이력 등)이 남아 있다.</x:v>
      </x:c>
      <x:c r="H44" s="3" t="str">
        <x:v>E1</x:v>
      </x:c>
      <x:c r="I44" s="3" t="str">
        <x:v>A17</x:v>
      </x:c>
      <x:c r="J44" s="3" t="str">
        <x:v>B17 PDF p.6; A13·A37</x:v>
      </x:c>
      <x:c r="K44" s="3" t="str">
        <x:v>문서 보유가 아니라 연결의 실제 수행 사실을 증명하는 기록을 묻도록 수정.</x:v>
      </x:c>
      <x:c r="L44" s="21"/>
      <x:c r="M44" s="21"/>
      <x:c r="N44" s="21"/>
      <x:c r="O44" s="21"/>
      <x:c r="P44" s="21"/>
      <x:c r="Q44" s="21"/>
      <x:c r="R44" s="23" t="str">
        <x:f>IF(COUNT(L44:Q44)=6,COUNTIF(L44:Q44,"&gt;=3")/6,"")</x:f>
      </x:c>
      <x:c r="S44" s="3" t="str">
        <x:f>IF(COUNT(L44:Q44)=6,"6인 평가 완료","평가 미완료")</x:f>
        <x:v>평가 미완료</x:v>
      </x:c>
      <x:c r="T44" s="21" t="str">
        <x:v>미검토</x:v>
      </x:c>
      <x:c r="U44" s="21" t="str"/>
    </x:row>
    <x:row r="45" ht="39" customHeight="1">
      <x:c r="A45" s="6" t="str">
        <x:v>L09-AC</x:v>
      </x:c>
      <x:c r="B45" s="6" t="str">
        <x:v>L09</x:v>
      </x:c>
      <x:c r="C45" s="6" t="str">
        <x:v>AC</x:v>
      </x:c>
      <x:c r="D45" s="6" t="str">
        <x:v>연결 책임명확성</x:v>
      </x:c>
      <x:c r="E45" s="6" t="str">
        <x:v>관리조건 후보</x:v>
      </x:c>
      <x:c r="F45" s="6" t="str">
        <x:v>우리 조직에서는 리스크평가와 BC 계획·절차 개발 사이의 해당 연결을 조정할 책임 역할 또는 부서가 명확하다.</x:v>
      </x:c>
      <x:c r="G45" s="6" t="str">
        <x:v>우리 조직에서는 리스크평가 결과(위협 시나리오)가 BC 계획·절차 개발에 입력될 때, 그 연결의 검토·승인·변경에 대한 책임자(또는 부서)가 정해져 있다.</x:v>
      </x:c>
      <x:c r="H45" s="6" t="str">
        <x:v>E1</x:v>
      </x:c>
      <x:c r="I45" s="6" t="str">
        <x:v>A17</x:v>
      </x:c>
      <x:c r="J45" s="6" t="str">
        <x:v>A49·A50; S07 출판사 초록</x:v>
      </x:c>
      <x:c r="K45" s="6" t="str">
        <x:v>검토·승인·변경의 세 질문을 단일 조정 책임으로 바꿈. Accountability와 동일 개념으로 인용하지 않음.</x:v>
      </x:c>
      <x:c r="L45" s="21"/>
      <x:c r="M45" s="21"/>
      <x:c r="N45" s="21"/>
      <x:c r="O45" s="21"/>
      <x:c r="P45" s="21"/>
      <x:c r="Q45" s="21"/>
      <x:c r="R45" s="24" t="str">
        <x:f>IF(COUNT(L45:Q45)=6,COUNTIF(L45:Q45,"&gt;=3")/6,"")</x:f>
      </x:c>
      <x:c r="S45" s="6" t="str">
        <x:f>IF(COUNT(L45:Q45)=6,"6인 평가 완료","평가 미완료")</x:f>
        <x:v>평가 미완료</x:v>
      </x:c>
      <x:c r="T45" s="21" t="str">
        <x:v>미검토</x:v>
      </x:c>
      <x:c r="U45" s="21" t="str"/>
    </x:row>
    <x:row r="46" ht="39" customHeight="1">
      <x:c r="A46" s="3" t="str">
        <x:v>L09-TM</x:v>
      </x:c>
      <x:c r="B46" s="3" t="str">
        <x:v>L09</x:v>
      </x:c>
      <x:c r="C46" s="3" t="str">
        <x:v>TM</x:v>
      </x:c>
      <x:c r="D46" s="3" t="str">
        <x:v>변경전파 적시성</x:v>
      </x:c>
      <x:c r="E46" s="3" t="str">
        <x:v>연결 품질 후보</x:v>
      </x:c>
      <x:c r="F46" s="3" t="str">
        <x:v>우리 조직에서는 리스크평가 결과가 바뀌면, 그 변경 정보가 BC 계획·절차 개발 업무에 필요한 시점 이전에 전달·처리된다.</x:v>
      </x:c>
      <x:c r="G46" s="3" t="str">
        <x:v>우리 조직에서는 리스크평가 결과가 바뀌면, BC 계획·절차에 정해진 기간 안에 반영된다.</x:v>
      </x:c>
      <x:c r="H46" s="3" t="str">
        <x:v>E1</x:v>
      </x:c>
      <x:c r="I46" s="3" t="str">
        <x:v>A17</x:v>
      </x:c>
      <x:c r="J46" s="3" t="str">
        <x:v>S04 PDF pp.4–5 저널 pp.214–215; A27·A28·A41</x:v>
      </x:c>
      <x:c r="K46" s="3" t="str">
        <x:v>과업에 필요한 시점을 기준으로 함. 변경이 없었던 조직은 별도 코드로 처리.</x:v>
      </x:c>
      <x:c r="L46" s="21"/>
      <x:c r="M46" s="21"/>
      <x:c r="N46" s="21"/>
      <x:c r="O46" s="21"/>
      <x:c r="P46" s="21"/>
      <x:c r="Q46" s="21"/>
      <x:c r="R46" s="23" t="str">
        <x:f>IF(COUNT(L46:Q46)=6,COUNTIF(L46:Q46,"&gt;=3")/6,"")</x:f>
      </x:c>
      <x:c r="S46" s="3" t="str">
        <x:f>IF(COUNT(L46:Q46)=6,"6인 평가 완료","평가 미완료")</x:f>
        <x:v>평가 미완료</x:v>
      </x:c>
      <x:c r="T46" s="21" t="str">
        <x:v>미검토</x:v>
      </x:c>
      <x:c r="U46" s="21" t="str"/>
    </x:row>
    <x:row r="47" ht="39" customHeight="1">
      <x:c r="A47" s="6" t="str">
        <x:v>L10-CO</x:v>
      </x:c>
      <x:c r="B47" s="6" t="str">
        <x:v>L10</x:v>
      </x:c>
      <x:c r="C47" s="6" t="str">
        <x:v>CO</x:v>
      </x:c>
      <x:c r="D47" s="6" t="str">
        <x:v>정합성</x:v>
      </x:c>
      <x:c r="E47" s="6" t="str">
        <x:v>연결 품질 후보</x:v>
      </x:c>
      <x:c r="F47" s="6" t="str">
        <x:v>우리 조직에서는 솔루션 구현·운영에 필요한 자원이 자원관리에서 제공될 때, 두 내용 중 서로 대응해야 하는 기준·수치·전제에 모순이 없다.</x:v>
      </x:c>
      <x:c r="G47" s="6" t="str">
        <x:v>우리 조직에서는 솔루션 구현·운영에 필요한 자원이 자원관리에서 제공될 때, 두 내용이 서로 모순 없이 일치한다.</x:v>
      </x:c>
      <x:c r="H47" s="6" t="str">
        <x:v>E2</x:v>
      </x:c>
      <x:c r="I47" s="6" t="str">
        <x:v>A18</x:v>
      </x:c>
      <x:c r="J47" s="6" t="str">
        <x:v>A12·A14·A16; S06</x:v>
      </x:c>
      <x:c r="K47" s="6" t="str">
        <x:v>서로 다른 프로세스 산출물의 내용 전체가 동일해야 한다는 오해를 줄임.</x:v>
      </x:c>
      <x:c r="L47" s="21"/>
      <x:c r="M47" s="21"/>
      <x:c r="N47" s="21"/>
      <x:c r="O47" s="21"/>
      <x:c r="P47" s="21"/>
      <x:c r="Q47" s="21"/>
      <x:c r="R47" s="24" t="str">
        <x:f>IF(COUNT(L47:Q47)=6,COUNTIF(L47:Q47,"&gt;=3")/6,"")</x:f>
      </x:c>
      <x:c r="S47" s="6" t="str">
        <x:f>IF(COUNT(L47:Q47)=6,"6인 평가 완료","평가 미완료")</x:f>
        <x:v>평가 미완료</x:v>
      </x:c>
      <x:c r="T47" s="21" t="str">
        <x:v>미검토</x:v>
      </x:c>
      <x:c r="U47" s="21" t="str"/>
    </x:row>
    <x:row r="48" ht="39" customHeight="1">
      <x:c r="A48" s="3" t="str">
        <x:v>L10-TR</x:v>
      </x:c>
      <x:c r="B48" s="3" t="str">
        <x:v>L10</x:v>
      </x:c>
      <x:c r="C48" s="3" t="str">
        <x:v>TR</x:v>
      </x:c>
      <x:c r="D48" s="3" t="str">
        <x:v>근거 추적가능성</x:v>
      </x:c>
      <x:c r="E48" s="3" t="str">
        <x:v>연결 품질 후보</x:v>
      </x:c>
      <x:c r="F48" s="3" t="str">
        <x:v>우리 조직에서는 자원 배정 계획에서 근거가 된 솔루션의 필요 자원 요건을 식별자나 문서 위치를 통해 찾아갈 수 있다.</x:v>
      </x:c>
      <x:c r="G48" s="3" t="str">
        <x:v>우리 조직에서는 자원 배정 계획에서 근거가 된 솔루션의 필요 자원 요건을 거슬러 찾아 확인할 수 있다.</x:v>
      </x:c>
      <x:c r="H48" s="3" t="str">
        <x:v>E2</x:v>
      </x:c>
      <x:c r="I48" s="3" t="str">
        <x:v>A18</x:v>
      </x:c>
      <x:c r="J48" s="3" t="str">
        <x:v>S01 §5.1 PDF p.4 저널 pp.94–101</x:v>
      </x:c>
      <x:c r="K48" s="3" t="str">
        <x:v>후방 근거 추적 문항. 전방 추적은 측정 범위에 포함됐다고 주장하지 않음.</x:v>
      </x:c>
      <x:c r="L48" s="21"/>
      <x:c r="M48" s="21"/>
      <x:c r="N48" s="21"/>
      <x:c r="O48" s="21"/>
      <x:c r="P48" s="21"/>
      <x:c r="Q48" s="21"/>
      <x:c r="R48" s="23" t="str">
        <x:f>IF(COUNT(L48:Q48)=6,COUNTIF(L48:Q48,"&gt;=3")/6,"")</x:f>
      </x:c>
      <x:c r="S48" s="3" t="str">
        <x:f>IF(COUNT(L48:Q48)=6,"6인 평가 완료","평가 미완료")</x:f>
        <x:v>평가 미완료</x:v>
      </x:c>
      <x:c r="T48" s="21" t="str">
        <x:v>미검토</x:v>
      </x:c>
      <x:c r="U48" s="21" t="str"/>
    </x:row>
    <x:row r="49" ht="39" customHeight="1">
      <x:c r="A49" s="6" t="str">
        <x:v>L10-EV</x:v>
      </x:c>
      <x:c r="B49" s="6" t="str">
        <x:v>L10</x:v>
      </x:c>
      <x:c r="C49" s="6" t="str">
        <x:v>EV</x:v>
      </x:c>
      <x:c r="D49" s="6" t="str">
        <x:v>연결 증빙가능성</x:v>
      </x:c>
      <x:c r="E49" s="6" t="str">
        <x:v>연결 품질 후보</x:v>
      </x:c>
      <x:c r="F49" s="6" t="str">
        <x:v>우리 조직에서는 솔루션 구현·운영에 필요한 자원이 자원관리에서 제공될 때, 실제 사용 또는 평가 사실을 보여 주는 기록이 남아 있다.</x:v>
      </x:c>
      <x:c r="G49" s="6" t="str">
        <x:v>우리 조직에서는 솔루션 구현·운영에 필요한 자원이 자원관리에서 제공될 때, 그 사실을 입증하는 문서·기록·승인(검토 기록, 회의록, 버전 이력 등)이 남아 있다.</x:v>
      </x:c>
      <x:c r="H49" s="6" t="str">
        <x:v>E2</x:v>
      </x:c>
      <x:c r="I49" s="6" t="str">
        <x:v>A18</x:v>
      </x:c>
      <x:c r="J49" s="6" t="str">
        <x:v>B17 PDF p.6; A13·A37</x:v>
      </x:c>
      <x:c r="K49" s="6" t="str">
        <x:v>문서 보유가 아니라 연결의 실제 수행 사실을 증명하는 기록을 묻도록 수정.</x:v>
      </x:c>
      <x:c r="L49" s="21"/>
      <x:c r="M49" s="21"/>
      <x:c r="N49" s="21"/>
      <x:c r="O49" s="21"/>
      <x:c r="P49" s="21"/>
      <x:c r="Q49" s="21"/>
      <x:c r="R49" s="24" t="str">
        <x:f>IF(COUNT(L49:Q49)=6,COUNTIF(L49:Q49,"&gt;=3")/6,"")</x:f>
      </x:c>
      <x:c r="S49" s="6" t="str">
        <x:f>IF(COUNT(L49:Q49)=6,"6인 평가 완료","평가 미완료")</x:f>
        <x:v>평가 미완료</x:v>
      </x:c>
      <x:c r="T49" s="21" t="str">
        <x:v>미검토</x:v>
      </x:c>
      <x:c r="U49" s="21" t="str"/>
    </x:row>
    <x:row r="50" ht="39" customHeight="1">
      <x:c r="A50" s="3" t="str">
        <x:v>L10-AC</x:v>
      </x:c>
      <x:c r="B50" s="3" t="str">
        <x:v>L10</x:v>
      </x:c>
      <x:c r="C50" s="3" t="str">
        <x:v>AC</x:v>
      </x:c>
      <x:c r="D50" s="3" t="str">
        <x:v>연결 책임명확성</x:v>
      </x:c>
      <x:c r="E50" s="3" t="str">
        <x:v>관리조건 후보</x:v>
      </x:c>
      <x:c r="F50" s="3" t="str">
        <x:v>우리 조직에서는 자원관리와 솔루션 이행관리 사이의 해당 연결을 조정할 책임 역할 또는 부서가 명확하다.</x:v>
      </x:c>
      <x:c r="G50" s="3" t="str">
        <x:v>우리 조직에서는 솔루션 구현·운영에 필요한 자원이 자원관리에서 제공될 때, 그 연결의 검토·승인·변경에 대한 책임자(또는 부서)가 정해져 있다.</x:v>
      </x:c>
      <x:c r="H50" s="3" t="str">
        <x:v>E2</x:v>
      </x:c>
      <x:c r="I50" s="3" t="str">
        <x:v>A18</x:v>
      </x:c>
      <x:c r="J50" s="3" t="str">
        <x:v>A49·A50; S07 출판사 초록</x:v>
      </x:c>
      <x:c r="K50" s="3" t="str">
        <x:v>검토·승인·변경의 세 질문을 단일 조정 책임으로 바꿈. Accountability와 동일 개념으로 인용하지 않음.</x:v>
      </x:c>
      <x:c r="L50" s="21"/>
      <x:c r="M50" s="21"/>
      <x:c r="N50" s="21"/>
      <x:c r="O50" s="21"/>
      <x:c r="P50" s="21"/>
      <x:c r="Q50" s="21"/>
      <x:c r="R50" s="23" t="str">
        <x:f>IF(COUNT(L50:Q50)=6,COUNTIF(L50:Q50,"&gt;=3")/6,"")</x:f>
      </x:c>
      <x:c r="S50" s="3" t="str">
        <x:f>IF(COUNT(L50:Q50)=6,"6인 평가 완료","평가 미완료")</x:f>
        <x:v>평가 미완료</x:v>
      </x:c>
      <x:c r="T50" s="21" t="str">
        <x:v>미검토</x:v>
      </x:c>
      <x:c r="U50" s="21" t="str"/>
    </x:row>
    <x:row r="51" ht="39" customHeight="1">
      <x:c r="A51" s="6" t="str">
        <x:v>L10-TM</x:v>
      </x:c>
      <x:c r="B51" s="6" t="str">
        <x:v>L10</x:v>
      </x:c>
      <x:c r="C51" s="6" t="str">
        <x:v>TM</x:v>
      </x:c>
      <x:c r="D51" s="6" t="str">
        <x:v>변경전파 적시성</x:v>
      </x:c>
      <x:c r="E51" s="6" t="str">
        <x:v>연결 품질 후보</x:v>
      </x:c>
      <x:c r="F51" s="6" t="str">
        <x:v>우리 조직에서는 솔루션의 필요 자원 요건이 바뀌면, 그 변경 정보가 솔루션 이행관리 업무에 필요한 시점 이전에 전달·처리된다.</x:v>
      </x:c>
      <x:c r="G51" s="6" t="str">
        <x:v>우리 조직에서는 솔루션의 필요 자원 요건이 바뀌면, 자원 배정 계획에 정해진 기간 안에 반영된다.</x:v>
      </x:c>
      <x:c r="H51" s="6" t="str">
        <x:v>E2</x:v>
      </x:c>
      <x:c r="I51" s="6" t="str">
        <x:v>A18</x:v>
      </x:c>
      <x:c r="J51" s="6" t="str">
        <x:v>S04 PDF pp.4–5 저널 pp.214–215; A27·A28·A41</x:v>
      </x:c>
      <x:c r="K51" s="6" t="str">
        <x:v>과업에 필요한 시점을 기준으로 함. 변경이 없었던 조직은 별도 코드로 처리.</x:v>
      </x:c>
      <x:c r="L51" s="21"/>
      <x:c r="M51" s="21"/>
      <x:c r="N51" s="21"/>
      <x:c r="O51" s="21"/>
      <x:c r="P51" s="21"/>
      <x:c r="Q51" s="21"/>
      <x:c r="R51" s="24" t="str">
        <x:f>IF(COUNT(L51:Q51)=6,COUNTIF(L51:Q51,"&gt;=3")/6,"")</x:f>
      </x:c>
      <x:c r="S51" s="6" t="str">
        <x:f>IF(COUNT(L51:Q51)=6,"6인 평가 완료","평가 미완료")</x:f>
        <x:v>평가 미완료</x:v>
      </x:c>
      <x:c r="T51" s="21" t="str">
        <x:v>미검토</x:v>
      </x:c>
      <x:c r="U51" s="21" t="str"/>
    </x:row>
    <x:row r="52" ht="53.25" customHeight="1">
      <x:c r="A52" s="3" t="str">
        <x:v>L11-CO</x:v>
      </x:c>
      <x:c r="B52" s="3" t="str">
        <x:v>L11</x:v>
      </x:c>
      <x:c r="C52" s="3" t="str">
        <x:v>CO</x:v>
      </x:c>
      <x:c r="D52" s="3" t="str">
        <x:v>정합성</x:v>
      </x:c>
      <x:c r="E52" s="3" t="str">
        <x:v>구조·근거 보류</x:v>
      </x:c>
      <x:c r="F52" s="3" t="str">
        <x:v>우리 조직에서는 BIA에서 파악한 복구 필요 자원이 자원 계획에 입력될 때, 두 내용 중 서로 대응해야 하는 기준·수치·전제에 모순이 없다.</x:v>
      </x:c>
      <x:c r="G52" s="3" t="str">
        <x:v>우리 조직에서는 BIA에서 파악한 복구 필요 자원이 자원 계획에 입력될 때, 두 내용이 서로 모순 없이 일치한다.</x:v>
      </x:c>
      <x:c r="H52" s="3" t="str">
        <x:v>E3</x:v>
      </x:c>
      <x:c r="I52" s="3" t="str">
        <x:v>(없음)</x:v>
      </x:c>
      <x:c r="J52" s="3" t="str">
        <x:v>A12·A14·A16; S06</x:v>
      </x:c>
      <x:c r="K52" s="3" t="str">
        <x:v>Białas의 BIA 보고서와 자원 정보 질의는 BIA→RES라는 프로세스 흐름의 직접 근거가 아니다. 기존 ID 보존용으로 남기며 현재 전문가 문항 심사·설문 투입 대상에서 제외.</x:v>
      </x:c>
      <x:c r="L52" s="22"/>
      <x:c r="M52" s="22"/>
      <x:c r="N52" s="22"/>
      <x:c r="O52" s="22"/>
      <x:c r="P52" s="22"/>
      <x:c r="Q52" s="22"/>
      <x:c r="R52" s="23" t="str">
        <x:f>IF(COUNT(L52:Q52)=6,COUNTIF(L52:Q52,"&gt;=3")/6,"")</x:f>
      </x:c>
      <x:c r="S52" s="3" t="str">
        <x:f>IF(COUNT(L52:Q52)=6,"6인 평가 완료","평가 미완료")</x:f>
        <x:v>평가 미완료</x:v>
      </x:c>
      <x:c r="T52" s="21" t="str">
        <x:v>미검토</x:v>
      </x:c>
      <x:c r="U52" s="21" t="str"/>
    </x:row>
    <x:row r="53" ht="53.25" customHeight="1">
      <x:c r="A53" s="6" t="str">
        <x:v>L11-TR</x:v>
      </x:c>
      <x:c r="B53" s="6" t="str">
        <x:v>L11</x:v>
      </x:c>
      <x:c r="C53" s="6" t="str">
        <x:v>TR</x:v>
      </x:c>
      <x:c r="D53" s="6" t="str">
        <x:v>근거 추적가능성</x:v>
      </x:c>
      <x:c r="E53" s="6" t="str">
        <x:v>구조·근거 보류</x:v>
      </x:c>
      <x:c r="F53" s="6" t="str">
        <x:v>우리 조직에서는 자원 계획에서 근거가 된 BIA의 복구 필요 자원을 식별자나 문서 위치를 통해 찾아갈 수 있다.</x:v>
      </x:c>
      <x:c r="G53" s="6" t="str">
        <x:v>우리 조직에서는 자원 계획에서 근거가 된 BIA의 복구 필요 자원을 거슬러 찾아 확인할 수 있다.</x:v>
      </x:c>
      <x:c r="H53" s="6" t="str">
        <x:v>E3</x:v>
      </x:c>
      <x:c r="I53" s="6" t="str">
        <x:v>(없음)</x:v>
      </x:c>
      <x:c r="J53" s="6" t="str">
        <x:v>S01 §5.1 PDF p.4 저널 pp.94–101</x:v>
      </x:c>
      <x:c r="K53" s="6" t="str">
        <x:v>Białas의 BIA 보고서와 자원 정보 질의는 BIA→RES라는 프로세스 흐름의 직접 근거가 아니다. 기존 ID 보존용으로 남기며 현재 전문가 문항 심사·설문 투입 대상에서 제외.</x:v>
      </x:c>
      <x:c r="L53" s="22"/>
      <x:c r="M53" s="22"/>
      <x:c r="N53" s="22"/>
      <x:c r="O53" s="22"/>
      <x:c r="P53" s="22"/>
      <x:c r="Q53" s="22"/>
      <x:c r="R53" s="24" t="str">
        <x:f>IF(COUNT(L53:Q53)=6,COUNTIF(L53:Q53,"&gt;=3")/6,"")</x:f>
      </x:c>
      <x:c r="S53" s="6" t="str">
        <x:f>IF(COUNT(L53:Q53)=6,"6인 평가 완료","평가 미완료")</x:f>
        <x:v>평가 미완료</x:v>
      </x:c>
      <x:c r="T53" s="21" t="str">
        <x:v>미검토</x:v>
      </x:c>
      <x:c r="U53" s="21" t="str"/>
    </x:row>
    <x:row r="54" ht="53.25" customHeight="1">
      <x:c r="A54" s="3" t="str">
        <x:v>L11-EV</x:v>
      </x:c>
      <x:c r="B54" s="3" t="str">
        <x:v>L11</x:v>
      </x:c>
      <x:c r="C54" s="3" t="str">
        <x:v>EV</x:v>
      </x:c>
      <x:c r="D54" s="3" t="str">
        <x:v>연결 증빙가능성</x:v>
      </x:c>
      <x:c r="E54" s="3" t="str">
        <x:v>구조·근거 보류</x:v>
      </x:c>
      <x:c r="F54" s="3" t="str">
        <x:v>우리 조직에서는 BIA에서 파악한 복구 필요 자원이 자원 계획에 입력될 때, 실제 사용 또는 평가 사실을 보여 주는 기록이 남아 있다.</x:v>
      </x:c>
      <x:c r="G54" s="3" t="str">
        <x:v>우리 조직에서는 BIA에서 파악한 복구 필요 자원이 자원 계획에 입력될 때, 그 사실을 입증하는 문서·기록·승인(검토 기록, 회의록, 버전 이력 등)이 남아 있다.</x:v>
      </x:c>
      <x:c r="H54" s="3" t="str">
        <x:v>E3</x:v>
      </x:c>
      <x:c r="I54" s="3" t="str">
        <x:v>(없음)</x:v>
      </x:c>
      <x:c r="J54" s="3" t="str">
        <x:v>B17 PDF p.6; A13·A37</x:v>
      </x:c>
      <x:c r="K54" s="3" t="str">
        <x:v>Białas의 BIA 보고서와 자원 정보 질의는 BIA→RES라는 프로세스 흐름의 직접 근거가 아니다. 기존 ID 보존용으로 남기며 현재 전문가 문항 심사·설문 투입 대상에서 제외.</x:v>
      </x:c>
      <x:c r="L54" s="22"/>
      <x:c r="M54" s="22"/>
      <x:c r="N54" s="22"/>
      <x:c r="O54" s="22"/>
      <x:c r="P54" s="22"/>
      <x:c r="Q54" s="22"/>
      <x:c r="R54" s="23" t="str">
        <x:f>IF(COUNT(L54:Q54)=6,COUNTIF(L54:Q54,"&gt;=3")/6,"")</x:f>
      </x:c>
      <x:c r="S54" s="3" t="str">
        <x:f>IF(COUNT(L54:Q54)=6,"6인 평가 완료","평가 미완료")</x:f>
        <x:v>평가 미완료</x:v>
      </x:c>
      <x:c r="T54" s="21" t="str">
        <x:v>미검토</x:v>
      </x:c>
      <x:c r="U54" s="21" t="str"/>
    </x:row>
    <x:row r="55" ht="53.25" customHeight="1">
      <x:c r="A55" s="6" t="str">
        <x:v>L11-AC</x:v>
      </x:c>
      <x:c r="B55" s="6" t="str">
        <x:v>L11</x:v>
      </x:c>
      <x:c r="C55" s="6" t="str">
        <x:v>AC</x:v>
      </x:c>
      <x:c r="D55" s="6" t="str">
        <x:v>연결 책임명확성</x:v>
      </x:c>
      <x:c r="E55" s="6" t="str">
        <x:v>구조·근거 보류</x:v>
      </x:c>
      <x:c r="F55" s="6" t="str">
        <x:v>우리 조직에서는 BIA·중요도 분석와 자원관리 사이의 해당 연결을 조정할 책임 역할 또는 부서가 명확하다.</x:v>
      </x:c>
      <x:c r="G55" s="6" t="str">
        <x:v>우리 조직에서는 BIA에서 파악한 복구 필요 자원이 자원 계획에 입력될 때, 그 연결의 검토·승인·변경에 대한 책임자(또는 부서)가 정해져 있다.</x:v>
      </x:c>
      <x:c r="H55" s="6" t="str">
        <x:v>E3</x:v>
      </x:c>
      <x:c r="I55" s="6" t="str">
        <x:v>(없음)</x:v>
      </x:c>
      <x:c r="J55" s="6" t="str">
        <x:v>A49·A50; S07 출판사 초록</x:v>
      </x:c>
      <x:c r="K55" s="6" t="str">
        <x:v>Białas의 BIA 보고서와 자원 정보 질의는 BIA→RES라는 프로세스 흐름의 직접 근거가 아니다. 기존 ID 보존용으로 남기며 현재 전문가 문항 심사·설문 투입 대상에서 제외.</x:v>
      </x:c>
      <x:c r="L55" s="22"/>
      <x:c r="M55" s="22"/>
      <x:c r="N55" s="22"/>
      <x:c r="O55" s="22"/>
      <x:c r="P55" s="22"/>
      <x:c r="Q55" s="22"/>
      <x:c r="R55" s="24" t="str">
        <x:f>IF(COUNT(L55:Q55)=6,COUNTIF(L55:Q55,"&gt;=3")/6,"")</x:f>
      </x:c>
      <x:c r="S55" s="6" t="str">
        <x:f>IF(COUNT(L55:Q55)=6,"6인 평가 완료","평가 미완료")</x:f>
        <x:v>평가 미완료</x:v>
      </x:c>
      <x:c r="T55" s="21" t="str">
        <x:v>미검토</x:v>
      </x:c>
      <x:c r="U55" s="21" t="str"/>
    </x:row>
    <x:row r="56" ht="53.25" customHeight="1">
      <x:c r="A56" s="3" t="str">
        <x:v>L11-TM</x:v>
      </x:c>
      <x:c r="B56" s="3" t="str">
        <x:v>L11</x:v>
      </x:c>
      <x:c r="C56" s="3" t="str">
        <x:v>TM</x:v>
      </x:c>
      <x:c r="D56" s="3" t="str">
        <x:v>변경전파 적시성</x:v>
      </x:c>
      <x:c r="E56" s="3" t="str">
        <x:v>구조·근거 보류</x:v>
      </x:c>
      <x:c r="F56" s="3" t="str">
        <x:v>우리 조직에서는 BIA의 복구 필요 자원이 바뀌면, 그 변경 정보가 자원관리 업무에 필요한 시점 이전에 전달·처리된다.</x:v>
      </x:c>
      <x:c r="G56" s="3" t="str">
        <x:v>우리 조직에서는 BIA의 복구 필요 자원이 바뀌면, 자원 계획에 정해진 기간 안에 반영된다.</x:v>
      </x:c>
      <x:c r="H56" s="3" t="str">
        <x:v>E3</x:v>
      </x:c>
      <x:c r="I56" s="3" t="str">
        <x:v>(없음)</x:v>
      </x:c>
      <x:c r="J56" s="3" t="str">
        <x:v>S04 PDF pp.4–5 저널 pp.214–215; A27·A28·A41</x:v>
      </x:c>
      <x:c r="K56" s="3" t="str">
        <x:v>Białas의 BIA 보고서와 자원 정보 질의는 BIA→RES라는 프로세스 흐름의 직접 근거가 아니다. 기존 ID 보존용으로 남기며 현재 전문가 문항 심사·설문 투입 대상에서 제외.</x:v>
      </x:c>
      <x:c r="L56" s="22"/>
      <x:c r="M56" s="22"/>
      <x:c r="N56" s="22"/>
      <x:c r="O56" s="22"/>
      <x:c r="P56" s="22"/>
      <x:c r="Q56" s="22"/>
      <x:c r="R56" s="23" t="str">
        <x:f>IF(COUNT(L56:Q56)=6,COUNTIF(L56:Q56,"&gt;=3")/6,"")</x:f>
      </x:c>
      <x:c r="S56" s="3" t="str">
        <x:f>IF(COUNT(L56:Q56)=6,"6인 평가 완료","평가 미완료")</x:f>
        <x:v>평가 미완료</x:v>
      </x:c>
      <x:c r="T56" s="21" t="str">
        <x:v>미검토</x:v>
      </x:c>
      <x:c r="U56" s="21" t="str"/>
    </x:row>
    <x:row r="57" ht="39" customHeight="1">
      <x:c r="A57" s="6" t="str">
        <x:v>L12-CO</x:v>
      </x:c>
      <x:c r="B57" s="6" t="str">
        <x:v>L12</x:v>
      </x:c>
      <x:c r="C57" s="6" t="str">
        <x:v>CO</x:v>
      </x:c>
      <x:c r="D57" s="6" t="str">
        <x:v>정합성</x:v>
      </x:c>
      <x:c r="E57" s="6" t="str">
        <x:v>연결 품질 후보</x:v>
      </x:c>
      <x:c r="F57" s="6" t="str">
        <x:v>우리 조직에서는 BC 계획·절차에 따라 사고 대응 체계가 가동될 때, 두 내용 중 서로 대응해야 하는 기준·수치·전제에 모순이 없다.</x:v>
      </x:c>
      <x:c r="G57" s="6" t="str">
        <x:v>우리 조직에서는 BC 계획·절차에 따라 사고 대응 체계가 가동될 때, 두 내용이 서로 모순 없이 일치한다.</x:v>
      </x:c>
      <x:c r="H57" s="6" t="str">
        <x:v>E2</x:v>
      </x:c>
      <x:c r="I57" s="6" t="str">
        <x:v>A19</x:v>
      </x:c>
      <x:c r="J57" s="6" t="str">
        <x:v>A12·A14·A16; S06</x:v>
      </x:c>
      <x:c r="K57" s="6" t="str">
        <x:v>서로 다른 프로세스 산출물의 내용 전체가 동일해야 한다는 오해를 줄임.</x:v>
      </x:c>
      <x:c r="L57" s="21"/>
      <x:c r="M57" s="21"/>
      <x:c r="N57" s="21"/>
      <x:c r="O57" s="21"/>
      <x:c r="P57" s="21"/>
      <x:c r="Q57" s="21"/>
      <x:c r="R57" s="24" t="str">
        <x:f>IF(COUNT(L57:Q57)=6,COUNTIF(L57:Q57,"&gt;=3")/6,"")</x:f>
      </x:c>
      <x:c r="S57" s="6" t="str">
        <x:f>IF(COUNT(L57:Q57)=6,"6인 평가 완료","평가 미완료")</x:f>
        <x:v>평가 미완료</x:v>
      </x:c>
      <x:c r="T57" s="21" t="str">
        <x:v>미검토</x:v>
      </x:c>
      <x:c r="U57" s="21" t="str"/>
    </x:row>
    <x:row r="58" ht="39" customHeight="1">
      <x:c r="A58" s="3" t="str">
        <x:v>L12-TR</x:v>
      </x:c>
      <x:c r="B58" s="3" t="str">
        <x:v>L12</x:v>
      </x:c>
      <x:c r="C58" s="3" t="str">
        <x:v>TR</x:v>
      </x:c>
      <x:c r="D58" s="3" t="str">
        <x:v>근거 추적가능성</x:v>
      </x:c>
      <x:c r="E58" s="3" t="str">
        <x:v>연결 품질 후보</x:v>
      </x:c>
      <x:c r="F58" s="3" t="str">
        <x:v>우리 조직에서는 사고 대응 체계(역할·가동 기준)에서 근거가 된 BC 계획·절차를 식별자나 문서 위치를 통해 찾아갈 수 있다.</x:v>
      </x:c>
      <x:c r="G58" s="3" t="str">
        <x:v>우리 조직에서는 사고 대응 체계(역할·가동 기준)에서 근거가 된 BC 계획·절차를 거슬러 찾아 확인할 수 있다.</x:v>
      </x:c>
      <x:c r="H58" s="3" t="str">
        <x:v>E2</x:v>
      </x:c>
      <x:c r="I58" s="3" t="str">
        <x:v>A19</x:v>
      </x:c>
      <x:c r="J58" s="3" t="str">
        <x:v>S01 §5.1 PDF p.4 저널 pp.94–101</x:v>
      </x:c>
      <x:c r="K58" s="3" t="str">
        <x:v>후방 근거 추적 문항. 전방 추적은 측정 범위에 포함됐다고 주장하지 않음.</x:v>
      </x:c>
      <x:c r="L58" s="21"/>
      <x:c r="M58" s="21"/>
      <x:c r="N58" s="21"/>
      <x:c r="O58" s="21"/>
      <x:c r="P58" s="21"/>
      <x:c r="Q58" s="21"/>
      <x:c r="R58" s="23" t="str">
        <x:f>IF(COUNT(L58:Q58)=6,COUNTIF(L58:Q58,"&gt;=3")/6,"")</x:f>
      </x:c>
      <x:c r="S58" s="3" t="str">
        <x:f>IF(COUNT(L58:Q58)=6,"6인 평가 완료","평가 미완료")</x:f>
        <x:v>평가 미완료</x:v>
      </x:c>
      <x:c r="T58" s="21" t="str">
        <x:v>미검토</x:v>
      </x:c>
      <x:c r="U58" s="21" t="str"/>
    </x:row>
    <x:row r="59" ht="39" customHeight="1">
      <x:c r="A59" s="6" t="str">
        <x:v>L12-EV</x:v>
      </x:c>
      <x:c r="B59" s="6" t="str">
        <x:v>L12</x:v>
      </x:c>
      <x:c r="C59" s="6" t="str">
        <x:v>EV</x:v>
      </x:c>
      <x:c r="D59" s="6" t="str">
        <x:v>연결 증빙가능성</x:v>
      </x:c>
      <x:c r="E59" s="6" t="str">
        <x:v>연결 품질 후보</x:v>
      </x:c>
      <x:c r="F59" s="6" t="str">
        <x:v>우리 조직에서는 BC 계획·절차에 따라 사고 대응 체계가 가동될 때, 실제 사용 또는 평가 사실을 보여 주는 기록이 남아 있다.</x:v>
      </x:c>
      <x:c r="G59" s="6" t="str">
        <x:v>우리 조직에서는 BC 계획·절차에 따라 사고 대응 체계가 가동될 때, 그 사실을 입증하는 문서·기록·승인(검토 기록, 회의록, 버전 이력 등)이 남아 있다.</x:v>
      </x:c>
      <x:c r="H59" s="6" t="str">
        <x:v>E2</x:v>
      </x:c>
      <x:c r="I59" s="6" t="str">
        <x:v>A19</x:v>
      </x:c>
      <x:c r="J59" s="6" t="str">
        <x:v>B17 PDF p.6; A13·A37</x:v>
      </x:c>
      <x:c r="K59" s="6" t="str">
        <x:v>문서 보유가 아니라 연결의 실제 수행 사실을 증명하는 기록을 묻도록 수정.</x:v>
      </x:c>
      <x:c r="L59" s="21"/>
      <x:c r="M59" s="21"/>
      <x:c r="N59" s="21"/>
      <x:c r="O59" s="21"/>
      <x:c r="P59" s="21"/>
      <x:c r="Q59" s="21"/>
      <x:c r="R59" s="24" t="str">
        <x:f>IF(COUNT(L59:Q59)=6,COUNTIF(L59:Q59,"&gt;=3")/6,"")</x:f>
      </x:c>
      <x:c r="S59" s="6" t="str">
        <x:f>IF(COUNT(L59:Q59)=6,"6인 평가 완료","평가 미완료")</x:f>
        <x:v>평가 미완료</x:v>
      </x:c>
      <x:c r="T59" s="21" t="str">
        <x:v>미검토</x:v>
      </x:c>
      <x:c r="U59" s="21" t="str"/>
    </x:row>
    <x:row r="60" ht="39" customHeight="1">
      <x:c r="A60" s="3" t="str">
        <x:v>L12-AC</x:v>
      </x:c>
      <x:c r="B60" s="3" t="str">
        <x:v>L12</x:v>
      </x:c>
      <x:c r="C60" s="3" t="str">
        <x:v>AC</x:v>
      </x:c>
      <x:c r="D60" s="3" t="str">
        <x:v>연결 책임명확성</x:v>
      </x:c>
      <x:c r="E60" s="3" t="str">
        <x:v>관리조건 후보</x:v>
      </x:c>
      <x:c r="F60" s="3" t="str">
        <x:v>우리 조직에서는 BC 계획·절차 개발와 사고·비상 대응 사이의 해당 연결을 조정할 책임 역할 또는 부서가 명확하다.</x:v>
      </x:c>
      <x:c r="G60" s="3" t="str">
        <x:v>우리 조직에서는 BC 계획·절차에 따라 사고 대응 체계가 가동될 때, 그 연결의 검토·승인·변경에 대한 책임자(또는 부서)가 정해져 있다.</x:v>
      </x:c>
      <x:c r="H60" s="3" t="str">
        <x:v>E2</x:v>
      </x:c>
      <x:c r="I60" s="3" t="str">
        <x:v>A19</x:v>
      </x:c>
      <x:c r="J60" s="3" t="str">
        <x:v>A49·A50; S07 출판사 초록</x:v>
      </x:c>
      <x:c r="K60" s="3" t="str">
        <x:v>검토·승인·변경의 세 질문을 단일 조정 책임으로 바꿈. Accountability와 동일 개념으로 인용하지 않음.</x:v>
      </x:c>
      <x:c r="L60" s="21"/>
      <x:c r="M60" s="21"/>
      <x:c r="N60" s="21"/>
      <x:c r="O60" s="21"/>
      <x:c r="P60" s="21"/>
      <x:c r="Q60" s="21"/>
      <x:c r="R60" s="23" t="str">
        <x:f>IF(COUNT(L60:Q60)=6,COUNTIF(L60:Q60,"&gt;=3")/6,"")</x:f>
      </x:c>
      <x:c r="S60" s="3" t="str">
        <x:f>IF(COUNT(L60:Q60)=6,"6인 평가 완료","평가 미완료")</x:f>
        <x:v>평가 미완료</x:v>
      </x:c>
      <x:c r="T60" s="21" t="str">
        <x:v>미검토</x:v>
      </x:c>
      <x:c r="U60" s="21" t="str"/>
    </x:row>
    <x:row r="61" ht="39" customHeight="1">
      <x:c r="A61" s="6" t="str">
        <x:v>L12-TM</x:v>
      </x:c>
      <x:c r="B61" s="6" t="str">
        <x:v>L12</x:v>
      </x:c>
      <x:c r="C61" s="6" t="str">
        <x:v>TM</x:v>
      </x:c>
      <x:c r="D61" s="6" t="str">
        <x:v>변경전파 적시성</x:v>
      </x:c>
      <x:c r="E61" s="6" t="str">
        <x:v>연결 품질 후보</x:v>
      </x:c>
      <x:c r="F61" s="6" t="str">
        <x:v>우리 조직에서는 BC 계획·절차가 바뀌면, 그 변경 정보가 사고·비상 대응 업무에 필요한 시점 이전에 전달·처리된다.</x:v>
      </x:c>
      <x:c r="G61" s="6" t="str">
        <x:v>우리 조직에서는 BC 계획·절차가 바뀌면, 사고 대응 체계(역할·가동 기준)에 정해진 기간 안에 반영된다.</x:v>
      </x:c>
      <x:c r="H61" s="6" t="str">
        <x:v>E2</x:v>
      </x:c>
      <x:c r="I61" s="6" t="str">
        <x:v>A19</x:v>
      </x:c>
      <x:c r="J61" s="6" t="str">
        <x:v>S04 PDF pp.4–5 저널 pp.214–215; A27·A28·A41</x:v>
      </x:c>
      <x:c r="K61" s="6" t="str">
        <x:v>과업에 필요한 시점을 기준으로 함. 변경이 없었던 조직은 별도 코드로 처리.</x:v>
      </x:c>
      <x:c r="L61" s="21"/>
      <x:c r="M61" s="21"/>
      <x:c r="N61" s="21"/>
      <x:c r="O61" s="21"/>
      <x:c r="P61" s="21"/>
      <x:c r="Q61" s="21"/>
      <x:c r="R61" s="24" t="str">
        <x:f>IF(COUNT(L61:Q61)=6,COUNTIF(L61:Q61,"&gt;=3")/6,"")</x:f>
      </x:c>
      <x:c r="S61" s="6" t="str">
        <x:f>IF(COUNT(L61:Q61)=6,"6인 평가 완료","평가 미완료")</x:f>
        <x:v>평가 미완료</x:v>
      </x:c>
      <x:c r="T61" s="21" t="str">
        <x:v>미검토</x:v>
      </x:c>
      <x:c r="U61" s="21" t="str"/>
    </x:row>
    <x:row r="62" ht="53.25" customHeight="1">
      <x:c r="A62" s="3" t="str">
        <x:v>L13-CO</x:v>
      </x:c>
      <x:c r="B62" s="3" t="str">
        <x:v>L13</x:v>
      </x:c>
      <x:c r="C62" s="3" t="str">
        <x:v>CO</x:v>
      </x:c>
      <x:c r="D62" s="3" t="str">
        <x:v>정합성</x:v>
      </x:c>
      <x:c r="E62" s="3" t="str">
        <x:v>구조·근거 보류</x:v>
      </x:c>
      <x:c r="F62" s="3" t="str">
        <x:v>우리 조직에서는 경보·상황 전파가 사고 대응 절차의 하위 절차로 수행될 때, 두 내용 중 서로 대응해야 하는 기준·수치·전제에 모순이 없다.</x:v>
      </x:c>
      <x:c r="G62" s="3" t="str">
        <x:v>우리 조직에서는 경보·상황 전파가 사고 대응 절차의 하위 절차로 수행될 때, 두 내용이 서로 모순 없이 일치한다.</x:v>
      </x:c>
      <x:c r="H62" s="3" t="str">
        <x:v>E1</x:v>
      </x:c>
      <x:c r="I62" s="3" t="str">
        <x:v>A21</x:v>
      </x:c>
      <x:c r="J62" s="3" t="str">
        <x:v>A12·A14·A16; S06</x:v>
      </x:c>
      <x:c r="K62" s="3" t="str">
        <x:v>contains는 하위 프로세스 포함 관계이다. 산출물 전달 관계의 품질 문항으로 사용하지 않는다. 기존 ID 보존용으로 남기며 현재 전문가 문항 심사·설문 투입 대상에서 제외.</x:v>
      </x:c>
      <x:c r="L62" s="22"/>
      <x:c r="M62" s="22"/>
      <x:c r="N62" s="22"/>
      <x:c r="O62" s="22"/>
      <x:c r="P62" s="22"/>
      <x:c r="Q62" s="22"/>
      <x:c r="R62" s="23" t="str">
        <x:f>IF(COUNT(L62:Q62)=6,COUNTIF(L62:Q62,"&gt;=3")/6,"")</x:f>
      </x:c>
      <x:c r="S62" s="3" t="str">
        <x:f>IF(COUNT(L62:Q62)=6,"6인 평가 완료","평가 미완료")</x:f>
        <x:v>평가 미완료</x:v>
      </x:c>
      <x:c r="T62" s="21" t="str">
        <x:v>미검토</x:v>
      </x:c>
      <x:c r="U62" s="21" t="str"/>
    </x:row>
    <x:row r="63" ht="53.25" customHeight="1">
      <x:c r="A63" s="6" t="str">
        <x:v>L13-TR</x:v>
      </x:c>
      <x:c r="B63" s="6" t="str">
        <x:v>L13</x:v>
      </x:c>
      <x:c r="C63" s="6" t="str">
        <x:v>TR</x:v>
      </x:c>
      <x:c r="D63" s="6" t="str">
        <x:v>근거 추적가능성</x:v>
      </x:c>
      <x:c r="E63" s="6" t="str">
        <x:v>구조·근거 보류</x:v>
      </x:c>
      <x:c r="F63" s="6" t="str">
        <x:v>우리 조직에서는 경보·연락 절차(연락망)에서 근거가 된 사고 대응 절차를 식별자나 문서 위치를 통해 찾아갈 수 있다.</x:v>
      </x:c>
      <x:c r="G63" s="6" t="str">
        <x:v>우리 조직에서는 경보·연락 절차(연락망)에서 근거가 된 사고 대응 절차를 거슬러 찾아 확인할 수 있다.</x:v>
      </x:c>
      <x:c r="H63" s="6" t="str">
        <x:v>E1</x:v>
      </x:c>
      <x:c r="I63" s="6" t="str">
        <x:v>A21</x:v>
      </x:c>
      <x:c r="J63" s="6" t="str">
        <x:v>S01 §5.1 PDF p.4 저널 pp.94–101</x:v>
      </x:c>
      <x:c r="K63" s="6" t="str">
        <x:v>contains는 하위 프로세스 포함 관계이다. 산출물 전달 관계의 품질 문항으로 사용하지 않는다. 기존 ID 보존용으로 남기며 현재 전문가 문항 심사·설문 투입 대상에서 제외.</x:v>
      </x:c>
      <x:c r="L63" s="22"/>
      <x:c r="M63" s="22"/>
      <x:c r="N63" s="22"/>
      <x:c r="O63" s="22"/>
      <x:c r="P63" s="22"/>
      <x:c r="Q63" s="22"/>
      <x:c r="R63" s="24" t="str">
        <x:f>IF(COUNT(L63:Q63)=6,COUNTIF(L63:Q63,"&gt;=3")/6,"")</x:f>
      </x:c>
      <x:c r="S63" s="6" t="str">
        <x:f>IF(COUNT(L63:Q63)=6,"6인 평가 완료","평가 미완료")</x:f>
        <x:v>평가 미완료</x:v>
      </x:c>
      <x:c r="T63" s="21" t="str">
        <x:v>미검토</x:v>
      </x:c>
      <x:c r="U63" s="21" t="str"/>
    </x:row>
    <x:row r="64" ht="53.25" customHeight="1">
      <x:c r="A64" s="3" t="str">
        <x:v>L13-EV</x:v>
      </x:c>
      <x:c r="B64" s="3" t="str">
        <x:v>L13</x:v>
      </x:c>
      <x:c r="C64" s="3" t="str">
        <x:v>EV</x:v>
      </x:c>
      <x:c r="D64" s="3" t="str">
        <x:v>연결 증빙가능성</x:v>
      </x:c>
      <x:c r="E64" s="3" t="str">
        <x:v>구조·근거 보류</x:v>
      </x:c>
      <x:c r="F64" s="3" t="str">
        <x:v>우리 조직에서는 경보·상황 전파가 사고 대응 절차의 하위 절차로 수행될 때, 실제 사용 또는 평가 사실을 보여 주는 기록이 남아 있다.</x:v>
      </x:c>
      <x:c r="G64" s="3" t="str">
        <x:v>우리 조직에서는 경보·상황 전파가 사고 대응 절차의 하위 절차로 수행될 때, 그 사실을 입증하는 문서·기록·승인(검토 기록, 회의록, 버전 이력 등)이 남아 있다.</x:v>
      </x:c>
      <x:c r="H64" s="3" t="str">
        <x:v>E1</x:v>
      </x:c>
      <x:c r="I64" s="3" t="str">
        <x:v>A21</x:v>
      </x:c>
      <x:c r="J64" s="3" t="str">
        <x:v>B17 PDF p.6; A13·A37</x:v>
      </x:c>
      <x:c r="K64" s="3" t="str">
        <x:v>contains는 하위 프로세스 포함 관계이다. 산출물 전달 관계의 품질 문항으로 사용하지 않는다. 기존 ID 보존용으로 남기며 현재 전문가 문항 심사·설문 투입 대상에서 제외.</x:v>
      </x:c>
      <x:c r="L64" s="22"/>
      <x:c r="M64" s="22"/>
      <x:c r="N64" s="22"/>
      <x:c r="O64" s="22"/>
      <x:c r="P64" s="22"/>
      <x:c r="Q64" s="22"/>
      <x:c r="R64" s="23" t="str">
        <x:f>IF(COUNT(L64:Q64)=6,COUNTIF(L64:Q64,"&gt;=3")/6,"")</x:f>
      </x:c>
      <x:c r="S64" s="3" t="str">
        <x:f>IF(COUNT(L64:Q64)=6,"6인 평가 완료","평가 미완료")</x:f>
        <x:v>평가 미완료</x:v>
      </x:c>
      <x:c r="T64" s="21" t="str">
        <x:v>미검토</x:v>
      </x:c>
      <x:c r="U64" s="21" t="str"/>
    </x:row>
    <x:row r="65" ht="53.25" customHeight="1">
      <x:c r="A65" s="6" t="str">
        <x:v>L13-AC</x:v>
      </x:c>
      <x:c r="B65" s="6" t="str">
        <x:v>L13</x:v>
      </x:c>
      <x:c r="C65" s="6" t="str">
        <x:v>AC</x:v>
      </x:c>
      <x:c r="D65" s="6" t="str">
        <x:v>연결 책임명확성</x:v>
      </x:c>
      <x:c r="E65" s="6" t="str">
        <x:v>구조·근거 보류</x:v>
      </x:c>
      <x:c r="F65" s="6" t="str">
        <x:v>우리 조직에서는 사고·비상 대응와 경보·커뮤니케이션 사이의 해당 연결을 조정할 책임 역할 또는 부서가 명확하다.</x:v>
      </x:c>
      <x:c r="G65" s="6" t="str">
        <x:v>우리 조직에서는 경보·상황 전파가 사고 대응 절차의 하위 절차로 수행될 때, 그 연결의 검토·승인·변경에 대한 책임자(또는 부서)가 정해져 있다.</x:v>
      </x:c>
      <x:c r="H65" s="6" t="str">
        <x:v>E1</x:v>
      </x:c>
      <x:c r="I65" s="6" t="str">
        <x:v>A21</x:v>
      </x:c>
      <x:c r="J65" s="6" t="str">
        <x:v>A49·A50; S07 출판사 초록</x:v>
      </x:c>
      <x:c r="K65" s="6" t="str">
        <x:v>contains는 하위 프로세스 포함 관계이다. 산출물 전달 관계의 품질 문항으로 사용하지 않는다. 기존 ID 보존용으로 남기며 현재 전문가 문항 심사·설문 투입 대상에서 제외.</x:v>
      </x:c>
      <x:c r="L65" s="22"/>
      <x:c r="M65" s="22"/>
      <x:c r="N65" s="22"/>
      <x:c r="O65" s="22"/>
      <x:c r="P65" s="22"/>
      <x:c r="Q65" s="22"/>
      <x:c r="R65" s="24" t="str">
        <x:f>IF(COUNT(L65:Q65)=6,COUNTIF(L65:Q65,"&gt;=3")/6,"")</x:f>
      </x:c>
      <x:c r="S65" s="6" t="str">
        <x:f>IF(COUNT(L65:Q65)=6,"6인 평가 완료","평가 미완료")</x:f>
        <x:v>평가 미완료</x:v>
      </x:c>
      <x:c r="T65" s="21" t="str">
        <x:v>미검토</x:v>
      </x:c>
      <x:c r="U65" s="21" t="str"/>
    </x:row>
    <x:row r="66" ht="53.25" customHeight="1">
      <x:c r="A66" s="3" t="str">
        <x:v>L13-TM</x:v>
      </x:c>
      <x:c r="B66" s="3" t="str">
        <x:v>L13</x:v>
      </x:c>
      <x:c r="C66" s="3" t="str">
        <x:v>TM</x:v>
      </x:c>
      <x:c r="D66" s="3" t="str">
        <x:v>변경전파 적시성</x:v>
      </x:c>
      <x:c r="E66" s="3" t="str">
        <x:v>구조·근거 보류</x:v>
      </x:c>
      <x:c r="F66" s="3" t="str">
        <x:v>우리 조직에서는 사고 대응 절차가 바뀌면, 그 변경 정보가 경보·커뮤니케이션 업무에 필요한 시점 이전에 전달·처리된다.</x:v>
      </x:c>
      <x:c r="G66" s="3" t="str">
        <x:v>우리 조직에서는 사고 대응 절차가 바뀌면, 경보·연락 절차(연락망)에 정해진 기간 안에 반영된다.</x:v>
      </x:c>
      <x:c r="H66" s="3" t="str">
        <x:v>E1</x:v>
      </x:c>
      <x:c r="I66" s="3" t="str">
        <x:v>A21</x:v>
      </x:c>
      <x:c r="J66" s="3" t="str">
        <x:v>S04 PDF pp.4–5 저널 pp.214–215; A27·A28·A41</x:v>
      </x:c>
      <x:c r="K66" s="3" t="str">
        <x:v>contains는 하위 프로세스 포함 관계이다. 산출물 전달 관계의 품질 문항으로 사용하지 않는다. 기존 ID 보존용으로 남기며 현재 전문가 문항 심사·설문 투입 대상에서 제외.</x:v>
      </x:c>
      <x:c r="L66" s="22"/>
      <x:c r="M66" s="22"/>
      <x:c r="N66" s="22"/>
      <x:c r="O66" s="22"/>
      <x:c r="P66" s="22"/>
      <x:c r="Q66" s="22"/>
      <x:c r="R66" s="23" t="str">
        <x:f>IF(COUNT(L66:Q66)=6,COUNTIF(L66:Q66,"&gt;=3")/6,"")</x:f>
      </x:c>
      <x:c r="S66" s="3" t="str">
        <x:f>IF(COUNT(L66:Q66)=6,"6인 평가 완료","평가 미완료")</x:f>
        <x:v>평가 미완료</x:v>
      </x:c>
      <x:c r="T66" s="21" t="str">
        <x:v>미검토</x:v>
      </x:c>
      <x:c r="U66" s="21" t="str"/>
    </x:row>
    <x:row r="67" ht="53.25" customHeight="1">
      <x:c r="A67" s="6" t="str">
        <x:v>L14-CO</x:v>
      </x:c>
      <x:c r="B67" s="6" t="str">
        <x:v>L14</x:v>
      </x:c>
      <x:c r="C67" s="6" t="str">
        <x:v>CO</x:v>
      </x:c>
      <x:c r="D67" s="6" t="str">
        <x:v>정합성</x:v>
      </x:c>
      <x:c r="E67" s="6" t="str">
        <x:v>구조·근거 보류</x:v>
      </x:c>
      <x:c r="F67" s="6" t="str">
        <x:v>우리 조직에서는 복구가 사고 대응의 하위 절차로 수행되어 대응 결과를 이어받을 때, 두 내용 중 서로 대응해야 하는 기준·수치·전제에 모순이 없다.</x:v>
      </x:c>
      <x:c r="G67" s="6" t="str">
        <x:v>우리 조직에서는 복구가 사고 대응의 하위 절차로 수행되어 대응 결과를 이어받을 때, 두 내용이 서로 모순 없이 일치한다.</x:v>
      </x:c>
      <x:c r="H67" s="6" t="str">
        <x:v>E1</x:v>
      </x:c>
      <x:c r="I67" s="6" t="str">
        <x:v>A21</x:v>
      </x:c>
      <x:c r="J67" s="6" t="str">
        <x:v>A12·A14·A16; S06</x:v>
      </x:c>
      <x:c r="K67" s="6" t="str">
        <x:v>원문은 복구를 포함한다고 말한다. INC에서 REC로의 시간적 전환을 직접 입증하지 않는다. 기존 ID 보존용으로 남기며 현재 전문가 문항 심사·설문 투입 대상에서 제외.</x:v>
      </x:c>
      <x:c r="L67" s="22"/>
      <x:c r="M67" s="22"/>
      <x:c r="N67" s="22"/>
      <x:c r="O67" s="22"/>
      <x:c r="P67" s="22"/>
      <x:c r="Q67" s="22"/>
      <x:c r="R67" s="24" t="str">
        <x:f>IF(COUNT(L67:Q67)=6,COUNTIF(L67:Q67,"&gt;=3")/6,"")</x:f>
      </x:c>
      <x:c r="S67" s="6" t="str">
        <x:f>IF(COUNT(L67:Q67)=6,"6인 평가 완료","평가 미완료")</x:f>
        <x:v>평가 미완료</x:v>
      </x:c>
      <x:c r="T67" s="21" t="str">
        <x:v>미검토</x:v>
      </x:c>
      <x:c r="U67" s="21" t="str"/>
    </x:row>
    <x:row r="68" ht="53.25" customHeight="1">
      <x:c r="A68" s="3" t="str">
        <x:v>L14-TR</x:v>
      </x:c>
      <x:c r="B68" s="3" t="str">
        <x:v>L14</x:v>
      </x:c>
      <x:c r="C68" s="3" t="str">
        <x:v>TR</x:v>
      </x:c>
      <x:c r="D68" s="3" t="str">
        <x:v>근거 추적가능성</x:v>
      </x:c>
      <x:c r="E68" s="3" t="str">
        <x:v>구조·근거 보류</x:v>
      </x:c>
      <x:c r="F68" s="3" t="str">
        <x:v>우리 조직에서는 복구 절차에서 근거가 된 사고 대응 절차를 식별자나 문서 위치를 통해 찾아갈 수 있다.</x:v>
      </x:c>
      <x:c r="G68" s="3" t="str">
        <x:v>우리 조직에서는 복구 절차에서 근거가 된 사고 대응 절차를 거슬러 찾아 확인할 수 있다.</x:v>
      </x:c>
      <x:c r="H68" s="3" t="str">
        <x:v>E1</x:v>
      </x:c>
      <x:c r="I68" s="3" t="str">
        <x:v>A21</x:v>
      </x:c>
      <x:c r="J68" s="3" t="str">
        <x:v>S01 §5.1 PDF p.4 저널 pp.94–101</x:v>
      </x:c>
      <x:c r="K68" s="3" t="str">
        <x:v>원문은 복구를 포함한다고 말한다. INC에서 REC로의 시간적 전환을 직접 입증하지 않는다. 기존 ID 보존용으로 남기며 현재 전문가 문항 심사·설문 투입 대상에서 제외.</x:v>
      </x:c>
      <x:c r="L68" s="22"/>
      <x:c r="M68" s="22"/>
      <x:c r="N68" s="22"/>
      <x:c r="O68" s="22"/>
      <x:c r="P68" s="22"/>
      <x:c r="Q68" s="22"/>
      <x:c r="R68" s="23" t="str">
        <x:f>IF(COUNT(L68:Q68)=6,COUNTIF(L68:Q68,"&gt;=3")/6,"")</x:f>
      </x:c>
      <x:c r="S68" s="3" t="str">
        <x:f>IF(COUNT(L68:Q68)=6,"6인 평가 완료","평가 미완료")</x:f>
        <x:v>평가 미완료</x:v>
      </x:c>
      <x:c r="T68" s="21" t="str">
        <x:v>미검토</x:v>
      </x:c>
      <x:c r="U68" s="21" t="str"/>
    </x:row>
    <x:row r="69" ht="53.25" customHeight="1">
      <x:c r="A69" s="6" t="str">
        <x:v>L14-EV</x:v>
      </x:c>
      <x:c r="B69" s="6" t="str">
        <x:v>L14</x:v>
      </x:c>
      <x:c r="C69" s="6" t="str">
        <x:v>EV</x:v>
      </x:c>
      <x:c r="D69" s="6" t="str">
        <x:v>연결 증빙가능성</x:v>
      </x:c>
      <x:c r="E69" s="6" t="str">
        <x:v>구조·근거 보류</x:v>
      </x:c>
      <x:c r="F69" s="6" t="str">
        <x:v>우리 조직에서는 복구가 사고 대응의 하위 절차로 수행되어 대응 결과를 이어받을 때, 실제 사용 또는 평가 사실을 보여 주는 기록이 남아 있다.</x:v>
      </x:c>
      <x:c r="G69" s="6" t="str">
        <x:v>우리 조직에서는 복구가 사고 대응의 하위 절차로 수행되어 대응 결과를 이어받을 때, 그 사실을 입증하는 문서·기록·승인(검토 기록, 회의록, 버전 이력 등)이 남아 있다.</x:v>
      </x:c>
      <x:c r="H69" s="6" t="str">
        <x:v>E1</x:v>
      </x:c>
      <x:c r="I69" s="6" t="str">
        <x:v>A21</x:v>
      </x:c>
      <x:c r="J69" s="6" t="str">
        <x:v>B17 PDF p.6; A13·A37</x:v>
      </x:c>
      <x:c r="K69" s="6" t="str">
        <x:v>원문은 복구를 포함한다고 말한다. INC에서 REC로의 시간적 전환을 직접 입증하지 않는다. 기존 ID 보존용으로 남기며 현재 전문가 문항 심사·설문 투입 대상에서 제외.</x:v>
      </x:c>
      <x:c r="L69" s="22"/>
      <x:c r="M69" s="22"/>
      <x:c r="N69" s="22"/>
      <x:c r="O69" s="22"/>
      <x:c r="P69" s="22"/>
      <x:c r="Q69" s="22"/>
      <x:c r="R69" s="24" t="str">
        <x:f>IF(COUNT(L69:Q69)=6,COUNTIF(L69:Q69,"&gt;=3")/6,"")</x:f>
      </x:c>
      <x:c r="S69" s="6" t="str">
        <x:f>IF(COUNT(L69:Q69)=6,"6인 평가 완료","평가 미완료")</x:f>
        <x:v>평가 미완료</x:v>
      </x:c>
      <x:c r="T69" s="21" t="str">
        <x:v>미검토</x:v>
      </x:c>
      <x:c r="U69" s="21" t="str"/>
    </x:row>
    <x:row r="70" ht="53.25" customHeight="1">
      <x:c r="A70" s="3" t="str">
        <x:v>L14-AC</x:v>
      </x:c>
      <x:c r="B70" s="3" t="str">
        <x:v>L14</x:v>
      </x:c>
      <x:c r="C70" s="3" t="str">
        <x:v>AC</x:v>
      </x:c>
      <x:c r="D70" s="3" t="str">
        <x:v>연결 책임명확성</x:v>
      </x:c>
      <x:c r="E70" s="3" t="str">
        <x:v>구조·근거 보류</x:v>
      </x:c>
      <x:c r="F70" s="3" t="str">
        <x:v>우리 조직에서는 사고·비상 대응와 복구 사이의 해당 연결을 조정할 책임 역할 또는 부서가 명확하다.</x:v>
      </x:c>
      <x:c r="G70" s="3" t="str">
        <x:v>우리 조직에서는 복구가 사고 대응의 하위 절차로 수행되어 대응 결과를 이어받을 때, 그 연결의 검토·승인·변경에 대한 책임자(또는 부서)가 정해져 있다.</x:v>
      </x:c>
      <x:c r="H70" s="3" t="str">
        <x:v>E1</x:v>
      </x:c>
      <x:c r="I70" s="3" t="str">
        <x:v>A21</x:v>
      </x:c>
      <x:c r="J70" s="3" t="str">
        <x:v>A49·A50; S07 출판사 초록</x:v>
      </x:c>
      <x:c r="K70" s="3" t="str">
        <x:v>원문은 복구를 포함한다고 말한다. INC에서 REC로의 시간적 전환을 직접 입증하지 않는다. 기존 ID 보존용으로 남기며 현재 전문가 문항 심사·설문 투입 대상에서 제외.</x:v>
      </x:c>
      <x:c r="L70" s="22"/>
      <x:c r="M70" s="22"/>
      <x:c r="N70" s="22"/>
      <x:c r="O70" s="22"/>
      <x:c r="P70" s="22"/>
      <x:c r="Q70" s="22"/>
      <x:c r="R70" s="23" t="str">
        <x:f>IF(COUNT(L70:Q70)=6,COUNTIF(L70:Q70,"&gt;=3")/6,"")</x:f>
      </x:c>
      <x:c r="S70" s="3" t="str">
        <x:f>IF(COUNT(L70:Q70)=6,"6인 평가 완료","평가 미완료")</x:f>
        <x:v>평가 미완료</x:v>
      </x:c>
      <x:c r="T70" s="21" t="str">
        <x:v>미검토</x:v>
      </x:c>
      <x:c r="U70" s="21" t="str"/>
    </x:row>
    <x:row r="71" ht="53.25" customHeight="1">
      <x:c r="A71" s="6" t="str">
        <x:v>L14-TM</x:v>
      </x:c>
      <x:c r="B71" s="6" t="str">
        <x:v>L14</x:v>
      </x:c>
      <x:c r="C71" s="6" t="str">
        <x:v>TM</x:v>
      </x:c>
      <x:c r="D71" s="6" t="str">
        <x:v>변경전파 적시성</x:v>
      </x:c>
      <x:c r="E71" s="6" t="str">
        <x:v>구조·근거 보류</x:v>
      </x:c>
      <x:c r="F71" s="6" t="str">
        <x:v>우리 조직에서는 사고 대응 절차가 바뀌면, 그 변경 정보가 복구 업무에 필요한 시점 이전에 전달·처리된다.</x:v>
      </x:c>
      <x:c r="G71" s="6" t="str">
        <x:v>우리 조직에서는 사고 대응 절차가 바뀌면, 복구 절차에 정해진 기간 안에 반영된다.</x:v>
      </x:c>
      <x:c r="H71" s="6" t="str">
        <x:v>E1</x:v>
      </x:c>
      <x:c r="I71" s="6" t="str">
        <x:v>A21</x:v>
      </x:c>
      <x:c r="J71" s="6" t="str">
        <x:v>S04 PDF pp.4–5 저널 pp.214–215; A27·A28·A41</x:v>
      </x:c>
      <x:c r="K71" s="6" t="str">
        <x:v>원문은 복구를 포함한다고 말한다. INC에서 REC로의 시간적 전환을 직접 입증하지 않는다. 기존 ID 보존용으로 남기며 현재 전문가 문항 심사·설문 투입 대상에서 제외.</x:v>
      </x:c>
      <x:c r="L71" s="22"/>
      <x:c r="M71" s="22"/>
      <x:c r="N71" s="22"/>
      <x:c r="O71" s="22"/>
      <x:c r="P71" s="22"/>
      <x:c r="Q71" s="22"/>
      <x:c r="R71" s="24" t="str">
        <x:f>IF(COUNT(L71:Q71)=6,COUNTIF(L71:Q71,"&gt;=3")/6,"")</x:f>
      </x:c>
      <x:c r="S71" s="6" t="str">
        <x:f>IF(COUNT(L71:Q71)=6,"6인 평가 완료","평가 미완료")</x:f>
        <x:v>평가 미완료</x:v>
      </x:c>
      <x:c r="T71" s="21" t="str">
        <x:v>미검토</x:v>
      </x:c>
      <x:c r="U71" s="21" t="str"/>
    </x:row>
    <x:row r="72" ht="39" customHeight="1">
      <x:c r="A72" s="3" t="str">
        <x:v>L15-CO</x:v>
      </x:c>
      <x:c r="B72" s="3" t="str">
        <x:v>L15</x:v>
      </x:c>
      <x:c r="C72" s="3" t="str">
        <x:v>CO</x:v>
      </x:c>
      <x:c r="D72" s="3" t="str">
        <x:v>정합성</x:v>
      </x:c>
      <x:c r="E72" s="3" t="str">
        <x:v>연결 품질 후보</x:v>
      </x:c>
      <x:c r="F72" s="3" t="str">
        <x:v>우리 조직에서는 BC 계획·절차가 훈련·연습으로 시험될 때, 두 내용 중 서로 대응해야 하는 기준·수치·전제에 모순이 없다.</x:v>
      </x:c>
      <x:c r="G72" s="3" t="str">
        <x:v>우리 조직에서는 BC 계획·절차가 훈련·연습으로 시험될 때, 두 내용이 서로 모순 없이 일치한다.</x:v>
      </x:c>
      <x:c r="H72" s="3" t="str">
        <x:v>E1</x:v>
      </x:c>
      <x:c r="I72" s="3" t="str">
        <x:v>A23</x:v>
      </x:c>
      <x:c r="J72" s="3" t="str">
        <x:v>A12·A14·A16; S06</x:v>
      </x:c>
      <x:c r="K72" s="3" t="str">
        <x:v>서로 다른 프로세스 산출물의 내용 전체가 동일해야 한다는 오해를 줄임.</x:v>
      </x:c>
      <x:c r="L72" s="21"/>
      <x:c r="M72" s="21"/>
      <x:c r="N72" s="21"/>
      <x:c r="O72" s="21"/>
      <x:c r="P72" s="21"/>
      <x:c r="Q72" s="21"/>
      <x:c r="R72" s="23" t="str">
        <x:f>IF(COUNT(L72:Q72)=6,COUNTIF(L72:Q72,"&gt;=3")/6,"")</x:f>
      </x:c>
      <x:c r="S72" s="3" t="str">
        <x:f>IF(COUNT(L72:Q72)=6,"6인 평가 완료","평가 미완료")</x:f>
        <x:v>평가 미완료</x:v>
      </x:c>
      <x:c r="T72" s="21" t="str">
        <x:v>미검토</x:v>
      </x:c>
      <x:c r="U72" s="21" t="str"/>
    </x:row>
    <x:row r="73" ht="39" customHeight="1">
      <x:c r="A73" s="6" t="str">
        <x:v>L15-TR</x:v>
      </x:c>
      <x:c r="B73" s="6" t="str">
        <x:v>L15</x:v>
      </x:c>
      <x:c r="C73" s="6" t="str">
        <x:v>TR</x:v>
      </x:c>
      <x:c r="D73" s="6" t="str">
        <x:v>근거 추적가능성</x:v>
      </x:c>
      <x:c r="E73" s="6" t="str">
        <x:v>연결 품질 후보</x:v>
      </x:c>
      <x:c r="F73" s="6" t="str">
        <x:v>우리 조직에서는 훈련·연습 시나리오에서 근거가 된 BC 계획·절차를 식별자나 문서 위치를 통해 찾아갈 수 있다.</x:v>
      </x:c>
      <x:c r="G73" s="6" t="str">
        <x:v>우리 조직에서는 훈련·연습 시나리오에서 근거가 된 BC 계획·절차를 거슬러 찾아 확인할 수 있다.</x:v>
      </x:c>
      <x:c r="H73" s="6" t="str">
        <x:v>E1</x:v>
      </x:c>
      <x:c r="I73" s="6" t="str">
        <x:v>A23</x:v>
      </x:c>
      <x:c r="J73" s="6" t="str">
        <x:v>S01 §5.1 PDF p.4 저널 pp.94–101</x:v>
      </x:c>
      <x:c r="K73" s="6" t="str">
        <x:v>후방 근거 추적 문항. 전방 추적은 측정 범위에 포함됐다고 주장하지 않음.</x:v>
      </x:c>
      <x:c r="L73" s="21"/>
      <x:c r="M73" s="21"/>
      <x:c r="N73" s="21"/>
      <x:c r="O73" s="21"/>
      <x:c r="P73" s="21"/>
      <x:c r="Q73" s="21"/>
      <x:c r="R73" s="24" t="str">
        <x:f>IF(COUNT(L73:Q73)=6,COUNTIF(L73:Q73,"&gt;=3")/6,"")</x:f>
      </x:c>
      <x:c r="S73" s="6" t="str">
        <x:f>IF(COUNT(L73:Q73)=6,"6인 평가 완료","평가 미완료")</x:f>
        <x:v>평가 미완료</x:v>
      </x:c>
      <x:c r="T73" s="21" t="str">
        <x:v>미검토</x:v>
      </x:c>
      <x:c r="U73" s="21" t="str"/>
    </x:row>
    <x:row r="74" ht="39" customHeight="1">
      <x:c r="A74" s="3" t="str">
        <x:v>L15-EV</x:v>
      </x:c>
      <x:c r="B74" s="3" t="str">
        <x:v>L15</x:v>
      </x:c>
      <x:c r="C74" s="3" t="str">
        <x:v>EV</x:v>
      </x:c>
      <x:c r="D74" s="3" t="str">
        <x:v>연결 증빙가능성</x:v>
      </x:c>
      <x:c r="E74" s="3" t="str">
        <x:v>연결 품질 후보</x:v>
      </x:c>
      <x:c r="F74" s="3" t="str">
        <x:v>우리 조직에서는 BC 계획·절차가 훈련·연습으로 시험될 때, 실제 사용 또는 평가 사실을 보여 주는 기록이 남아 있다.</x:v>
      </x:c>
      <x:c r="G74" s="3" t="str">
        <x:v>우리 조직에서는 BC 계획·절차가 훈련·연습으로 시험될 때, 그 사실을 입증하는 문서·기록·승인(검토 기록, 회의록, 버전 이력 등)이 남아 있다.</x:v>
      </x:c>
      <x:c r="H74" s="3" t="str">
        <x:v>E1</x:v>
      </x:c>
      <x:c r="I74" s="3" t="str">
        <x:v>A23</x:v>
      </x:c>
      <x:c r="J74" s="3" t="str">
        <x:v>B17 PDF p.6; A13·A37</x:v>
      </x:c>
      <x:c r="K74" s="3" t="str">
        <x:v>문서 보유가 아니라 연결의 실제 수행 사실을 증명하는 기록을 묻도록 수정.</x:v>
      </x:c>
      <x:c r="L74" s="21"/>
      <x:c r="M74" s="21"/>
      <x:c r="N74" s="21"/>
      <x:c r="O74" s="21"/>
      <x:c r="P74" s="21"/>
      <x:c r="Q74" s="21"/>
      <x:c r="R74" s="23" t="str">
        <x:f>IF(COUNT(L74:Q74)=6,COUNTIF(L74:Q74,"&gt;=3")/6,"")</x:f>
      </x:c>
      <x:c r="S74" s="3" t="str">
        <x:f>IF(COUNT(L74:Q74)=6,"6인 평가 완료","평가 미완료")</x:f>
        <x:v>평가 미완료</x:v>
      </x:c>
      <x:c r="T74" s="21" t="str">
        <x:v>미검토</x:v>
      </x:c>
      <x:c r="U74" s="21" t="str"/>
    </x:row>
    <x:row r="75" ht="39" customHeight="1">
      <x:c r="A75" s="6" t="str">
        <x:v>L15-AC</x:v>
      </x:c>
      <x:c r="B75" s="6" t="str">
        <x:v>L15</x:v>
      </x:c>
      <x:c r="C75" s="6" t="str">
        <x:v>AC</x:v>
      </x:c>
      <x:c r="D75" s="6" t="str">
        <x:v>연결 책임명확성</x:v>
      </x:c>
      <x:c r="E75" s="6" t="str">
        <x:v>관리조건 후보</x:v>
      </x:c>
      <x:c r="F75" s="6" t="str">
        <x:v>우리 조직에서는 BC 계획·절차 개발와 BC 계획·절차 훈련·연습 사이의 해당 연결을 조정할 책임 역할 또는 부서가 명확하다.</x:v>
      </x:c>
      <x:c r="G75" s="6" t="str">
        <x:v>우리 조직에서는 BC 계획·절차가 훈련·연습으로 시험될 때, 그 연결의 검토·승인·변경에 대한 책임자(또는 부서)가 정해져 있다.</x:v>
      </x:c>
      <x:c r="H75" s="6" t="str">
        <x:v>E1</x:v>
      </x:c>
      <x:c r="I75" s="6" t="str">
        <x:v>A23</x:v>
      </x:c>
      <x:c r="J75" s="6" t="str">
        <x:v>A49·A50; S07 출판사 초록</x:v>
      </x:c>
      <x:c r="K75" s="6" t="str">
        <x:v>검토·승인·변경의 세 질문을 단일 조정 책임으로 바꿈. Accountability와 동일 개념으로 인용하지 않음.</x:v>
      </x:c>
      <x:c r="L75" s="21"/>
      <x:c r="M75" s="21"/>
      <x:c r="N75" s="21"/>
      <x:c r="O75" s="21"/>
      <x:c r="P75" s="21"/>
      <x:c r="Q75" s="21"/>
      <x:c r="R75" s="24" t="str">
        <x:f>IF(COUNT(L75:Q75)=6,COUNTIF(L75:Q75,"&gt;=3")/6,"")</x:f>
      </x:c>
      <x:c r="S75" s="6" t="str">
        <x:f>IF(COUNT(L75:Q75)=6,"6인 평가 완료","평가 미완료")</x:f>
        <x:v>평가 미완료</x:v>
      </x:c>
      <x:c r="T75" s="21" t="str">
        <x:v>미검토</x:v>
      </x:c>
      <x:c r="U75" s="21" t="str"/>
    </x:row>
    <x:row r="76" ht="39" customHeight="1">
      <x:c r="A76" s="3" t="str">
        <x:v>L15-TM</x:v>
      </x:c>
      <x:c r="B76" s="3" t="str">
        <x:v>L15</x:v>
      </x:c>
      <x:c r="C76" s="3" t="str">
        <x:v>TM</x:v>
      </x:c>
      <x:c r="D76" s="3" t="str">
        <x:v>변경전파 적시성</x:v>
      </x:c>
      <x:c r="E76" s="3" t="str">
        <x:v>연결 품질 후보</x:v>
      </x:c>
      <x:c r="F76" s="3" t="str">
        <x:v>우리 조직에서는 BC 계획·절차가 바뀌면, 그 변경 정보가 BC 계획·절차 훈련·연습 업무에 필요한 시점 이전에 전달·처리된다.</x:v>
      </x:c>
      <x:c r="G76" s="3" t="str">
        <x:v>우리 조직에서는 BC 계획·절차가 바뀌면, 훈련·연습 시나리오에 정해진 기간 안에 반영된다.</x:v>
      </x:c>
      <x:c r="H76" s="3" t="str">
        <x:v>E1</x:v>
      </x:c>
      <x:c r="I76" s="3" t="str">
        <x:v>A23</x:v>
      </x:c>
      <x:c r="J76" s="3" t="str">
        <x:v>S04 PDF pp.4–5 저널 pp.214–215; A27·A28·A41</x:v>
      </x:c>
      <x:c r="K76" s="3" t="str">
        <x:v>과업에 필요한 시점을 기준으로 함. 변경이 없었던 조직은 별도 코드로 처리.</x:v>
      </x:c>
      <x:c r="L76" s="21"/>
      <x:c r="M76" s="21"/>
      <x:c r="N76" s="21"/>
      <x:c r="O76" s="21"/>
      <x:c r="P76" s="21"/>
      <x:c r="Q76" s="21"/>
      <x:c r="R76" s="23" t="str">
        <x:f>IF(COUNT(L76:Q76)=6,COUNTIF(L76:Q76,"&gt;=3")/6,"")</x:f>
      </x:c>
      <x:c r="S76" s="3" t="str">
        <x:f>IF(COUNT(L76:Q76)=6,"6인 평가 완료","평가 미완료")</x:f>
        <x:v>평가 미완료</x:v>
      </x:c>
      <x:c r="T76" s="21" t="str">
        <x:v>미검토</x:v>
      </x:c>
      <x:c r="U76" s="21" t="str"/>
    </x:row>
    <x:row r="77" ht="39" customHeight="1">
      <x:c r="A77" s="6" t="str">
        <x:v>L16-CO</x:v>
      </x:c>
      <x:c r="B77" s="6" t="str">
        <x:v>L16</x:v>
      </x:c>
      <x:c r="C77" s="6" t="str">
        <x:v>CO</x:v>
      </x:c>
      <x:c r="D77" s="6" t="str">
        <x:v>정합성</x:v>
      </x:c>
      <x:c r="E77" s="6" t="str">
        <x:v>연결 품질 후보</x:v>
      </x:c>
      <x:c r="F77" s="6" t="str">
        <x:v>우리 조직에서는 연습 결과(문제점·개선 사항)가 BC 계획·절차의 개정으로 이어질 때, 두 내용 중 서로 대응해야 하는 기준·수치·전제에 모순이 없다.</x:v>
      </x:c>
      <x:c r="G77" s="6" t="str">
        <x:v>우리 조직에서는 연습 결과(문제점·개선 사항)가 BC 계획·절차의 개정으로 이어질 때, 두 내용이 서로 모순 없이 일치한다.</x:v>
      </x:c>
      <x:c r="H77" s="6" t="str">
        <x:v>E2</x:v>
      </x:c>
      <x:c r="I77" s="6" t="str">
        <x:v>A23</x:v>
      </x:c>
      <x:c r="J77" s="6" t="str">
        <x:v>A12·A14·A16; S06</x:v>
      </x:c>
      <x:c r="K77" s="6" t="str">
        <x:v>서로 다른 프로세스 산출물의 내용 전체가 동일해야 한다는 오해를 줄임.</x:v>
      </x:c>
      <x:c r="L77" s="21"/>
      <x:c r="M77" s="21"/>
      <x:c r="N77" s="21"/>
      <x:c r="O77" s="21"/>
      <x:c r="P77" s="21"/>
      <x:c r="Q77" s="21"/>
      <x:c r="R77" s="24" t="str">
        <x:f>IF(COUNT(L77:Q77)=6,COUNTIF(L77:Q77,"&gt;=3")/6,"")</x:f>
      </x:c>
      <x:c r="S77" s="6" t="str">
        <x:f>IF(COUNT(L77:Q77)=6,"6인 평가 완료","평가 미완료")</x:f>
        <x:v>평가 미완료</x:v>
      </x:c>
      <x:c r="T77" s="21" t="str">
        <x:v>미검토</x:v>
      </x:c>
      <x:c r="U77" s="21" t="str"/>
    </x:row>
    <x:row r="78" ht="39" customHeight="1">
      <x:c r="A78" s="3" t="str">
        <x:v>L16-TR</x:v>
      </x:c>
      <x:c r="B78" s="3" t="str">
        <x:v>L16</x:v>
      </x:c>
      <x:c r="C78" s="3" t="str">
        <x:v>TR</x:v>
      </x:c>
      <x:c r="D78" s="3" t="str">
        <x:v>근거 추적가능성</x:v>
      </x:c>
      <x:c r="E78" s="3" t="str">
        <x:v>연결 품질 후보</x:v>
      </x:c>
      <x:c r="F78" s="3" t="str">
        <x:v>우리 조직에서는 BC 계획·절차에서 근거가 된 연습 결과를 식별자나 문서 위치를 통해 찾아갈 수 있다.</x:v>
      </x:c>
      <x:c r="G78" s="3" t="str">
        <x:v>우리 조직에서는 BC 계획·절차에서 근거가 된 연습 결과를 거슬러 찾아 확인할 수 있다.</x:v>
      </x:c>
      <x:c r="H78" s="3" t="str">
        <x:v>E2</x:v>
      </x:c>
      <x:c r="I78" s="3" t="str">
        <x:v>A23</x:v>
      </x:c>
      <x:c r="J78" s="3" t="str">
        <x:v>S01 §5.1 PDF p.4 저널 pp.94–101</x:v>
      </x:c>
      <x:c r="K78" s="3" t="str">
        <x:v>후방 근거 추적 문항. 전방 추적은 측정 범위에 포함됐다고 주장하지 않음.</x:v>
      </x:c>
      <x:c r="L78" s="21"/>
      <x:c r="M78" s="21"/>
      <x:c r="N78" s="21"/>
      <x:c r="O78" s="21"/>
      <x:c r="P78" s="21"/>
      <x:c r="Q78" s="21"/>
      <x:c r="R78" s="23" t="str">
        <x:f>IF(COUNT(L78:Q78)=6,COUNTIF(L78:Q78,"&gt;=3")/6,"")</x:f>
      </x:c>
      <x:c r="S78" s="3" t="str">
        <x:f>IF(COUNT(L78:Q78)=6,"6인 평가 완료","평가 미완료")</x:f>
        <x:v>평가 미완료</x:v>
      </x:c>
      <x:c r="T78" s="21" t="str">
        <x:v>미검토</x:v>
      </x:c>
      <x:c r="U78" s="21" t="str"/>
    </x:row>
    <x:row r="79" ht="39" customHeight="1">
      <x:c r="A79" s="6" t="str">
        <x:v>L16-EV</x:v>
      </x:c>
      <x:c r="B79" s="6" t="str">
        <x:v>L16</x:v>
      </x:c>
      <x:c r="C79" s="6" t="str">
        <x:v>EV</x:v>
      </x:c>
      <x:c r="D79" s="6" t="str">
        <x:v>연결 증빙가능성</x:v>
      </x:c>
      <x:c r="E79" s="6" t="str">
        <x:v>연결 품질 후보</x:v>
      </x:c>
      <x:c r="F79" s="6" t="str">
        <x:v>우리 조직에서는 연습 결과(문제점·개선 사항)가 BC 계획·절차의 개정으로 이어질 때, 실제 사용 또는 평가 사실을 보여 주는 기록이 남아 있다.</x:v>
      </x:c>
      <x:c r="G79" s="6" t="str">
        <x:v>우리 조직에서는 연습 결과(문제점·개선 사항)가 BC 계획·절차의 개정으로 이어질 때, 그 사실을 입증하는 문서·기록·승인(검토 기록, 회의록, 버전 이력 등)이 남아 있다.</x:v>
      </x:c>
      <x:c r="H79" s="6" t="str">
        <x:v>E2</x:v>
      </x:c>
      <x:c r="I79" s="6" t="str">
        <x:v>A23</x:v>
      </x:c>
      <x:c r="J79" s="6" t="str">
        <x:v>B17 PDF p.6; A13·A37</x:v>
      </x:c>
      <x:c r="K79" s="6" t="str">
        <x:v>문서 보유가 아니라 연결의 실제 수행 사실을 증명하는 기록을 묻도록 수정.</x:v>
      </x:c>
      <x:c r="L79" s="21"/>
      <x:c r="M79" s="21"/>
      <x:c r="N79" s="21"/>
      <x:c r="O79" s="21"/>
      <x:c r="P79" s="21"/>
      <x:c r="Q79" s="21"/>
      <x:c r="R79" s="24" t="str">
        <x:f>IF(COUNT(L79:Q79)=6,COUNTIF(L79:Q79,"&gt;=3")/6,"")</x:f>
      </x:c>
      <x:c r="S79" s="6" t="str">
        <x:f>IF(COUNT(L79:Q79)=6,"6인 평가 완료","평가 미완료")</x:f>
        <x:v>평가 미완료</x:v>
      </x:c>
      <x:c r="T79" s="21" t="str">
        <x:v>미검토</x:v>
      </x:c>
      <x:c r="U79" s="21" t="str"/>
    </x:row>
    <x:row r="80" ht="39" customHeight="1">
      <x:c r="A80" s="3" t="str">
        <x:v>L16-AC</x:v>
      </x:c>
      <x:c r="B80" s="3" t="str">
        <x:v>L16</x:v>
      </x:c>
      <x:c r="C80" s="3" t="str">
        <x:v>AC</x:v>
      </x:c>
      <x:c r="D80" s="3" t="str">
        <x:v>연결 책임명확성</x:v>
      </x:c>
      <x:c r="E80" s="3" t="str">
        <x:v>관리조건 후보</x:v>
      </x:c>
      <x:c r="F80" s="3" t="str">
        <x:v>우리 조직에서는 BC 계획·절차 훈련·연습와 BC 계획·절차 개발 사이의 해당 연결을 조정할 책임 역할 또는 부서가 명확하다.</x:v>
      </x:c>
      <x:c r="G80" s="3" t="str">
        <x:v>우리 조직에서는 연습 결과(문제점·개선 사항)가 BC 계획·절차의 개정으로 이어질 때, 그 연결의 검토·승인·변경에 대한 책임자(또는 부서)가 정해져 있다.</x:v>
      </x:c>
      <x:c r="H80" s="3" t="str">
        <x:v>E2</x:v>
      </x:c>
      <x:c r="I80" s="3" t="str">
        <x:v>A23</x:v>
      </x:c>
      <x:c r="J80" s="3" t="str">
        <x:v>A49·A50; S07 출판사 초록</x:v>
      </x:c>
      <x:c r="K80" s="3" t="str">
        <x:v>검토·승인·변경의 세 질문을 단일 조정 책임으로 바꿈. Accountability와 동일 개념으로 인용하지 않음.</x:v>
      </x:c>
      <x:c r="L80" s="21"/>
      <x:c r="M80" s="21"/>
      <x:c r="N80" s="21"/>
      <x:c r="O80" s="21"/>
      <x:c r="P80" s="21"/>
      <x:c r="Q80" s="21"/>
      <x:c r="R80" s="23" t="str">
        <x:f>IF(COUNT(L80:Q80)=6,COUNTIF(L80:Q80,"&gt;=3")/6,"")</x:f>
      </x:c>
      <x:c r="S80" s="3" t="str">
        <x:f>IF(COUNT(L80:Q80)=6,"6인 평가 완료","평가 미완료")</x:f>
        <x:v>평가 미완료</x:v>
      </x:c>
      <x:c r="T80" s="21" t="str">
        <x:v>미검토</x:v>
      </x:c>
      <x:c r="U80" s="21" t="str"/>
    </x:row>
    <x:row r="81" ht="39" customHeight="1">
      <x:c r="A81" s="6" t="str">
        <x:v>L16-TM</x:v>
      </x:c>
      <x:c r="B81" s="6" t="str">
        <x:v>L16</x:v>
      </x:c>
      <x:c r="C81" s="6" t="str">
        <x:v>TM</x:v>
      </x:c>
      <x:c r="D81" s="6" t="str">
        <x:v>변경전파 적시성</x:v>
      </x:c>
      <x:c r="E81" s="6" t="str">
        <x:v>연결 품질 후보</x:v>
      </x:c>
      <x:c r="F81" s="6" t="str">
        <x:v>우리 조직에서는 새 연습 결과가 나오면, 그 변경 정보가 BC 계획·절차 개발 업무에 필요한 시점 이전에 전달·처리된다.</x:v>
      </x:c>
      <x:c r="G81" s="6" t="str">
        <x:v>우리 조직에서는 새 연습 결과가 나오면, BC 계획·절차에 정해진 기간 안에 반영된다.</x:v>
      </x:c>
      <x:c r="H81" s="6" t="str">
        <x:v>E2</x:v>
      </x:c>
      <x:c r="I81" s="6" t="str">
        <x:v>A23</x:v>
      </x:c>
      <x:c r="J81" s="6" t="str">
        <x:v>S04 PDF pp.4–5 저널 pp.214–215; A27·A28·A41</x:v>
      </x:c>
      <x:c r="K81" s="6" t="str">
        <x:v>과업에 필요한 시점을 기준으로 함. 변경이 없었던 조직은 별도 코드로 처리.</x:v>
      </x:c>
      <x:c r="L81" s="21"/>
      <x:c r="M81" s="21"/>
      <x:c r="N81" s="21"/>
      <x:c r="O81" s="21"/>
      <x:c r="P81" s="21"/>
      <x:c r="Q81" s="21"/>
      <x:c r="R81" s="24" t="str">
        <x:f>IF(COUNT(L81:Q81)=6,COUNTIF(L81:Q81,"&gt;=3")/6,"")</x:f>
      </x:c>
      <x:c r="S81" s="6" t="str">
        <x:f>IF(COUNT(L81:Q81)=6,"6인 평가 완료","평가 미완료")</x:f>
        <x:v>평가 미완료</x:v>
      </x:c>
      <x:c r="T81" s="21" t="str">
        <x:v>미검토</x:v>
      </x:c>
      <x:c r="U81" s="21" t="str"/>
    </x:row>
    <x:row r="82" ht="39" customHeight="1">
      <x:c r="A82" s="3" t="str">
        <x:v>L16-FC</x:v>
      </x:c>
      <x:c r="B82" s="3" t="str">
        <x:v>L16</x:v>
      </x:c>
      <x:c r="C82" s="3" t="str">
        <x:v>FC</x:v>
      </x:c>
      <x:c r="D82" s="3" t="str">
        <x:v>개선조치 완결성</x:v>
      </x:c>
      <x:c r="E82" s="3" t="str">
        <x:v>경로 개념 보류</x:v>
      </x:c>
      <x:c r="F82" s="3" t="str">
        <x:v>우리 조직에서는 연습 결과에 따른 계획·절차 개선조치가 지정된 종료 기준을 충족하여 종결된다.</x:v>
      </x:c>
      <x:c r="G82" s="3" t="str">
        <x:v>우리 조직에서는 연습에서 문제점·개선 사항이 나오면, BC 계획·절차의 재수정까지 조치가 이어져 완료가 확인된다.</x:v>
      </x:c>
      <x:c r="H82" s="3" t="str">
        <x:v>E2</x:v>
      </x:c>
      <x:c r="I82" s="3" t="str">
        <x:v>A23</x:v>
      </x:c>
      <x:c r="J82" s="3" t="str">
        <x:v>A23·A25·A29; 추가 직접 근거 필요</x:v>
      </x:c>
      <x:c r="K82" s="3" t="str">
        <x:v>평가→조치→종결의 경로 개체와 종료 기준 확보 전 개념 보류. 원문의 직접 인용 문항 아님.</x:v>
      </x:c>
      <x:c r="L82" s="22"/>
      <x:c r="M82" s="22"/>
      <x:c r="N82" s="22"/>
      <x:c r="O82" s="22"/>
      <x:c r="P82" s="22"/>
      <x:c r="Q82" s="22"/>
      <x:c r="R82" s="23" t="str">
        <x:f>IF(COUNT(L82:Q82)=6,COUNTIF(L82:Q82,"&gt;=3")/6,"")</x:f>
      </x:c>
      <x:c r="S82" s="3" t="str">
        <x:f>IF(COUNT(L82:Q82)=6,"6인 평가 완료","평가 미완료")</x:f>
        <x:v>평가 미완료</x:v>
      </x:c>
      <x:c r="T82" s="21" t="str">
        <x:v>미검토</x:v>
      </x:c>
      <x:c r="U82" s="21" t="str"/>
    </x:row>
    <x:row r="83" ht="53.25" customHeight="1">
      <x:c r="A83" s="6" t="str">
        <x:v>L17-CO</x:v>
      </x:c>
      <x:c r="B83" s="6" t="str">
        <x:v>L17</x:v>
      </x:c>
      <x:c r="C83" s="6" t="str">
        <x:v>CO</x:v>
      </x:c>
      <x:c r="D83" s="6" t="str">
        <x:v>정합성</x:v>
      </x:c>
      <x:c r="E83" s="6" t="str">
        <x:v>구조·근거 보류</x:v>
      </x:c>
      <x:c r="F83" s="6" t="str">
        <x:v>우리 조직에서는 BC 계획·절차와 역할이 인식·교육 프로그램의 내용으로 입력될 때, 두 내용 중 서로 대응해야 하는 기준·수치·전제에 모순이 없다.</x:v>
      </x:c>
      <x:c r="G83" s="6" t="str">
        <x:v>우리 조직에서는 BC 계획·절차와 역할이 인식·교육 프로그램의 내용으로 입력될 때, 두 내용이 서로 모순 없이 일치한다.</x:v>
      </x:c>
      <x:c r="H83" s="6" t="str">
        <x:v>E3</x:v>
      </x:c>
      <x:c r="I83" s="6" t="str">
        <x:v>(없음)</x:v>
      </x:c>
      <x:c r="J83" s="6" t="str">
        <x:v>A12·A14·A16; S06</x:v>
      </x:c>
      <x:c r="K83" s="6" t="str">
        <x:v>교육과 계획의 개별 설명만으로 PLAN→AWR의 직접 관계를 확정할 수 없다. 기존 ID 보존용으로 남기며 현재 전문가 문항 심사·설문 투입 대상에서 제외.</x:v>
      </x:c>
      <x:c r="L83" s="22"/>
      <x:c r="M83" s="22"/>
      <x:c r="N83" s="22"/>
      <x:c r="O83" s="22"/>
      <x:c r="P83" s="22"/>
      <x:c r="Q83" s="22"/>
      <x:c r="R83" s="24" t="str">
        <x:f>IF(COUNT(L83:Q83)=6,COUNTIF(L83:Q83,"&gt;=3")/6,"")</x:f>
      </x:c>
      <x:c r="S83" s="6" t="str">
        <x:f>IF(COUNT(L83:Q83)=6,"6인 평가 완료","평가 미완료")</x:f>
        <x:v>평가 미완료</x:v>
      </x:c>
      <x:c r="T83" s="21" t="str">
        <x:v>미검토</x:v>
      </x:c>
      <x:c r="U83" s="21" t="str"/>
    </x:row>
    <x:row r="84" ht="53.25" customHeight="1">
      <x:c r="A84" s="3" t="str">
        <x:v>L17-TR</x:v>
      </x:c>
      <x:c r="B84" s="3" t="str">
        <x:v>L17</x:v>
      </x:c>
      <x:c r="C84" s="3" t="str">
        <x:v>TR</x:v>
      </x:c>
      <x:c r="D84" s="3" t="str">
        <x:v>근거 추적가능성</x:v>
      </x:c>
      <x:c r="E84" s="3" t="str">
        <x:v>구조·근거 보류</x:v>
      </x:c>
      <x:c r="F84" s="3" t="str">
        <x:v>우리 조직에서는 교육 프로그램 내용에서 근거가 된 BC 계획·절차를 식별자나 문서 위치를 통해 찾아갈 수 있다.</x:v>
      </x:c>
      <x:c r="G84" s="3" t="str">
        <x:v>우리 조직에서는 교육 프로그램 내용에서 근거가 된 BC 계획·절차를 거슬러 찾아 확인할 수 있다.</x:v>
      </x:c>
      <x:c r="H84" s="3" t="str">
        <x:v>E3</x:v>
      </x:c>
      <x:c r="I84" s="3" t="str">
        <x:v>(없음)</x:v>
      </x:c>
      <x:c r="J84" s="3" t="str">
        <x:v>S01 §5.1 PDF p.4 저널 pp.94–101</x:v>
      </x:c>
      <x:c r="K84" s="3" t="str">
        <x:v>교육과 계획의 개별 설명만으로 PLAN→AWR의 직접 관계를 확정할 수 없다. 기존 ID 보존용으로 남기며 현재 전문가 문항 심사·설문 투입 대상에서 제외.</x:v>
      </x:c>
      <x:c r="L84" s="22"/>
      <x:c r="M84" s="22"/>
      <x:c r="N84" s="22"/>
      <x:c r="O84" s="22"/>
      <x:c r="P84" s="22"/>
      <x:c r="Q84" s="22"/>
      <x:c r="R84" s="23" t="str">
        <x:f>IF(COUNT(L84:Q84)=6,COUNTIF(L84:Q84,"&gt;=3")/6,"")</x:f>
      </x:c>
      <x:c r="S84" s="3" t="str">
        <x:f>IF(COUNT(L84:Q84)=6,"6인 평가 완료","평가 미완료")</x:f>
        <x:v>평가 미완료</x:v>
      </x:c>
      <x:c r="T84" s="21" t="str">
        <x:v>미검토</x:v>
      </x:c>
      <x:c r="U84" s="21" t="str"/>
    </x:row>
    <x:row r="85" ht="53.25" customHeight="1">
      <x:c r="A85" s="6" t="str">
        <x:v>L17-EV</x:v>
      </x:c>
      <x:c r="B85" s="6" t="str">
        <x:v>L17</x:v>
      </x:c>
      <x:c r="C85" s="6" t="str">
        <x:v>EV</x:v>
      </x:c>
      <x:c r="D85" s="6" t="str">
        <x:v>연결 증빙가능성</x:v>
      </x:c>
      <x:c r="E85" s="6" t="str">
        <x:v>구조·근거 보류</x:v>
      </x:c>
      <x:c r="F85" s="6" t="str">
        <x:v>우리 조직에서는 BC 계획·절차와 역할이 인식·교육 프로그램의 내용으로 입력될 때, 실제 사용 또는 평가 사실을 보여 주는 기록이 남아 있다.</x:v>
      </x:c>
      <x:c r="G85" s="6" t="str">
        <x:v>우리 조직에서는 BC 계획·절차와 역할이 인식·교육 프로그램의 내용으로 입력될 때, 그 사실을 입증하는 문서·기록·승인(검토 기록, 회의록, 버전 이력 등)이 남아 있다.</x:v>
      </x:c>
      <x:c r="H85" s="6" t="str">
        <x:v>E3</x:v>
      </x:c>
      <x:c r="I85" s="6" t="str">
        <x:v>(없음)</x:v>
      </x:c>
      <x:c r="J85" s="6" t="str">
        <x:v>B17 PDF p.6; A13·A37</x:v>
      </x:c>
      <x:c r="K85" s="6" t="str">
        <x:v>교육과 계획의 개별 설명만으로 PLAN→AWR의 직접 관계를 확정할 수 없다. 기존 ID 보존용으로 남기며 현재 전문가 문항 심사·설문 투입 대상에서 제외.</x:v>
      </x:c>
      <x:c r="L85" s="22"/>
      <x:c r="M85" s="22"/>
      <x:c r="N85" s="22"/>
      <x:c r="O85" s="22"/>
      <x:c r="P85" s="22"/>
      <x:c r="Q85" s="22"/>
      <x:c r="R85" s="24" t="str">
        <x:f>IF(COUNT(L85:Q85)=6,COUNTIF(L85:Q85,"&gt;=3")/6,"")</x:f>
      </x:c>
      <x:c r="S85" s="6" t="str">
        <x:f>IF(COUNT(L85:Q85)=6,"6인 평가 완료","평가 미완료")</x:f>
        <x:v>평가 미완료</x:v>
      </x:c>
      <x:c r="T85" s="21" t="str">
        <x:v>미검토</x:v>
      </x:c>
      <x:c r="U85" s="21" t="str"/>
    </x:row>
    <x:row r="86" ht="53.25" customHeight="1">
      <x:c r="A86" s="3" t="str">
        <x:v>L17-AC</x:v>
      </x:c>
      <x:c r="B86" s="3" t="str">
        <x:v>L17</x:v>
      </x:c>
      <x:c r="C86" s="3" t="str">
        <x:v>AC</x:v>
      </x:c>
      <x:c r="D86" s="3" t="str">
        <x:v>연결 책임명확성</x:v>
      </x:c>
      <x:c r="E86" s="3" t="str">
        <x:v>구조·근거 보류</x:v>
      </x:c>
      <x:c r="F86" s="3" t="str">
        <x:v>우리 조직에서는 BC 계획·절차 개발와 인식·역량·교육 사이의 해당 연결을 조정할 책임 역할 또는 부서가 명확하다.</x:v>
      </x:c>
      <x:c r="G86" s="3" t="str">
        <x:v>우리 조직에서는 BC 계획·절차와 역할이 인식·교육 프로그램의 내용으로 입력될 때, 그 연결의 검토·승인·변경에 대한 책임자(또는 부서)가 정해져 있다.</x:v>
      </x:c>
      <x:c r="H86" s="3" t="str">
        <x:v>E3</x:v>
      </x:c>
      <x:c r="I86" s="3" t="str">
        <x:v>(없음)</x:v>
      </x:c>
      <x:c r="J86" s="3" t="str">
        <x:v>A49·A50; S07 출판사 초록</x:v>
      </x:c>
      <x:c r="K86" s="3" t="str">
        <x:v>교육과 계획의 개별 설명만으로 PLAN→AWR의 직접 관계를 확정할 수 없다. 기존 ID 보존용으로 남기며 현재 전문가 문항 심사·설문 투입 대상에서 제외.</x:v>
      </x:c>
      <x:c r="L86" s="22"/>
      <x:c r="M86" s="22"/>
      <x:c r="N86" s="22"/>
      <x:c r="O86" s="22"/>
      <x:c r="P86" s="22"/>
      <x:c r="Q86" s="22"/>
      <x:c r="R86" s="23" t="str">
        <x:f>IF(COUNT(L86:Q86)=6,COUNTIF(L86:Q86,"&gt;=3")/6,"")</x:f>
      </x:c>
      <x:c r="S86" s="3" t="str">
        <x:f>IF(COUNT(L86:Q86)=6,"6인 평가 완료","평가 미완료")</x:f>
        <x:v>평가 미완료</x:v>
      </x:c>
      <x:c r="T86" s="21" t="str">
        <x:v>미검토</x:v>
      </x:c>
      <x:c r="U86" s="21" t="str"/>
    </x:row>
    <x:row r="87" ht="53.25" customHeight="1">
      <x:c r="A87" s="6" t="str">
        <x:v>L17-TM</x:v>
      </x:c>
      <x:c r="B87" s="6" t="str">
        <x:v>L17</x:v>
      </x:c>
      <x:c r="C87" s="6" t="str">
        <x:v>TM</x:v>
      </x:c>
      <x:c r="D87" s="6" t="str">
        <x:v>변경전파 적시성</x:v>
      </x:c>
      <x:c r="E87" s="6" t="str">
        <x:v>구조·근거 보류</x:v>
      </x:c>
      <x:c r="F87" s="6" t="str">
        <x:v>우리 조직에서는 BC 계획·절차가 바뀌면, 그 변경 정보가 인식·역량·교육 업무에 필요한 시점 이전에 전달·처리된다.</x:v>
      </x:c>
      <x:c r="G87" s="6" t="str">
        <x:v>우리 조직에서는 BC 계획·절차가 바뀌면, 교육 프로그램 내용에 정해진 기간 안에 반영된다.</x:v>
      </x:c>
      <x:c r="H87" s="6" t="str">
        <x:v>E3</x:v>
      </x:c>
      <x:c r="I87" s="6" t="str">
        <x:v>(없음)</x:v>
      </x:c>
      <x:c r="J87" s="6" t="str">
        <x:v>S04 PDF pp.4–5 저널 pp.214–215; A27·A28·A41</x:v>
      </x:c>
      <x:c r="K87" s="6" t="str">
        <x:v>교육과 계획의 개별 설명만으로 PLAN→AWR의 직접 관계를 확정할 수 없다. 기존 ID 보존용으로 남기며 현재 전문가 문항 심사·설문 투입 대상에서 제외.</x:v>
      </x:c>
      <x:c r="L87" s="22"/>
      <x:c r="M87" s="22"/>
      <x:c r="N87" s="22"/>
      <x:c r="O87" s="22"/>
      <x:c r="P87" s="22"/>
      <x:c r="Q87" s="22"/>
      <x:c r="R87" s="24" t="str">
        <x:f>IF(COUNT(L87:Q87)=6,COUNTIF(L87:Q87,"&gt;=3")/6,"")</x:f>
      </x:c>
      <x:c r="S87" s="6" t="str">
        <x:f>IF(COUNT(L87:Q87)=6,"6인 평가 완료","평가 미완료")</x:f>
        <x:v>평가 미완료</x:v>
      </x:c>
      <x:c r="T87" s="21" t="str">
        <x:v>미검토</x:v>
      </x:c>
      <x:c r="U87" s="21" t="str"/>
    </x:row>
    <x:row r="88" ht="39" customHeight="1">
      <x:c r="A88" s="3" t="str">
        <x:v>L18-CO</x:v>
      </x:c>
      <x:c r="B88" s="3" t="str">
        <x:v>L18</x:v>
      </x:c>
      <x:c r="C88" s="3" t="str">
        <x:v>CO</x:v>
      </x:c>
      <x:c r="D88" s="3" t="str">
        <x:v>정합성</x:v>
      </x:c>
      <x:c r="E88" s="3" t="str">
        <x:v>연결 품질 후보</x:v>
      </x:c>
      <x:c r="F88" s="3" t="str">
        <x:v>우리 조직에서는 성과평가 결과가 개선 과제로 환류될 때, 두 내용 중 서로 대응해야 하는 기준·수치·전제에 모순이 없다.</x:v>
      </x:c>
      <x:c r="G88" s="3" t="str">
        <x:v>우리 조직에서는 성과평가 결과가 개선 과제로 환류될 때, 두 내용이 서로 모순 없이 일치한다.</x:v>
      </x:c>
      <x:c r="H88" s="3" t="str">
        <x:v>E1</x:v>
      </x:c>
      <x:c r="I88" s="3" t="str">
        <x:v>A25</x:v>
      </x:c>
      <x:c r="J88" s="3" t="str">
        <x:v>A12·A14·A16; S06</x:v>
      </x:c>
      <x:c r="K88" s="3" t="str">
        <x:v>서로 다른 프로세스 산출물의 내용 전체가 동일해야 한다는 오해를 줄임.</x:v>
      </x:c>
      <x:c r="L88" s="21"/>
      <x:c r="M88" s="21"/>
      <x:c r="N88" s="21"/>
      <x:c r="O88" s="21"/>
      <x:c r="P88" s="21"/>
      <x:c r="Q88" s="21"/>
      <x:c r="R88" s="23" t="str">
        <x:f>IF(COUNT(L88:Q88)=6,COUNTIF(L88:Q88,"&gt;=3")/6,"")</x:f>
      </x:c>
      <x:c r="S88" s="3" t="str">
        <x:f>IF(COUNT(L88:Q88)=6,"6인 평가 완료","평가 미완료")</x:f>
        <x:v>평가 미완료</x:v>
      </x:c>
      <x:c r="T88" s="21" t="str">
        <x:v>미검토</x:v>
      </x:c>
      <x:c r="U88" s="21" t="str"/>
    </x:row>
    <x:row r="89" ht="39" customHeight="1">
      <x:c r="A89" s="6" t="str">
        <x:v>L18-TR</x:v>
      </x:c>
      <x:c r="B89" s="6" t="str">
        <x:v>L18</x:v>
      </x:c>
      <x:c r="C89" s="6" t="str">
        <x:v>TR</x:v>
      </x:c>
      <x:c r="D89" s="6" t="str">
        <x:v>근거 추적가능성</x:v>
      </x:c>
      <x:c r="E89" s="6" t="str">
        <x:v>연결 품질 후보</x:v>
      </x:c>
      <x:c r="F89" s="6" t="str">
        <x:v>우리 조직에서는 개선 과제 목록에서 근거가 된 성과평가 결과를 식별자나 문서 위치를 통해 찾아갈 수 있다.</x:v>
      </x:c>
      <x:c r="G89" s="6" t="str">
        <x:v>우리 조직에서는 개선 과제 목록에서 근거가 된 성과평가 결과를 거슬러 찾아 확인할 수 있다.</x:v>
      </x:c>
      <x:c r="H89" s="6" t="str">
        <x:v>E1</x:v>
      </x:c>
      <x:c r="I89" s="6" t="str">
        <x:v>A25</x:v>
      </x:c>
      <x:c r="J89" s="6" t="str">
        <x:v>S01 §5.1 PDF p.4 저널 pp.94–101</x:v>
      </x:c>
      <x:c r="K89" s="6" t="str">
        <x:v>후방 근거 추적 문항. 전방 추적은 측정 범위에 포함됐다고 주장하지 않음.</x:v>
      </x:c>
      <x:c r="L89" s="21"/>
      <x:c r="M89" s="21"/>
      <x:c r="N89" s="21"/>
      <x:c r="O89" s="21"/>
      <x:c r="P89" s="21"/>
      <x:c r="Q89" s="21"/>
      <x:c r="R89" s="24" t="str">
        <x:f>IF(COUNT(L89:Q89)=6,COUNTIF(L89:Q89,"&gt;=3")/6,"")</x:f>
      </x:c>
      <x:c r="S89" s="6" t="str">
        <x:f>IF(COUNT(L89:Q89)=6,"6인 평가 완료","평가 미완료")</x:f>
        <x:v>평가 미완료</x:v>
      </x:c>
      <x:c r="T89" s="21" t="str">
        <x:v>미검토</x:v>
      </x:c>
      <x:c r="U89" s="21" t="str"/>
    </x:row>
    <x:row r="90" ht="39" customHeight="1">
      <x:c r="A90" s="3" t="str">
        <x:v>L18-EV</x:v>
      </x:c>
      <x:c r="B90" s="3" t="str">
        <x:v>L18</x:v>
      </x:c>
      <x:c r="C90" s="3" t="str">
        <x:v>EV</x:v>
      </x:c>
      <x:c r="D90" s="3" t="str">
        <x:v>연결 증빙가능성</x:v>
      </x:c>
      <x:c r="E90" s="3" t="str">
        <x:v>연결 품질 후보</x:v>
      </x:c>
      <x:c r="F90" s="3" t="str">
        <x:v>우리 조직에서는 성과평가 결과가 개선 과제로 환류될 때, 실제 사용 또는 평가 사실을 보여 주는 기록이 남아 있다.</x:v>
      </x:c>
      <x:c r="G90" s="3" t="str">
        <x:v>우리 조직에서는 성과평가 결과가 개선 과제로 환류될 때, 그 사실을 입증하는 문서·기록·승인(검토 기록, 회의록, 버전 이력 등)이 남아 있다.</x:v>
      </x:c>
      <x:c r="H90" s="3" t="str">
        <x:v>E1</x:v>
      </x:c>
      <x:c r="I90" s="3" t="str">
        <x:v>A25</x:v>
      </x:c>
      <x:c r="J90" s="3" t="str">
        <x:v>B17 PDF p.6; A13·A37</x:v>
      </x:c>
      <x:c r="K90" s="3" t="str">
        <x:v>문서 보유가 아니라 연결의 실제 수행 사실을 증명하는 기록을 묻도록 수정.</x:v>
      </x:c>
      <x:c r="L90" s="21"/>
      <x:c r="M90" s="21"/>
      <x:c r="N90" s="21"/>
      <x:c r="O90" s="21"/>
      <x:c r="P90" s="21"/>
      <x:c r="Q90" s="21"/>
      <x:c r="R90" s="23" t="str">
        <x:f>IF(COUNT(L90:Q90)=6,COUNTIF(L90:Q90,"&gt;=3")/6,"")</x:f>
      </x:c>
      <x:c r="S90" s="3" t="str">
        <x:f>IF(COUNT(L90:Q90)=6,"6인 평가 완료","평가 미완료")</x:f>
        <x:v>평가 미완료</x:v>
      </x:c>
      <x:c r="T90" s="21" t="str">
        <x:v>미검토</x:v>
      </x:c>
      <x:c r="U90" s="21" t="str"/>
    </x:row>
    <x:row r="91" ht="39" customHeight="1">
      <x:c r="A91" s="6" t="str">
        <x:v>L18-AC</x:v>
      </x:c>
      <x:c r="B91" s="6" t="str">
        <x:v>L18</x:v>
      </x:c>
      <x:c r="C91" s="6" t="str">
        <x:v>AC</x:v>
      </x:c>
      <x:c r="D91" s="6" t="str">
        <x:v>연결 책임명확성</x:v>
      </x:c>
      <x:c r="E91" s="6" t="str">
        <x:v>관리조건 후보</x:v>
      </x:c>
      <x:c r="F91" s="6" t="str">
        <x:v>우리 조직에서는 성과평가와 지속적 개선 사이의 해당 연결을 조정할 책임 역할 또는 부서가 명확하다.</x:v>
      </x:c>
      <x:c r="G91" s="6" t="str">
        <x:v>우리 조직에서는 성과평가 결과가 개선 과제로 환류될 때, 그 연결의 검토·승인·변경에 대한 책임자(또는 부서)가 정해져 있다.</x:v>
      </x:c>
      <x:c r="H91" s="6" t="str">
        <x:v>E1</x:v>
      </x:c>
      <x:c r="I91" s="6" t="str">
        <x:v>A25</x:v>
      </x:c>
      <x:c r="J91" s="6" t="str">
        <x:v>A49·A50; S07 출판사 초록</x:v>
      </x:c>
      <x:c r="K91" s="6" t="str">
        <x:v>검토·승인·변경의 세 질문을 단일 조정 책임으로 바꿈. Accountability와 동일 개념으로 인용하지 않음.</x:v>
      </x:c>
      <x:c r="L91" s="21"/>
      <x:c r="M91" s="21"/>
      <x:c r="N91" s="21"/>
      <x:c r="O91" s="21"/>
      <x:c r="P91" s="21"/>
      <x:c r="Q91" s="21"/>
      <x:c r="R91" s="24" t="str">
        <x:f>IF(COUNT(L91:Q91)=6,COUNTIF(L91:Q91,"&gt;=3")/6,"")</x:f>
      </x:c>
      <x:c r="S91" s="6" t="str">
        <x:f>IF(COUNT(L91:Q91)=6,"6인 평가 완료","평가 미완료")</x:f>
        <x:v>평가 미완료</x:v>
      </x:c>
      <x:c r="T91" s="21" t="str">
        <x:v>미검토</x:v>
      </x:c>
      <x:c r="U91" s="21" t="str"/>
    </x:row>
    <x:row r="92" ht="39" customHeight="1">
      <x:c r="A92" s="3" t="str">
        <x:v>L18-TM</x:v>
      </x:c>
      <x:c r="B92" s="3" t="str">
        <x:v>L18</x:v>
      </x:c>
      <x:c r="C92" s="3" t="str">
        <x:v>TM</x:v>
      </x:c>
      <x:c r="D92" s="3" t="str">
        <x:v>변경전파 적시성</x:v>
      </x:c>
      <x:c r="E92" s="3" t="str">
        <x:v>연결 품질 후보</x:v>
      </x:c>
      <x:c r="F92" s="3" t="str">
        <x:v>우리 조직에서는 새 성과평가 결과가 나오면, 그 변경 정보가 지속적 개선 업무에 필요한 시점 이전에 전달·처리된다.</x:v>
      </x:c>
      <x:c r="G92" s="3" t="str">
        <x:v>우리 조직에서는 새 성과평가 결과가 나오면, 개선 과제 목록에 정해진 기간 안에 반영된다.</x:v>
      </x:c>
      <x:c r="H92" s="3" t="str">
        <x:v>E1</x:v>
      </x:c>
      <x:c r="I92" s="3" t="str">
        <x:v>A25</x:v>
      </x:c>
      <x:c r="J92" s="3" t="str">
        <x:v>S04 PDF pp.4–5 저널 pp.214–215; A27·A28·A41</x:v>
      </x:c>
      <x:c r="K92" s="3" t="str">
        <x:v>과업에 필요한 시점을 기준으로 함. 변경이 없었던 조직은 별도 코드로 처리.</x:v>
      </x:c>
      <x:c r="L92" s="21"/>
      <x:c r="M92" s="21"/>
      <x:c r="N92" s="21"/>
      <x:c r="O92" s="21"/>
      <x:c r="P92" s="21"/>
      <x:c r="Q92" s="21"/>
      <x:c r="R92" s="23" t="str">
        <x:f>IF(COUNT(L92:Q92)=6,COUNTIF(L92:Q92,"&gt;=3")/6,"")</x:f>
      </x:c>
      <x:c r="S92" s="3" t="str">
        <x:f>IF(COUNT(L92:Q92)=6,"6인 평가 완료","평가 미완료")</x:f>
        <x:v>평가 미완료</x:v>
      </x:c>
      <x:c r="T92" s="21" t="str">
        <x:v>미검토</x:v>
      </x:c>
      <x:c r="U92" s="21" t="str"/>
    </x:row>
    <x:row r="93" ht="39" customHeight="1">
      <x:c r="A93" s="6" t="str">
        <x:v>L18-FC</x:v>
      </x:c>
      <x:c r="B93" s="6" t="str">
        <x:v>L18</x:v>
      </x:c>
      <x:c r="C93" s="6" t="str">
        <x:v>FC</x:v>
      </x:c>
      <x:c r="D93" s="6" t="str">
        <x:v>개선조치 완결성</x:v>
      </x:c>
      <x:c r="E93" s="6" t="str">
        <x:v>경로 개념 보류</x:v>
      </x:c>
      <x:c r="F93" s="6" t="str">
        <x:v>우리 조직에서는 성과평가 결과에 따른 개선조치가 지정된 종료 기준을 충족하여 종결된다.</x:v>
      </x:c>
      <x:c r="G93" s="6" t="str">
        <x:v>우리 조직에서는 성과평가에서 개선이 필요한 결과가 나오면, 개선 과제의 수립·이행과 효과 확인까지 조치가 이어져 완료가 확인된다.</x:v>
      </x:c>
      <x:c r="H93" s="6" t="str">
        <x:v>E1</x:v>
      </x:c>
      <x:c r="I93" s="6" t="str">
        <x:v>A25</x:v>
      </x:c>
      <x:c r="J93" s="6" t="str">
        <x:v>A23·A25·A29; 추가 직접 근거 필요</x:v>
      </x:c>
      <x:c r="K93" s="6" t="str">
        <x:v>평가→조치→종결의 경로 개체와 종료 기준 확보 전 개념 보류. 원문의 직접 인용 문항 아님.</x:v>
      </x:c>
      <x:c r="L93" s="22"/>
      <x:c r="M93" s="22"/>
      <x:c r="N93" s="22"/>
      <x:c r="O93" s="22"/>
      <x:c r="P93" s="22"/>
      <x:c r="Q93" s="22"/>
      <x:c r="R93" s="24" t="str">
        <x:f>IF(COUNT(L93:Q93)=6,COUNTIF(L93:Q93,"&gt;=3")/6,"")</x:f>
      </x:c>
      <x:c r="S93" s="6" t="str">
        <x:f>IF(COUNT(L93:Q93)=6,"6인 평가 완료","평가 미완료")</x:f>
        <x:v>평가 미완료</x:v>
      </x:c>
      <x:c r="T93" s="21" t="str">
        <x:v>미검토</x:v>
      </x:c>
      <x:c r="U93" s="21" t="str"/>
    </x:row>
    <x:row r="94" ht="39" customHeight="1">
      <x:c r="A94" s="3" t="str">
        <x:v>L19-CO</x:v>
      </x:c>
      <x:c r="B94" s="3" t="str">
        <x:v>L19</x:v>
      </x:c>
      <x:c r="C94" s="3" t="str">
        <x:v>CO</x:v>
      </x:c>
      <x:c r="D94" s="3" t="str">
        <x:v>정합성</x:v>
      </x:c>
      <x:c r="E94" s="3" t="str">
        <x:v>연결 품질 후보</x:v>
      </x:c>
      <x:c r="F94" s="3" t="str">
        <x:v>우리 조직에서는 내부감사 지적사항이 개선 과제로 환류될 때, 두 내용 중 서로 대응해야 하는 기준·수치·전제에 모순이 없다.</x:v>
      </x:c>
      <x:c r="G94" s="3" t="str">
        <x:v>우리 조직에서는 내부감사 지적사항이 개선 과제로 환류될 때, 두 내용이 서로 모순 없이 일치한다.</x:v>
      </x:c>
      <x:c r="H94" s="3" t="str">
        <x:v>E1</x:v>
      </x:c>
      <x:c r="I94" s="3" t="str">
        <x:v>A25</x:v>
      </x:c>
      <x:c r="J94" s="3" t="str">
        <x:v>A12·A14·A16; S06</x:v>
      </x:c>
      <x:c r="K94" s="3" t="str">
        <x:v>서로 다른 프로세스 산출물의 내용 전체가 동일해야 한다는 오해를 줄임.</x:v>
      </x:c>
      <x:c r="L94" s="21"/>
      <x:c r="M94" s="21"/>
      <x:c r="N94" s="21"/>
      <x:c r="O94" s="21"/>
      <x:c r="P94" s="21"/>
      <x:c r="Q94" s="21"/>
      <x:c r="R94" s="23" t="str">
        <x:f>IF(COUNT(L94:Q94)=6,COUNTIF(L94:Q94,"&gt;=3")/6,"")</x:f>
      </x:c>
      <x:c r="S94" s="3" t="str">
        <x:f>IF(COUNT(L94:Q94)=6,"6인 평가 완료","평가 미완료")</x:f>
        <x:v>평가 미완료</x:v>
      </x:c>
      <x:c r="T94" s="21" t="str">
        <x:v>미검토</x:v>
      </x:c>
      <x:c r="U94" s="21" t="str"/>
    </x:row>
    <x:row r="95" ht="39" customHeight="1">
      <x:c r="A95" s="6" t="str">
        <x:v>L19-TR</x:v>
      </x:c>
      <x:c r="B95" s="6" t="str">
        <x:v>L19</x:v>
      </x:c>
      <x:c r="C95" s="6" t="str">
        <x:v>TR</x:v>
      </x:c>
      <x:c r="D95" s="6" t="str">
        <x:v>근거 추적가능성</x:v>
      </x:c>
      <x:c r="E95" s="6" t="str">
        <x:v>연결 품질 후보</x:v>
      </x:c>
      <x:c r="F95" s="6" t="str">
        <x:v>우리 조직에서는 개선 과제 목록에서 근거가 된 내부감사 결과를 식별자나 문서 위치를 통해 찾아갈 수 있다.</x:v>
      </x:c>
      <x:c r="G95" s="6" t="str">
        <x:v>우리 조직에서는 개선 과제 목록에서 근거가 된 내부감사 결과를 거슬러 찾아 확인할 수 있다.</x:v>
      </x:c>
      <x:c r="H95" s="6" t="str">
        <x:v>E1</x:v>
      </x:c>
      <x:c r="I95" s="6" t="str">
        <x:v>A25</x:v>
      </x:c>
      <x:c r="J95" s="6" t="str">
        <x:v>S01 §5.1 PDF p.4 저널 pp.94–101</x:v>
      </x:c>
      <x:c r="K95" s="6" t="str">
        <x:v>후방 근거 추적 문항. 전방 추적은 측정 범위에 포함됐다고 주장하지 않음.</x:v>
      </x:c>
      <x:c r="L95" s="21"/>
      <x:c r="M95" s="21"/>
      <x:c r="N95" s="21"/>
      <x:c r="O95" s="21"/>
      <x:c r="P95" s="21"/>
      <x:c r="Q95" s="21"/>
      <x:c r="R95" s="24" t="str">
        <x:f>IF(COUNT(L95:Q95)=6,COUNTIF(L95:Q95,"&gt;=3")/6,"")</x:f>
      </x:c>
      <x:c r="S95" s="6" t="str">
        <x:f>IF(COUNT(L95:Q95)=6,"6인 평가 완료","평가 미완료")</x:f>
        <x:v>평가 미완료</x:v>
      </x:c>
      <x:c r="T95" s="21" t="str">
        <x:v>미검토</x:v>
      </x:c>
      <x:c r="U95" s="21" t="str"/>
    </x:row>
    <x:row r="96" ht="39" customHeight="1">
      <x:c r="A96" s="3" t="str">
        <x:v>L19-EV</x:v>
      </x:c>
      <x:c r="B96" s="3" t="str">
        <x:v>L19</x:v>
      </x:c>
      <x:c r="C96" s="3" t="str">
        <x:v>EV</x:v>
      </x:c>
      <x:c r="D96" s="3" t="str">
        <x:v>연결 증빙가능성</x:v>
      </x:c>
      <x:c r="E96" s="3" t="str">
        <x:v>연결 품질 후보</x:v>
      </x:c>
      <x:c r="F96" s="3" t="str">
        <x:v>우리 조직에서는 내부감사 지적사항이 개선 과제로 환류될 때, 실제 사용 또는 평가 사실을 보여 주는 기록이 남아 있다.</x:v>
      </x:c>
      <x:c r="G96" s="3" t="str">
        <x:v>우리 조직에서는 내부감사 지적사항이 개선 과제로 환류될 때, 그 사실을 입증하는 문서·기록·승인(검토 기록, 회의록, 버전 이력 등)이 남아 있다.</x:v>
      </x:c>
      <x:c r="H96" s="3" t="str">
        <x:v>E1</x:v>
      </x:c>
      <x:c r="I96" s="3" t="str">
        <x:v>A25</x:v>
      </x:c>
      <x:c r="J96" s="3" t="str">
        <x:v>B17 PDF p.6; A13·A37</x:v>
      </x:c>
      <x:c r="K96" s="3" t="str">
        <x:v>문서 보유가 아니라 연결의 실제 수행 사실을 증명하는 기록을 묻도록 수정.</x:v>
      </x:c>
      <x:c r="L96" s="21"/>
      <x:c r="M96" s="21"/>
      <x:c r="N96" s="21"/>
      <x:c r="O96" s="21"/>
      <x:c r="P96" s="21"/>
      <x:c r="Q96" s="21"/>
      <x:c r="R96" s="23" t="str">
        <x:f>IF(COUNT(L96:Q96)=6,COUNTIF(L96:Q96,"&gt;=3")/6,"")</x:f>
      </x:c>
      <x:c r="S96" s="3" t="str">
        <x:f>IF(COUNT(L96:Q96)=6,"6인 평가 완료","평가 미완료")</x:f>
        <x:v>평가 미완료</x:v>
      </x:c>
      <x:c r="T96" s="21" t="str">
        <x:v>미검토</x:v>
      </x:c>
      <x:c r="U96" s="21" t="str"/>
    </x:row>
    <x:row r="97" ht="39" customHeight="1">
      <x:c r="A97" s="6" t="str">
        <x:v>L19-AC</x:v>
      </x:c>
      <x:c r="B97" s="6" t="str">
        <x:v>L19</x:v>
      </x:c>
      <x:c r="C97" s="6" t="str">
        <x:v>AC</x:v>
      </x:c>
      <x:c r="D97" s="6" t="str">
        <x:v>연결 책임명확성</x:v>
      </x:c>
      <x:c r="E97" s="6" t="str">
        <x:v>관리조건 후보</x:v>
      </x:c>
      <x:c r="F97" s="6" t="str">
        <x:v>우리 조직에서는 내부감사와 지속적 개선 사이의 해당 연결을 조정할 책임 역할 또는 부서가 명확하다.</x:v>
      </x:c>
      <x:c r="G97" s="6" t="str">
        <x:v>우리 조직에서는 내부감사 지적사항이 개선 과제로 환류될 때, 그 연결의 검토·승인·변경에 대한 책임자(또는 부서)가 정해져 있다.</x:v>
      </x:c>
      <x:c r="H97" s="6" t="str">
        <x:v>E1</x:v>
      </x:c>
      <x:c r="I97" s="6" t="str">
        <x:v>A25</x:v>
      </x:c>
      <x:c r="J97" s="6" t="str">
        <x:v>A49·A50; S07 출판사 초록</x:v>
      </x:c>
      <x:c r="K97" s="6" t="str">
        <x:v>검토·승인·변경의 세 질문을 단일 조정 책임으로 바꿈. Accountability와 동일 개념으로 인용하지 않음.</x:v>
      </x:c>
      <x:c r="L97" s="21"/>
      <x:c r="M97" s="21"/>
      <x:c r="N97" s="21"/>
      <x:c r="O97" s="21"/>
      <x:c r="P97" s="21"/>
      <x:c r="Q97" s="21"/>
      <x:c r="R97" s="24" t="str">
        <x:f>IF(COUNT(L97:Q97)=6,COUNTIF(L97:Q97,"&gt;=3")/6,"")</x:f>
      </x:c>
      <x:c r="S97" s="6" t="str">
        <x:f>IF(COUNT(L97:Q97)=6,"6인 평가 완료","평가 미완료")</x:f>
        <x:v>평가 미완료</x:v>
      </x:c>
      <x:c r="T97" s="21" t="str">
        <x:v>미검토</x:v>
      </x:c>
      <x:c r="U97" s="21" t="str"/>
    </x:row>
    <x:row r="98" ht="39" customHeight="1">
      <x:c r="A98" s="3" t="str">
        <x:v>L19-TM</x:v>
      </x:c>
      <x:c r="B98" s="3" t="str">
        <x:v>L19</x:v>
      </x:c>
      <x:c r="C98" s="3" t="str">
        <x:v>TM</x:v>
      </x:c>
      <x:c r="D98" s="3" t="str">
        <x:v>변경전파 적시성</x:v>
      </x:c>
      <x:c r="E98" s="3" t="str">
        <x:v>연결 품질 후보</x:v>
      </x:c>
      <x:c r="F98" s="3" t="str">
        <x:v>우리 조직에서는 새 내부감사 결과가 나오면, 그 변경 정보가 지속적 개선 업무에 필요한 시점 이전에 전달·처리된다.</x:v>
      </x:c>
      <x:c r="G98" s="3" t="str">
        <x:v>우리 조직에서는 새 내부감사 결과가 나오면, 개선 과제 목록에 정해진 기간 안에 반영된다.</x:v>
      </x:c>
      <x:c r="H98" s="3" t="str">
        <x:v>E1</x:v>
      </x:c>
      <x:c r="I98" s="3" t="str">
        <x:v>A25</x:v>
      </x:c>
      <x:c r="J98" s="3" t="str">
        <x:v>S04 PDF pp.4–5 저널 pp.214–215; A27·A28·A41</x:v>
      </x:c>
      <x:c r="K98" s="3" t="str">
        <x:v>과업에 필요한 시점을 기준으로 함. 변경이 없었던 조직은 별도 코드로 처리.</x:v>
      </x:c>
      <x:c r="L98" s="21"/>
      <x:c r="M98" s="21"/>
      <x:c r="N98" s="21"/>
      <x:c r="O98" s="21"/>
      <x:c r="P98" s="21"/>
      <x:c r="Q98" s="21"/>
      <x:c r="R98" s="23" t="str">
        <x:f>IF(COUNT(L98:Q98)=6,COUNTIF(L98:Q98,"&gt;=3")/6,"")</x:f>
      </x:c>
      <x:c r="S98" s="3" t="str">
        <x:f>IF(COUNT(L98:Q98)=6,"6인 평가 완료","평가 미완료")</x:f>
        <x:v>평가 미완료</x:v>
      </x:c>
      <x:c r="T98" s="21" t="str">
        <x:v>미검토</x:v>
      </x:c>
      <x:c r="U98" s="21" t="str"/>
    </x:row>
    <x:row r="99" ht="39" customHeight="1">
      <x:c r="A99" s="6" t="str">
        <x:v>L19-FC</x:v>
      </x:c>
      <x:c r="B99" s="6" t="str">
        <x:v>L19</x:v>
      </x:c>
      <x:c r="C99" s="6" t="str">
        <x:v>FC</x:v>
      </x:c>
      <x:c r="D99" s="6" t="str">
        <x:v>개선조치 완결성</x:v>
      </x:c>
      <x:c r="E99" s="6" t="str">
        <x:v>경로 개념 보류</x:v>
      </x:c>
      <x:c r="F99" s="6" t="str">
        <x:v>우리 조직에서는 감사 지적사항에 따른 시정조치가 지정된 종료 기준을 충족하여 종결된다.</x:v>
      </x:c>
      <x:c r="G99" s="6" t="str">
        <x:v>우리 조직에서는 내부감사에서 지적사항이 나오면, 시정조치의 이행과 후속 확인까지 조치가 이어져 완료가 확인된다.</x:v>
      </x:c>
      <x:c r="H99" s="6" t="str">
        <x:v>E1</x:v>
      </x:c>
      <x:c r="I99" s="6" t="str">
        <x:v>A25</x:v>
      </x:c>
      <x:c r="J99" s="6" t="str">
        <x:v>A23·A25·A29; 추가 직접 근거 필요</x:v>
      </x:c>
      <x:c r="K99" s="6" t="str">
        <x:v>평가→조치→종결의 경로 개체와 종료 기준 확보 전 개념 보류. 원문의 직접 인용 문항 아님.</x:v>
      </x:c>
      <x:c r="L99" s="22"/>
      <x:c r="M99" s="22"/>
      <x:c r="N99" s="22"/>
      <x:c r="O99" s="22"/>
      <x:c r="P99" s="22"/>
      <x:c r="Q99" s="22"/>
      <x:c r="R99" s="24" t="str">
        <x:f>IF(COUNT(L99:Q99)=6,COUNTIF(L99:Q99,"&gt;=3")/6,"")</x:f>
      </x:c>
      <x:c r="S99" s="6" t="str">
        <x:f>IF(COUNT(L99:Q99)=6,"6인 평가 완료","평가 미완료")</x:f>
        <x:v>평가 미완료</x:v>
      </x:c>
      <x:c r="T99" s="21" t="str">
        <x:v>미검토</x:v>
      </x:c>
      <x:c r="U99" s="21" t="str"/>
    </x:row>
    <x:row r="100" ht="39" customHeight="1">
      <x:c r="A100" s="3" t="str">
        <x:v>L20-CO</x:v>
      </x:c>
      <x:c r="B100" s="3" t="str">
        <x:v>L20</x:v>
      </x:c>
      <x:c r="C100" s="3" t="str">
        <x:v>CO</x:v>
      </x:c>
      <x:c r="D100" s="3" t="str">
        <x:v>정합성</x:v>
      </x:c>
      <x:c r="E100" s="3" t="str">
        <x:v>연결 품질 후보</x:v>
      </x:c>
      <x:c r="F100" s="3" t="str">
        <x:v>우리 조직에서는 공급업체 평가 결과가 개선 과제로 환류될 때, 두 내용 중 서로 대응해야 하는 기준·수치·전제에 모순이 없다.</x:v>
      </x:c>
      <x:c r="G100" s="3" t="str">
        <x:v>우리 조직에서는 공급업체 평가 결과가 개선 과제로 환류될 때, 두 내용이 서로 모순 없이 일치한다.</x:v>
      </x:c>
      <x:c r="H100" s="3" t="str">
        <x:v>E1</x:v>
      </x:c>
      <x:c r="I100" s="3" t="str">
        <x:v>A25</x:v>
      </x:c>
      <x:c r="J100" s="3" t="str">
        <x:v>A12·A14·A16; S06</x:v>
      </x:c>
      <x:c r="K100" s="3" t="str">
        <x:v>서로 다른 프로세스 산출물의 내용 전체가 동일해야 한다는 오해를 줄임.</x:v>
      </x:c>
      <x:c r="L100" s="21"/>
      <x:c r="M100" s="21"/>
      <x:c r="N100" s="21"/>
      <x:c r="O100" s="21"/>
      <x:c r="P100" s="21"/>
      <x:c r="Q100" s="21"/>
      <x:c r="R100" s="23" t="str">
        <x:f>IF(COUNT(L100:Q100)=6,COUNTIF(L100:Q100,"&gt;=3")/6,"")</x:f>
      </x:c>
      <x:c r="S100" s="3" t="str">
        <x:f>IF(COUNT(L100:Q100)=6,"6인 평가 완료","평가 미완료")</x:f>
        <x:v>평가 미완료</x:v>
      </x:c>
      <x:c r="T100" s="21" t="str">
        <x:v>미검토</x:v>
      </x:c>
      <x:c r="U100" s="21" t="str"/>
    </x:row>
    <x:row r="101" ht="39" customHeight="1">
      <x:c r="A101" s="6" t="str">
        <x:v>L20-TR</x:v>
      </x:c>
      <x:c r="B101" s="6" t="str">
        <x:v>L20</x:v>
      </x:c>
      <x:c r="C101" s="6" t="str">
        <x:v>TR</x:v>
      </x:c>
      <x:c r="D101" s="6" t="str">
        <x:v>근거 추적가능성</x:v>
      </x:c>
      <x:c r="E101" s="6" t="str">
        <x:v>연결 품질 후보</x:v>
      </x:c>
      <x:c r="F101" s="6" t="str">
        <x:v>우리 조직에서는 개선 과제 목록에서 근거가 된 공급업체 평가 결과를 식별자나 문서 위치를 통해 찾아갈 수 있다.</x:v>
      </x:c>
      <x:c r="G101" s="6" t="str">
        <x:v>우리 조직에서는 개선 과제 목록에서 근거가 된 공급업체 평가 결과를 거슬러 찾아 확인할 수 있다.</x:v>
      </x:c>
      <x:c r="H101" s="6" t="str">
        <x:v>E1</x:v>
      </x:c>
      <x:c r="I101" s="6" t="str">
        <x:v>A25</x:v>
      </x:c>
      <x:c r="J101" s="6" t="str">
        <x:v>S01 §5.1 PDF p.4 저널 pp.94–101</x:v>
      </x:c>
      <x:c r="K101" s="6" t="str">
        <x:v>후방 근거 추적 문항. 전방 추적은 측정 범위에 포함됐다고 주장하지 않음.</x:v>
      </x:c>
      <x:c r="L101" s="21"/>
      <x:c r="M101" s="21"/>
      <x:c r="N101" s="21"/>
      <x:c r="O101" s="21"/>
      <x:c r="P101" s="21"/>
      <x:c r="Q101" s="21"/>
      <x:c r="R101" s="24" t="str">
        <x:f>IF(COUNT(L101:Q101)=6,COUNTIF(L101:Q101,"&gt;=3")/6,"")</x:f>
      </x:c>
      <x:c r="S101" s="6" t="str">
        <x:f>IF(COUNT(L101:Q101)=6,"6인 평가 완료","평가 미완료")</x:f>
        <x:v>평가 미완료</x:v>
      </x:c>
      <x:c r="T101" s="21" t="str">
        <x:v>미검토</x:v>
      </x:c>
      <x:c r="U101" s="21" t="str"/>
    </x:row>
    <x:row r="102" ht="39" customHeight="1">
      <x:c r="A102" s="3" t="str">
        <x:v>L20-EV</x:v>
      </x:c>
      <x:c r="B102" s="3" t="str">
        <x:v>L20</x:v>
      </x:c>
      <x:c r="C102" s="3" t="str">
        <x:v>EV</x:v>
      </x:c>
      <x:c r="D102" s="3" t="str">
        <x:v>연결 증빙가능성</x:v>
      </x:c>
      <x:c r="E102" s="3" t="str">
        <x:v>연결 품질 후보</x:v>
      </x:c>
      <x:c r="F102" s="3" t="str">
        <x:v>우리 조직에서는 공급업체 평가 결과가 개선 과제로 환류될 때, 실제 사용 또는 평가 사실을 보여 주는 기록이 남아 있다.</x:v>
      </x:c>
      <x:c r="G102" s="3" t="str">
        <x:v>우리 조직에서는 공급업체 평가 결과가 개선 과제로 환류될 때, 그 사실을 입증하는 문서·기록·승인(검토 기록, 회의록, 버전 이력 등)이 남아 있다.</x:v>
      </x:c>
      <x:c r="H102" s="3" t="str">
        <x:v>E1</x:v>
      </x:c>
      <x:c r="I102" s="3" t="str">
        <x:v>A25</x:v>
      </x:c>
      <x:c r="J102" s="3" t="str">
        <x:v>B17 PDF p.6; A13·A37</x:v>
      </x:c>
      <x:c r="K102" s="3" t="str">
        <x:v>문서 보유가 아니라 연결의 실제 수행 사실을 증명하는 기록을 묻도록 수정.</x:v>
      </x:c>
      <x:c r="L102" s="21"/>
      <x:c r="M102" s="21"/>
      <x:c r="N102" s="21"/>
      <x:c r="O102" s="21"/>
      <x:c r="P102" s="21"/>
      <x:c r="Q102" s="21"/>
      <x:c r="R102" s="23" t="str">
        <x:f>IF(COUNT(L102:Q102)=6,COUNTIF(L102:Q102,"&gt;=3")/6,"")</x:f>
      </x:c>
      <x:c r="S102" s="3" t="str">
        <x:f>IF(COUNT(L102:Q102)=6,"6인 평가 완료","평가 미완료")</x:f>
        <x:v>평가 미완료</x:v>
      </x:c>
      <x:c r="T102" s="21" t="str">
        <x:v>미검토</x:v>
      </x:c>
      <x:c r="U102" s="21" t="str"/>
    </x:row>
    <x:row r="103" ht="39" customHeight="1">
      <x:c r="A103" s="6" t="str">
        <x:v>L20-AC</x:v>
      </x:c>
      <x:c r="B103" s="6" t="str">
        <x:v>L20</x:v>
      </x:c>
      <x:c r="C103" s="6" t="str">
        <x:v>AC</x:v>
      </x:c>
      <x:c r="D103" s="6" t="str">
        <x:v>연결 책임명확성</x:v>
      </x:c>
      <x:c r="E103" s="6" t="str">
        <x:v>관리조건 후보</x:v>
      </x:c>
      <x:c r="F103" s="6" t="str">
        <x:v>우리 조직에서는 공급망관리와 지속적 개선 사이의 해당 연결을 조정할 책임 역할 또는 부서가 명확하다.</x:v>
      </x:c>
      <x:c r="G103" s="6" t="str">
        <x:v>우리 조직에서는 공급업체 평가 결과가 개선 과제로 환류될 때, 그 연결의 검토·승인·변경에 대한 책임자(또는 부서)가 정해져 있다.</x:v>
      </x:c>
      <x:c r="H103" s="6" t="str">
        <x:v>E1</x:v>
      </x:c>
      <x:c r="I103" s="6" t="str">
        <x:v>A25</x:v>
      </x:c>
      <x:c r="J103" s="6" t="str">
        <x:v>A49·A50; S07 출판사 초록</x:v>
      </x:c>
      <x:c r="K103" s="6" t="str">
        <x:v>검토·승인·변경의 세 질문을 단일 조정 책임으로 바꿈. Accountability와 동일 개념으로 인용하지 않음.</x:v>
      </x:c>
      <x:c r="L103" s="21"/>
      <x:c r="M103" s="21"/>
      <x:c r="N103" s="21"/>
      <x:c r="O103" s="21"/>
      <x:c r="P103" s="21"/>
      <x:c r="Q103" s="21"/>
      <x:c r="R103" s="24" t="str">
        <x:f>IF(COUNT(L103:Q103)=6,COUNTIF(L103:Q103,"&gt;=3")/6,"")</x:f>
      </x:c>
      <x:c r="S103" s="6" t="str">
        <x:f>IF(COUNT(L103:Q103)=6,"6인 평가 완료","평가 미완료")</x:f>
        <x:v>평가 미완료</x:v>
      </x:c>
      <x:c r="T103" s="21" t="str">
        <x:v>미검토</x:v>
      </x:c>
      <x:c r="U103" s="21" t="str"/>
    </x:row>
    <x:row r="104" ht="39" customHeight="1">
      <x:c r="A104" s="3" t="str">
        <x:v>L20-TM</x:v>
      </x:c>
      <x:c r="B104" s="3" t="str">
        <x:v>L20</x:v>
      </x:c>
      <x:c r="C104" s="3" t="str">
        <x:v>TM</x:v>
      </x:c>
      <x:c r="D104" s="3" t="str">
        <x:v>변경전파 적시성</x:v>
      </x:c>
      <x:c r="E104" s="3" t="str">
        <x:v>연결 품질 후보</x:v>
      </x:c>
      <x:c r="F104" s="3" t="str">
        <x:v>우리 조직에서는 새 공급업체 평가 결과가 나오면, 그 변경 정보가 지속적 개선 업무에 필요한 시점 이전에 전달·처리된다.</x:v>
      </x:c>
      <x:c r="G104" s="3" t="str">
        <x:v>우리 조직에서는 새 공급업체 평가 결과가 나오면, 개선 과제 목록에 정해진 기간 안에 반영된다.</x:v>
      </x:c>
      <x:c r="H104" s="3" t="str">
        <x:v>E1</x:v>
      </x:c>
      <x:c r="I104" s="3" t="str">
        <x:v>A25</x:v>
      </x:c>
      <x:c r="J104" s="3" t="str">
        <x:v>S04 PDF pp.4–5 저널 pp.214–215; A27·A28·A41</x:v>
      </x:c>
      <x:c r="K104" s="3" t="str">
        <x:v>과업에 필요한 시점을 기준으로 함. 변경이 없었던 조직은 별도 코드로 처리.</x:v>
      </x:c>
      <x:c r="L104" s="21"/>
      <x:c r="M104" s="21"/>
      <x:c r="N104" s="21"/>
      <x:c r="O104" s="21"/>
      <x:c r="P104" s="21"/>
      <x:c r="Q104" s="21"/>
      <x:c r="R104" s="23" t="str">
        <x:f>IF(COUNT(L104:Q104)=6,COUNTIF(L104:Q104,"&gt;=3")/6,"")</x:f>
      </x:c>
      <x:c r="S104" s="3" t="str">
        <x:f>IF(COUNT(L104:Q104)=6,"6인 평가 완료","평가 미완료")</x:f>
        <x:v>평가 미완료</x:v>
      </x:c>
      <x:c r="T104" s="21" t="str">
        <x:v>미검토</x:v>
      </x:c>
      <x:c r="U104" s="21" t="str"/>
    </x:row>
    <x:row r="105" ht="39" customHeight="1">
      <x:c r="A105" s="6" t="str">
        <x:v>L20-FC</x:v>
      </x:c>
      <x:c r="B105" s="6" t="str">
        <x:v>L20</x:v>
      </x:c>
      <x:c r="C105" s="6" t="str">
        <x:v>FC</x:v>
      </x:c>
      <x:c r="D105" s="6" t="str">
        <x:v>개선조치 완결성</x:v>
      </x:c>
      <x:c r="E105" s="6" t="str">
        <x:v>경로 개념 보류</x:v>
      </x:c>
      <x:c r="F105" s="6" t="str">
        <x:v>우리 조직에서는 공급망 평가 결과에 따른 개선조치가 지정된 종료 기준을 충족하여 종결된다.</x:v>
      </x:c>
      <x:c r="G105" s="6" t="str">
        <x:v>우리 조직에서는 공급업체 평가에서 개선이 필요한 결과가 나오면, 개선 과제의 수립·이행과 효과 확인까지 조치가 이어져 완료가 확인된다.</x:v>
      </x:c>
      <x:c r="H105" s="6" t="str">
        <x:v>E1</x:v>
      </x:c>
      <x:c r="I105" s="6" t="str">
        <x:v>A25</x:v>
      </x:c>
      <x:c r="J105" s="6" t="str">
        <x:v>A23·A25·A29; 추가 직접 근거 필요</x:v>
      </x:c>
      <x:c r="K105" s="6" t="str">
        <x:v>평가→조치→종결의 경로 개체와 종료 기준 확보 전 개념 보류. 원문의 직접 인용 문항 아님.</x:v>
      </x:c>
      <x:c r="L105" s="22"/>
      <x:c r="M105" s="22"/>
      <x:c r="N105" s="22"/>
      <x:c r="O105" s="22"/>
      <x:c r="P105" s="22"/>
      <x:c r="Q105" s="22"/>
      <x:c r="R105" s="24" t="str">
        <x:f>IF(COUNT(L105:Q105)=6,COUNTIF(L105:Q105,"&gt;=3")/6,"")</x:f>
      </x:c>
      <x:c r="S105" s="6" t="str">
        <x:f>IF(COUNT(L105:Q105)=6,"6인 평가 완료","평가 미완료")</x:f>
        <x:v>평가 미완료</x:v>
      </x:c>
      <x:c r="T105" s="21" t="str">
        <x:v>미검토</x:v>
      </x:c>
      <x:c r="U105" s="21" t="str"/>
    </x:row>
    <x:row r="106" ht="39" customHeight="1">
      <x:c r="A106" s="3" t="str">
        <x:v>L21-CO</x:v>
      </x:c>
      <x:c r="B106" s="3" t="str">
        <x:v>L21</x:v>
      </x:c>
      <x:c r="C106" s="3" t="str">
        <x:v>CO</x:v>
      </x:c>
      <x:c r="D106" s="3" t="str">
        <x:v>정합성</x:v>
      </x:c>
      <x:c r="E106" s="3" t="str">
        <x:v>연결 품질 후보</x:v>
      </x:c>
      <x:c r="F106" s="3" t="str">
        <x:v>우리 조직에서는 중대한 변경이 발생해 리스크평가가 촉발될 때, 두 내용 중 서로 대응해야 하는 기준·수치·전제에 모순이 없다.</x:v>
      </x:c>
      <x:c r="G106" s="3" t="str">
        <x:v>우리 조직에서는 중대한 변경이 발생해 리스크평가가 촉발될 때, 두 내용이 서로 모순 없이 일치한다.</x:v>
      </x:c>
      <x:c r="H106" s="3" t="str">
        <x:v>E1</x:v>
      </x:c>
      <x:c r="I106" s="3" t="str">
        <x:v>A27</x:v>
      </x:c>
      <x:c r="J106" s="3" t="str">
        <x:v>A12·A14·A16; S06</x:v>
      </x:c>
      <x:c r="K106" s="3" t="str">
        <x:v>서로 다른 프로세스 산출물의 내용 전체가 동일해야 한다는 오해를 줄임.</x:v>
      </x:c>
      <x:c r="L106" s="21"/>
      <x:c r="M106" s="21"/>
      <x:c r="N106" s="21"/>
      <x:c r="O106" s="21"/>
      <x:c r="P106" s="21"/>
      <x:c r="Q106" s="21"/>
      <x:c r="R106" s="23" t="str">
        <x:f>IF(COUNT(L106:Q106)=6,COUNTIF(L106:Q106,"&gt;=3")/6,"")</x:f>
      </x:c>
      <x:c r="S106" s="3" t="str">
        <x:f>IF(COUNT(L106:Q106)=6,"6인 평가 완료","평가 미완료")</x:f>
        <x:v>평가 미완료</x:v>
      </x:c>
      <x:c r="T106" s="21" t="str">
        <x:v>미검토</x:v>
      </x:c>
      <x:c r="U106" s="21" t="str"/>
    </x:row>
    <x:row r="107" ht="39" customHeight="1">
      <x:c r="A107" s="6" t="str">
        <x:v>L21-TR</x:v>
      </x:c>
      <x:c r="B107" s="6" t="str">
        <x:v>L21</x:v>
      </x:c>
      <x:c r="C107" s="6" t="str">
        <x:v>TR</x:v>
      </x:c>
      <x:c r="D107" s="6" t="str">
        <x:v>근거 추적가능성</x:v>
      </x:c>
      <x:c r="E107" s="6" t="str">
        <x:v>연결 품질 후보</x:v>
      </x:c>
      <x:c r="F107" s="6" t="str">
        <x:v>우리 조직에서는 리스크평가 대상과 결과에서 근거가 된 BCMS 변경 사항을 식별자나 문서 위치를 통해 찾아갈 수 있다.</x:v>
      </x:c>
      <x:c r="G107" s="6" t="str">
        <x:v>우리 조직에서는 리스크평가 대상과 결과에서 근거가 된 BCMS 변경 사항을 거슬러 찾아 확인할 수 있다.</x:v>
      </x:c>
      <x:c r="H107" s="6" t="str">
        <x:v>E1</x:v>
      </x:c>
      <x:c r="I107" s="6" t="str">
        <x:v>A27</x:v>
      </x:c>
      <x:c r="J107" s="6" t="str">
        <x:v>S01 §5.1 PDF p.4 저널 pp.94–101</x:v>
      </x:c>
      <x:c r="K107" s="6" t="str">
        <x:v>후방 근거 추적 문항. 전방 추적은 측정 범위에 포함됐다고 주장하지 않음.</x:v>
      </x:c>
      <x:c r="L107" s="21"/>
      <x:c r="M107" s="21"/>
      <x:c r="N107" s="21"/>
      <x:c r="O107" s="21"/>
      <x:c r="P107" s="21"/>
      <x:c r="Q107" s="21"/>
      <x:c r="R107" s="24" t="str">
        <x:f>IF(COUNT(L107:Q107)=6,COUNTIF(L107:Q107,"&gt;=3")/6,"")</x:f>
      </x:c>
      <x:c r="S107" s="6" t="str">
        <x:f>IF(COUNT(L107:Q107)=6,"6인 평가 완료","평가 미완료")</x:f>
        <x:v>평가 미완료</x:v>
      </x:c>
      <x:c r="T107" s="21" t="str">
        <x:v>미검토</x:v>
      </x:c>
      <x:c r="U107" s="21" t="str"/>
    </x:row>
    <x:row r="108" ht="39" customHeight="1">
      <x:c r="A108" s="3" t="str">
        <x:v>L21-EV</x:v>
      </x:c>
      <x:c r="B108" s="3" t="str">
        <x:v>L21</x:v>
      </x:c>
      <x:c r="C108" s="3" t="str">
        <x:v>EV</x:v>
      </x:c>
      <x:c r="D108" s="3" t="str">
        <x:v>연결 증빙가능성</x:v>
      </x:c>
      <x:c r="E108" s="3" t="str">
        <x:v>연결 품질 후보</x:v>
      </x:c>
      <x:c r="F108" s="3" t="str">
        <x:v>우리 조직에서는 중대한 변경이 발생해 리스크평가가 촉발될 때, 실제 사용 또는 평가 사실을 보여 주는 기록이 남아 있다.</x:v>
      </x:c>
      <x:c r="G108" s="3" t="str">
        <x:v>우리 조직에서는 중대한 변경이 발생해 리스크평가가 촉발될 때, 그 사실을 입증하는 문서·기록·승인(검토 기록, 회의록, 버전 이력 등)이 남아 있다.</x:v>
      </x:c>
      <x:c r="H108" s="3" t="str">
        <x:v>E1</x:v>
      </x:c>
      <x:c r="I108" s="3" t="str">
        <x:v>A27</x:v>
      </x:c>
      <x:c r="J108" s="3" t="str">
        <x:v>B17 PDF p.6; A13·A37</x:v>
      </x:c>
      <x:c r="K108" s="3" t="str">
        <x:v>문서 보유가 아니라 연결의 실제 수행 사실을 증명하는 기록을 묻도록 수정.</x:v>
      </x:c>
      <x:c r="L108" s="21"/>
      <x:c r="M108" s="21"/>
      <x:c r="N108" s="21"/>
      <x:c r="O108" s="21"/>
      <x:c r="P108" s="21"/>
      <x:c r="Q108" s="21"/>
      <x:c r="R108" s="23" t="str">
        <x:f>IF(COUNT(L108:Q108)=6,COUNTIF(L108:Q108,"&gt;=3")/6,"")</x:f>
      </x:c>
      <x:c r="S108" s="3" t="str">
        <x:f>IF(COUNT(L108:Q108)=6,"6인 평가 완료","평가 미완료")</x:f>
        <x:v>평가 미완료</x:v>
      </x:c>
      <x:c r="T108" s="21" t="str">
        <x:v>미검토</x:v>
      </x:c>
      <x:c r="U108" s="21" t="str"/>
    </x:row>
    <x:row r="109" ht="39" customHeight="1">
      <x:c r="A109" s="6" t="str">
        <x:v>L21-AC</x:v>
      </x:c>
      <x:c r="B109" s="6" t="str">
        <x:v>L21</x:v>
      </x:c>
      <x:c r="C109" s="6" t="str">
        <x:v>AC</x:v>
      </x:c>
      <x:c r="D109" s="6" t="str">
        <x:v>연결 책임명확성</x:v>
      </x:c>
      <x:c r="E109" s="6" t="str">
        <x:v>관리조건 후보</x:v>
      </x:c>
      <x:c r="F109" s="6" t="str">
        <x:v>우리 조직에서는 BC 변경관리와 리스크평가 사이의 해당 연결을 조정할 책임 역할 또는 부서가 명확하다.</x:v>
      </x:c>
      <x:c r="G109" s="6" t="str">
        <x:v>우리 조직에서는 중대한 변경이 발생해 리스크평가가 촉발될 때, 그 연결의 검토·승인·변경에 대한 책임자(또는 부서)가 정해져 있다.</x:v>
      </x:c>
      <x:c r="H109" s="6" t="str">
        <x:v>E1</x:v>
      </x:c>
      <x:c r="I109" s="6" t="str">
        <x:v>A27</x:v>
      </x:c>
      <x:c r="J109" s="6" t="str">
        <x:v>A49·A50; S07 출판사 초록</x:v>
      </x:c>
      <x:c r="K109" s="6" t="str">
        <x:v>검토·승인·변경의 세 질문을 단일 조정 책임으로 바꿈. Accountability와 동일 개념으로 인용하지 않음.</x:v>
      </x:c>
      <x:c r="L109" s="21"/>
      <x:c r="M109" s="21"/>
      <x:c r="N109" s="21"/>
      <x:c r="O109" s="21"/>
      <x:c r="P109" s="21"/>
      <x:c r="Q109" s="21"/>
      <x:c r="R109" s="24" t="str">
        <x:f>IF(COUNT(L109:Q109)=6,COUNTIF(L109:Q109,"&gt;=3")/6,"")</x:f>
      </x:c>
      <x:c r="S109" s="6" t="str">
        <x:f>IF(COUNT(L109:Q109)=6,"6인 평가 완료","평가 미완료")</x:f>
        <x:v>평가 미완료</x:v>
      </x:c>
      <x:c r="T109" s="21" t="str">
        <x:v>미검토</x:v>
      </x:c>
      <x:c r="U109" s="21" t="str"/>
    </x:row>
    <x:row r="110" ht="39" customHeight="1">
      <x:c r="A110" s="3" t="str">
        <x:v>L21-TM</x:v>
      </x:c>
      <x:c r="B110" s="3" t="str">
        <x:v>L21</x:v>
      </x:c>
      <x:c r="C110" s="3" t="str">
        <x:v>TM</x:v>
      </x:c>
      <x:c r="D110" s="3" t="str">
        <x:v>변경전파 적시성</x:v>
      </x:c>
      <x:c r="E110" s="3" t="str">
        <x:v>연결 품질 후보</x:v>
      </x:c>
      <x:c r="F110" s="3" t="str">
        <x:v>우리 조직에서는 BCMS에 중대한 변경이 생기면, 그 변경 정보가 리스크평가 업무에 필요한 시점 이전에 전달·처리된다.</x:v>
      </x:c>
      <x:c r="G110" s="3" t="str">
        <x:v>우리 조직에서는 BCMS에 중대한 변경이 생기면, 리스크평가 대상과 결과에 정해진 기간 안에 반영된다.</x:v>
      </x:c>
      <x:c r="H110" s="3" t="str">
        <x:v>E1</x:v>
      </x:c>
      <x:c r="I110" s="3" t="str">
        <x:v>A27</x:v>
      </x:c>
      <x:c r="J110" s="3" t="str">
        <x:v>S04 PDF pp.4–5 저널 pp.214–215; A27·A28·A41</x:v>
      </x:c>
      <x:c r="K110" s="3" t="str">
        <x:v>과업에 필요한 시점을 기준으로 함. 변경이 없었던 조직은 별도 코드로 처리.</x:v>
      </x:c>
      <x:c r="L110" s="21"/>
      <x:c r="M110" s="21"/>
      <x:c r="N110" s="21"/>
      <x:c r="O110" s="21"/>
      <x:c r="P110" s="21"/>
      <x:c r="Q110" s="21"/>
      <x:c r="R110" s="23" t="str">
        <x:f>IF(COUNT(L110:Q110)=6,COUNTIF(L110:Q110,"&gt;=3")/6,"")</x:f>
      </x:c>
      <x:c r="S110" s="3" t="str">
        <x:f>IF(COUNT(L110:Q110)=6,"6인 평가 완료","평가 미완료")</x:f>
        <x:v>평가 미완료</x:v>
      </x:c>
      <x:c r="T110" s="21" t="str">
        <x:v>미검토</x:v>
      </x:c>
      <x:c r="U110" s="21" t="str"/>
    </x:row>
    <x:row r="111" ht="39" customHeight="1">
      <x:c r="A111" s="6" t="str">
        <x:v>L22-CO</x:v>
      </x:c>
      <x:c r="B111" s="6" t="str">
        <x:v>L22</x:v>
      </x:c>
      <x:c r="C111" s="6" t="str">
        <x:v>CO</x:v>
      </x:c>
      <x:c r="D111" s="6" t="str">
        <x:v>정합성</x:v>
      </x:c>
      <x:c r="E111" s="6" t="str">
        <x:v>연결 품질 후보</x:v>
      </x:c>
      <x:c r="F111" s="6" t="str">
        <x:v>우리 조직에서는 승인된 변경이 관련 문서의 개정으로 이어질 때, 두 내용 중 서로 대응해야 하는 기준·수치·전제에 모순이 없다.</x:v>
      </x:c>
      <x:c r="G111" s="6" t="str">
        <x:v>우리 조직에서는 승인된 변경이 관련 문서의 개정으로 이어질 때, 두 내용이 서로 모순 없이 일치한다.</x:v>
      </x:c>
      <x:c r="H111" s="6" t="str">
        <x:v>E1</x:v>
      </x:c>
      <x:c r="I111" s="6" t="str">
        <x:v>A28</x:v>
      </x:c>
      <x:c r="J111" s="6" t="str">
        <x:v>A12·A14·A16; S06</x:v>
      </x:c>
      <x:c r="K111" s="6" t="str">
        <x:v>서로 다른 프로세스 산출물의 내용 전체가 동일해야 한다는 오해를 줄임.</x:v>
      </x:c>
      <x:c r="L111" s="21"/>
      <x:c r="M111" s="21"/>
      <x:c r="N111" s="21"/>
      <x:c r="O111" s="21"/>
      <x:c r="P111" s="21"/>
      <x:c r="Q111" s="21"/>
      <x:c r="R111" s="24" t="str">
        <x:f>IF(COUNT(L111:Q111)=6,COUNTIF(L111:Q111,"&gt;=3")/6,"")</x:f>
      </x:c>
      <x:c r="S111" s="6" t="str">
        <x:f>IF(COUNT(L111:Q111)=6,"6인 평가 완료","평가 미완료")</x:f>
        <x:v>평가 미완료</x:v>
      </x:c>
      <x:c r="T111" s="21" t="str">
        <x:v>미검토</x:v>
      </x:c>
      <x:c r="U111" s="21" t="str"/>
    </x:row>
    <x:row r="112" ht="39" customHeight="1">
      <x:c r="A112" s="3" t="str">
        <x:v>L22-TR</x:v>
      </x:c>
      <x:c r="B112" s="3" t="str">
        <x:v>L22</x:v>
      </x:c>
      <x:c r="C112" s="3" t="str">
        <x:v>TR</x:v>
      </x:c>
      <x:c r="D112" s="3" t="str">
        <x:v>근거 추적가능성</x:v>
      </x:c>
      <x:c r="E112" s="3" t="str">
        <x:v>연결 품질 후보</x:v>
      </x:c>
      <x:c r="F112" s="3" t="str">
        <x:v>우리 조직에서는 관련 문서(계획·절차·연락망 등)에서 근거가 된 승인된 변경을 식별자나 문서 위치를 통해 찾아갈 수 있다.</x:v>
      </x:c>
      <x:c r="G112" s="3" t="str">
        <x:v>우리 조직에서는 관련 문서(계획·절차·연락망 등)에서 근거가 된 승인된 변경을 거슬러 찾아 확인할 수 있다.</x:v>
      </x:c>
      <x:c r="H112" s="3" t="str">
        <x:v>E1</x:v>
      </x:c>
      <x:c r="I112" s="3" t="str">
        <x:v>A28</x:v>
      </x:c>
      <x:c r="J112" s="3" t="str">
        <x:v>S01 §5.1 PDF p.4 저널 pp.94–101</x:v>
      </x:c>
      <x:c r="K112" s="3" t="str">
        <x:v>후방 근거 추적 문항. 전방 추적은 측정 범위에 포함됐다고 주장하지 않음.</x:v>
      </x:c>
      <x:c r="L112" s="21"/>
      <x:c r="M112" s="21"/>
      <x:c r="N112" s="21"/>
      <x:c r="O112" s="21"/>
      <x:c r="P112" s="21"/>
      <x:c r="Q112" s="21"/>
      <x:c r="R112" s="23" t="str">
        <x:f>IF(COUNT(L112:Q112)=6,COUNTIF(L112:Q112,"&gt;=3")/6,"")</x:f>
      </x:c>
      <x:c r="S112" s="3" t="str">
        <x:f>IF(COUNT(L112:Q112)=6,"6인 평가 완료","평가 미완료")</x:f>
        <x:v>평가 미완료</x:v>
      </x:c>
      <x:c r="T112" s="21" t="str">
        <x:v>미검토</x:v>
      </x:c>
      <x:c r="U112" s="21" t="str"/>
    </x:row>
    <x:row r="113" ht="39" customHeight="1">
      <x:c r="A113" s="6" t="str">
        <x:v>L22-EV</x:v>
      </x:c>
      <x:c r="B113" s="6" t="str">
        <x:v>L22</x:v>
      </x:c>
      <x:c r="C113" s="6" t="str">
        <x:v>EV</x:v>
      </x:c>
      <x:c r="D113" s="6" t="str">
        <x:v>연결 증빙가능성</x:v>
      </x:c>
      <x:c r="E113" s="6" t="str">
        <x:v>연결 품질 후보</x:v>
      </x:c>
      <x:c r="F113" s="6" t="str">
        <x:v>우리 조직에서는 승인된 변경이 관련 문서의 개정으로 이어질 때, 실제 사용 또는 평가 사실을 보여 주는 기록이 남아 있다.</x:v>
      </x:c>
      <x:c r="G113" s="6" t="str">
        <x:v>우리 조직에서는 승인된 변경이 관련 문서의 개정으로 이어질 때, 그 사실을 입증하는 문서·기록·승인(검토 기록, 회의록, 버전 이력 등)이 남아 있다.</x:v>
      </x:c>
      <x:c r="H113" s="6" t="str">
        <x:v>E1</x:v>
      </x:c>
      <x:c r="I113" s="6" t="str">
        <x:v>A28</x:v>
      </x:c>
      <x:c r="J113" s="6" t="str">
        <x:v>B17 PDF p.6; A13·A37</x:v>
      </x:c>
      <x:c r="K113" s="6" t="str">
        <x:v>문서 보유가 아니라 연결의 실제 수행 사실을 증명하는 기록을 묻도록 수정.</x:v>
      </x:c>
      <x:c r="L113" s="21"/>
      <x:c r="M113" s="21"/>
      <x:c r="N113" s="21"/>
      <x:c r="O113" s="21"/>
      <x:c r="P113" s="21"/>
      <x:c r="Q113" s="21"/>
      <x:c r="R113" s="24" t="str">
        <x:f>IF(COUNT(L113:Q113)=6,COUNTIF(L113:Q113,"&gt;=3")/6,"")</x:f>
      </x:c>
      <x:c r="S113" s="6" t="str">
        <x:f>IF(COUNT(L113:Q113)=6,"6인 평가 완료","평가 미완료")</x:f>
        <x:v>평가 미완료</x:v>
      </x:c>
      <x:c r="T113" s="21" t="str">
        <x:v>미검토</x:v>
      </x:c>
      <x:c r="U113" s="21" t="str"/>
    </x:row>
    <x:row r="114" ht="39" customHeight="1">
      <x:c r="A114" s="3" t="str">
        <x:v>L22-AC</x:v>
      </x:c>
      <x:c r="B114" s="3" t="str">
        <x:v>L22</x:v>
      </x:c>
      <x:c r="C114" s="3" t="str">
        <x:v>AC</x:v>
      </x:c>
      <x:c r="D114" s="3" t="str">
        <x:v>연결 책임명확성</x:v>
      </x:c>
      <x:c r="E114" s="3" t="str">
        <x:v>관리조건 후보</x:v>
      </x:c>
      <x:c r="F114" s="3" t="str">
        <x:v>우리 조직에서는 BC 변경관리와 문서화된 정보 통제 사이의 해당 연결을 조정할 책임 역할 또는 부서가 명확하다.</x:v>
      </x:c>
      <x:c r="G114" s="3" t="str">
        <x:v>우리 조직에서는 승인된 변경이 관련 문서의 개정으로 이어질 때, 그 연결의 검토·승인·변경에 대한 책임자(또는 부서)가 정해져 있다.</x:v>
      </x:c>
      <x:c r="H114" s="3" t="str">
        <x:v>E1</x:v>
      </x:c>
      <x:c r="I114" s="3" t="str">
        <x:v>A28</x:v>
      </x:c>
      <x:c r="J114" s="3" t="str">
        <x:v>A49·A50; S07 출판사 초록</x:v>
      </x:c>
      <x:c r="K114" s="3" t="str">
        <x:v>검토·승인·변경의 세 질문을 단일 조정 책임으로 바꿈. Accountability와 동일 개념으로 인용하지 않음.</x:v>
      </x:c>
      <x:c r="L114" s="21"/>
      <x:c r="M114" s="21"/>
      <x:c r="N114" s="21"/>
      <x:c r="O114" s="21"/>
      <x:c r="P114" s="21"/>
      <x:c r="Q114" s="21"/>
      <x:c r="R114" s="23" t="str">
        <x:f>IF(COUNT(L114:Q114)=6,COUNTIF(L114:Q114,"&gt;=3")/6,"")</x:f>
      </x:c>
      <x:c r="S114" s="3" t="str">
        <x:f>IF(COUNT(L114:Q114)=6,"6인 평가 완료","평가 미완료")</x:f>
        <x:v>평가 미완료</x:v>
      </x:c>
      <x:c r="T114" s="21" t="str">
        <x:v>미검토</x:v>
      </x:c>
      <x:c r="U114" s="21" t="str"/>
    </x:row>
    <x:row r="115" ht="39" customHeight="1">
      <x:c r="A115" s="6" t="str">
        <x:v>L22-TM</x:v>
      </x:c>
      <x:c r="B115" s="6" t="str">
        <x:v>L22</x:v>
      </x:c>
      <x:c r="C115" s="6" t="str">
        <x:v>TM</x:v>
      </x:c>
      <x:c r="D115" s="6" t="str">
        <x:v>변경전파 적시성</x:v>
      </x:c>
      <x:c r="E115" s="6" t="str">
        <x:v>연결 품질 후보</x:v>
      </x:c>
      <x:c r="F115" s="6" t="str">
        <x:v>우리 조직에서는 변경이 승인되면, 그 변경 정보가 문서화된 정보 통제 업무에 필요한 시점 이전에 전달·처리된다.</x:v>
      </x:c>
      <x:c r="G115" s="6" t="str">
        <x:v>우리 조직에서는 변경이 승인되면, 관련 문서(계획·절차·연락망 등)에 정해진 기간 안에 반영된다.</x:v>
      </x:c>
      <x:c r="H115" s="6" t="str">
        <x:v>E1</x:v>
      </x:c>
      <x:c r="I115" s="6" t="str">
        <x:v>A28</x:v>
      </x:c>
      <x:c r="J115" s="6" t="str">
        <x:v>S04 PDF pp.4–5 저널 pp.214–215; A27·A28·A41</x:v>
      </x:c>
      <x:c r="K115" s="6" t="str">
        <x:v>과업에 필요한 시점을 기준으로 함. 변경이 없었던 조직은 별도 코드로 처리.</x:v>
      </x:c>
      <x:c r="L115" s="21"/>
      <x:c r="M115" s="21"/>
      <x:c r="N115" s="21"/>
      <x:c r="O115" s="21"/>
      <x:c r="P115" s="21"/>
      <x:c r="Q115" s="21"/>
      <x:c r="R115" s="24" t="str">
        <x:f>IF(COUNT(L115:Q115)=6,COUNTIF(L115:Q115,"&gt;=3")/6,"")</x:f>
      </x:c>
      <x:c r="S115" s="6" t="str">
        <x:f>IF(COUNT(L115:Q115)=6,"6인 평가 완료","평가 미완료")</x:f>
        <x:v>평가 미완료</x:v>
      </x:c>
      <x:c r="T115" s="21" t="str">
        <x:v>미검토</x:v>
      </x:c>
      <x:c r="U115" s="21" t="str"/>
    </x:row>
    <x:row r="116" ht="39" customHeight="1">
      <x:c r="A116" s="3" t="str">
        <x:v>L23-CO</x:v>
      </x:c>
      <x:c r="B116" s="3" t="str">
        <x:v>L23</x:v>
      </x:c>
      <x:c r="C116" s="3" t="str">
        <x:v>CO</x:v>
      </x:c>
      <x:c r="D116" s="3" t="str">
        <x:v>정합성</x:v>
      </x:c>
      <x:c r="E116" s="3" t="str">
        <x:v>연결 품질 후보</x:v>
      </x:c>
      <x:c r="F116" s="3" t="str">
        <x:v>우리 조직에서는 사고 대응에서 나온 변경 필요사항이 변경관리를 촉발할 때, 두 내용 중 서로 대응해야 하는 기준·수치·전제에 모순이 없다.</x:v>
      </x:c>
      <x:c r="G116" s="3" t="str">
        <x:v>우리 조직에서는 사고 대응에서 나온 변경 필요사항이 변경관리를 촉발할 때, 두 내용이 서로 모순 없이 일치한다.</x:v>
      </x:c>
      <x:c r="H116" s="3" t="str">
        <x:v>E2</x:v>
      </x:c>
      <x:c r="I116" s="3" t="str">
        <x:v>A29</x:v>
      </x:c>
      <x:c r="J116" s="3" t="str">
        <x:v>A12·A14·A16; S06</x:v>
      </x:c>
      <x:c r="K116" s="3" t="str">
        <x:v>서로 다른 프로세스 산출물의 내용 전체가 동일해야 한다는 오해를 줄임.</x:v>
      </x:c>
      <x:c r="L116" s="21"/>
      <x:c r="M116" s="21"/>
      <x:c r="N116" s="21"/>
      <x:c r="O116" s="21"/>
      <x:c r="P116" s="21"/>
      <x:c r="Q116" s="21"/>
      <x:c r="R116" s="23" t="str">
        <x:f>IF(COUNT(L116:Q116)=6,COUNTIF(L116:Q116,"&gt;=3")/6,"")</x:f>
      </x:c>
      <x:c r="S116" s="3" t="str">
        <x:f>IF(COUNT(L116:Q116)=6,"6인 평가 완료","평가 미완료")</x:f>
        <x:v>평가 미완료</x:v>
      </x:c>
      <x:c r="T116" s="21" t="str">
        <x:v>미검토</x:v>
      </x:c>
      <x:c r="U116" s="21" t="str"/>
    </x:row>
    <x:row r="117" ht="39" customHeight="1">
      <x:c r="A117" s="6" t="str">
        <x:v>L23-TR</x:v>
      </x:c>
      <x:c r="B117" s="6" t="str">
        <x:v>L23</x:v>
      </x:c>
      <x:c r="C117" s="6" t="str">
        <x:v>TR</x:v>
      </x:c>
      <x:c r="D117" s="6" t="str">
        <x:v>근거 추적가능성</x:v>
      </x:c>
      <x:c r="E117" s="6" t="str">
        <x:v>연결 품질 후보</x:v>
      </x:c>
      <x:c r="F117" s="6" t="str">
        <x:v>우리 조직에서는 변경관리 요청 목록에서 근거가 된 사고 대응 결과를 식별자나 문서 위치를 통해 찾아갈 수 있다.</x:v>
      </x:c>
      <x:c r="G117" s="6" t="str">
        <x:v>우리 조직에서는 변경관리 요청 목록에서 근거가 된 사고 대응 결과를 거슬러 찾아 확인할 수 있다.</x:v>
      </x:c>
      <x:c r="H117" s="6" t="str">
        <x:v>E2</x:v>
      </x:c>
      <x:c r="I117" s="6" t="str">
        <x:v>A29</x:v>
      </x:c>
      <x:c r="J117" s="6" t="str">
        <x:v>S01 §5.1 PDF p.4 저널 pp.94–101</x:v>
      </x:c>
      <x:c r="K117" s="6" t="str">
        <x:v>후방 근거 추적 문항. 전방 추적은 측정 범위에 포함됐다고 주장하지 않음.</x:v>
      </x:c>
      <x:c r="L117" s="21"/>
      <x:c r="M117" s="21"/>
      <x:c r="N117" s="21"/>
      <x:c r="O117" s="21"/>
      <x:c r="P117" s="21"/>
      <x:c r="Q117" s="21"/>
      <x:c r="R117" s="24" t="str">
        <x:f>IF(COUNT(L117:Q117)=6,COUNTIF(L117:Q117,"&gt;=3")/6,"")</x:f>
      </x:c>
      <x:c r="S117" s="6" t="str">
        <x:f>IF(COUNT(L117:Q117)=6,"6인 평가 완료","평가 미완료")</x:f>
        <x:v>평가 미완료</x:v>
      </x:c>
      <x:c r="T117" s="21" t="str">
        <x:v>미검토</x:v>
      </x:c>
      <x:c r="U117" s="21" t="str"/>
    </x:row>
    <x:row r="118" ht="39" customHeight="1">
      <x:c r="A118" s="3" t="str">
        <x:v>L23-EV</x:v>
      </x:c>
      <x:c r="B118" s="3" t="str">
        <x:v>L23</x:v>
      </x:c>
      <x:c r="C118" s="3" t="str">
        <x:v>EV</x:v>
      </x:c>
      <x:c r="D118" s="3" t="str">
        <x:v>연결 증빙가능성</x:v>
      </x:c>
      <x:c r="E118" s="3" t="str">
        <x:v>연결 품질 후보</x:v>
      </x:c>
      <x:c r="F118" s="3" t="str">
        <x:v>우리 조직에서는 사고 대응에서 나온 변경 필요사항이 변경관리를 촉발할 때, 실제 사용 또는 평가 사실을 보여 주는 기록이 남아 있다.</x:v>
      </x:c>
      <x:c r="G118" s="3" t="str">
        <x:v>우리 조직에서는 사고 대응에서 나온 변경 필요사항이 변경관리를 촉발할 때, 그 사실을 입증하는 문서·기록·승인(검토 기록, 회의록, 버전 이력 등)이 남아 있다.</x:v>
      </x:c>
      <x:c r="H118" s="3" t="str">
        <x:v>E2</x:v>
      </x:c>
      <x:c r="I118" s="3" t="str">
        <x:v>A29</x:v>
      </x:c>
      <x:c r="J118" s="3" t="str">
        <x:v>B17 PDF p.6; A13·A37</x:v>
      </x:c>
      <x:c r="K118" s="3" t="str">
        <x:v>문서 보유가 아니라 연결의 실제 수행 사실을 증명하는 기록을 묻도록 수정.</x:v>
      </x:c>
      <x:c r="L118" s="21"/>
      <x:c r="M118" s="21"/>
      <x:c r="N118" s="21"/>
      <x:c r="O118" s="21"/>
      <x:c r="P118" s="21"/>
      <x:c r="Q118" s="21"/>
      <x:c r="R118" s="23" t="str">
        <x:f>IF(COUNT(L118:Q118)=6,COUNTIF(L118:Q118,"&gt;=3")/6,"")</x:f>
      </x:c>
      <x:c r="S118" s="3" t="str">
        <x:f>IF(COUNT(L118:Q118)=6,"6인 평가 완료","평가 미완료")</x:f>
        <x:v>평가 미완료</x:v>
      </x:c>
      <x:c r="T118" s="21" t="str">
        <x:v>미검토</x:v>
      </x:c>
      <x:c r="U118" s="21" t="str"/>
    </x:row>
    <x:row r="119" ht="39" customHeight="1">
      <x:c r="A119" s="6" t="str">
        <x:v>L23-AC</x:v>
      </x:c>
      <x:c r="B119" s="6" t="str">
        <x:v>L23</x:v>
      </x:c>
      <x:c r="C119" s="6" t="str">
        <x:v>AC</x:v>
      </x:c>
      <x:c r="D119" s="6" t="str">
        <x:v>연결 책임명확성</x:v>
      </x:c>
      <x:c r="E119" s="6" t="str">
        <x:v>관리조건 후보</x:v>
      </x:c>
      <x:c r="F119" s="6" t="str">
        <x:v>우리 조직에서는 사고·비상 대응와 BC 변경관리 사이의 해당 연결을 조정할 책임 역할 또는 부서가 명확하다.</x:v>
      </x:c>
      <x:c r="G119" s="6" t="str">
        <x:v>우리 조직에서는 사고 대응에서 나온 변경 필요사항이 변경관리를 촉발할 때, 그 연결의 검토·승인·변경에 대한 책임자(또는 부서)가 정해져 있다.</x:v>
      </x:c>
      <x:c r="H119" s="6" t="str">
        <x:v>E2</x:v>
      </x:c>
      <x:c r="I119" s="6" t="str">
        <x:v>A29</x:v>
      </x:c>
      <x:c r="J119" s="6" t="str">
        <x:v>A49·A50; S07 출판사 초록</x:v>
      </x:c>
      <x:c r="K119" s="6" t="str">
        <x:v>검토·승인·변경의 세 질문을 단일 조정 책임으로 바꿈. Accountability와 동일 개념으로 인용하지 않음.</x:v>
      </x:c>
      <x:c r="L119" s="21"/>
      <x:c r="M119" s="21"/>
      <x:c r="N119" s="21"/>
      <x:c r="O119" s="21"/>
      <x:c r="P119" s="21"/>
      <x:c r="Q119" s="21"/>
      <x:c r="R119" s="24" t="str">
        <x:f>IF(COUNT(L119:Q119)=6,COUNTIF(L119:Q119,"&gt;=3")/6,"")</x:f>
      </x:c>
      <x:c r="S119" s="6" t="str">
        <x:f>IF(COUNT(L119:Q119)=6,"6인 평가 완료","평가 미완료")</x:f>
        <x:v>평가 미완료</x:v>
      </x:c>
      <x:c r="T119" s="21" t="str">
        <x:v>미검토</x:v>
      </x:c>
      <x:c r="U119" s="21" t="str"/>
    </x:row>
    <x:row r="120" ht="39" customHeight="1">
      <x:c r="A120" s="3" t="str">
        <x:v>L23-TM</x:v>
      </x:c>
      <x:c r="B120" s="3" t="str">
        <x:v>L23</x:v>
      </x:c>
      <x:c r="C120" s="3" t="str">
        <x:v>TM</x:v>
      </x:c>
      <x:c r="D120" s="3" t="str">
        <x:v>변경전파 적시성</x:v>
      </x:c>
      <x:c r="E120" s="3" t="str">
        <x:v>연결 품질 후보</x:v>
      </x:c>
      <x:c r="F120" s="3" t="str">
        <x:v>우리 조직에서는 새 사고 대응 결과가 나오면, 그 변경 정보가 BC 변경관리 업무에 필요한 시점 이전에 전달·처리된다.</x:v>
      </x:c>
      <x:c r="G120" s="3" t="str">
        <x:v>우리 조직에서는 새 사고 대응 결과가 나오면, 변경관리 요청 목록에 정해진 기간 안에 반영된다.</x:v>
      </x:c>
      <x:c r="H120" s="3" t="str">
        <x:v>E2</x:v>
      </x:c>
      <x:c r="I120" s="3" t="str">
        <x:v>A29</x:v>
      </x:c>
      <x:c r="J120" s="3" t="str">
        <x:v>S04 PDF pp.4–5 저널 pp.214–215; A27·A28·A41</x:v>
      </x:c>
      <x:c r="K120" s="3" t="str">
        <x:v>과업에 필요한 시점을 기준으로 함. 변경이 없었던 조직은 별도 코드로 처리.</x:v>
      </x:c>
      <x:c r="L120" s="21"/>
      <x:c r="M120" s="21"/>
      <x:c r="N120" s="21"/>
      <x:c r="O120" s="21"/>
      <x:c r="P120" s="21"/>
      <x:c r="Q120" s="21"/>
      <x:c r="R120" s="23" t="str">
        <x:f>IF(COUNT(L120:Q120)=6,COUNTIF(L120:Q120,"&gt;=3")/6,"")</x:f>
      </x:c>
      <x:c r="S120" s="3" t="str">
        <x:f>IF(COUNT(L120:Q120)=6,"6인 평가 완료","평가 미완료")</x:f>
        <x:v>평가 미완료</x:v>
      </x:c>
      <x:c r="T120" s="21" t="str">
        <x:v>미검토</x:v>
      </x:c>
      <x:c r="U120" s="21" t="str"/>
    </x:row>
    <x:row r="121" ht="39" customHeight="1">
      <x:c r="A121" s="6" t="str">
        <x:v>L23-FC</x:v>
      </x:c>
      <x:c r="B121" s="6" t="str">
        <x:v>L23</x:v>
      </x:c>
      <x:c r="C121" s="6" t="str">
        <x:v>FC</x:v>
      </x:c>
      <x:c r="D121" s="6" t="str">
        <x:v>개선조치 완결성</x:v>
      </x:c>
      <x:c r="E121" s="6" t="str">
        <x:v>경로 개념 보류</x:v>
      </x:c>
      <x:c r="F121" s="6" t="str">
        <x:v>우리 조직에서는 사고 대응 결과에 따른 변경조치가 지정된 종료 기준을 충족하여 종결된다.</x:v>
      </x:c>
      <x:c r="G121" s="6" t="str">
        <x:v>우리 조직에서는 사고 대응에서 변경 필요사항이 나오면, 변경 요청의 처리와 관련 문서의 재수정까지 조치가 이어져 완료가 확인된다.</x:v>
      </x:c>
      <x:c r="H121" s="6" t="str">
        <x:v>E2</x:v>
      </x:c>
      <x:c r="I121" s="6" t="str">
        <x:v>A29</x:v>
      </x:c>
      <x:c r="J121" s="6" t="str">
        <x:v>A23·A25·A29; 추가 직접 근거 필요</x:v>
      </x:c>
      <x:c r="K121" s="6" t="str">
        <x:v>평가→조치→종결의 경로 개체와 종료 기준 확보 전 개념 보류. 원문의 직접 인용 문항 아님.</x:v>
      </x:c>
      <x:c r="L121" s="22"/>
      <x:c r="M121" s="22"/>
      <x:c r="N121" s="22"/>
      <x:c r="O121" s="22"/>
      <x:c r="P121" s="22"/>
      <x:c r="Q121" s="22"/>
      <x:c r="R121" s="24" t="str">
        <x:f>IF(COUNT(L121:Q121)=6,COUNTIF(L121:Q121,"&gt;=3")/6,"")</x:f>
      </x:c>
      <x:c r="S121" s="6" t="str">
        <x:f>IF(COUNT(L121:Q121)=6,"6인 평가 완료","평가 미완료")</x:f>
        <x:v>평가 미완료</x:v>
      </x:c>
      <x:c r="T121" s="21" t="str">
        <x:v>미검토</x:v>
      </x:c>
      <x:c r="U121" s="21" t="str"/>
    </x:row>
    <x:row r="122" ht="39" customHeight="1">
      <x:c r="A122" s="3" t="str">
        <x:v>L24-CO</x:v>
      </x:c>
      <x:c r="B122" s="3" t="str">
        <x:v>L24</x:v>
      </x:c>
      <x:c r="C122" s="3" t="str">
        <x:v>CO</x:v>
      </x:c>
      <x:c r="D122" s="3" t="str">
        <x:v>정합성</x:v>
      </x:c>
      <x:c r="E122" s="3" t="str">
        <x:v>연결 품질 후보</x:v>
      </x:c>
      <x:c r="F122" s="3" t="str">
        <x:v>우리 조직에서는 연습에서 나온 변경 필요사항이 변경관리를 촉발할 때, 두 내용 중 서로 대응해야 하는 기준·수치·전제에 모순이 없다.</x:v>
      </x:c>
      <x:c r="G122" s="3" t="str">
        <x:v>우리 조직에서는 연습에서 나온 변경 필요사항이 변경관리를 촉발할 때, 두 내용이 서로 모순 없이 일치한다.</x:v>
      </x:c>
      <x:c r="H122" s="3" t="str">
        <x:v>E2</x:v>
      </x:c>
      <x:c r="I122" s="3" t="str">
        <x:v>A29</x:v>
      </x:c>
      <x:c r="J122" s="3" t="str">
        <x:v>A12·A14·A16; S06</x:v>
      </x:c>
      <x:c r="K122" s="3" t="str">
        <x:v>서로 다른 프로세스 산출물의 내용 전체가 동일해야 한다는 오해를 줄임.</x:v>
      </x:c>
      <x:c r="L122" s="21"/>
      <x:c r="M122" s="21"/>
      <x:c r="N122" s="21"/>
      <x:c r="O122" s="21"/>
      <x:c r="P122" s="21"/>
      <x:c r="Q122" s="21"/>
      <x:c r="R122" s="23" t="str">
        <x:f>IF(COUNT(L122:Q122)=6,COUNTIF(L122:Q122,"&gt;=3")/6,"")</x:f>
      </x:c>
      <x:c r="S122" s="3" t="str">
        <x:f>IF(COUNT(L122:Q122)=6,"6인 평가 완료","평가 미완료")</x:f>
        <x:v>평가 미완료</x:v>
      </x:c>
      <x:c r="T122" s="21" t="str">
        <x:v>미검토</x:v>
      </x:c>
      <x:c r="U122" s="21" t="str"/>
    </x:row>
    <x:row r="123" ht="39" customHeight="1">
      <x:c r="A123" s="6" t="str">
        <x:v>L24-TR</x:v>
      </x:c>
      <x:c r="B123" s="6" t="str">
        <x:v>L24</x:v>
      </x:c>
      <x:c r="C123" s="6" t="str">
        <x:v>TR</x:v>
      </x:c>
      <x:c r="D123" s="6" t="str">
        <x:v>근거 추적가능성</x:v>
      </x:c>
      <x:c r="E123" s="6" t="str">
        <x:v>연결 품질 후보</x:v>
      </x:c>
      <x:c r="F123" s="6" t="str">
        <x:v>우리 조직에서는 변경관리 요청 목록에서 근거가 된 연습 결과를 식별자나 문서 위치를 통해 찾아갈 수 있다.</x:v>
      </x:c>
      <x:c r="G123" s="6" t="str">
        <x:v>우리 조직에서는 변경관리 요청 목록에서 근거가 된 연습 결과를 거슬러 찾아 확인할 수 있다.</x:v>
      </x:c>
      <x:c r="H123" s="6" t="str">
        <x:v>E2</x:v>
      </x:c>
      <x:c r="I123" s="6" t="str">
        <x:v>A29</x:v>
      </x:c>
      <x:c r="J123" s="6" t="str">
        <x:v>S01 §5.1 PDF p.4 저널 pp.94–101</x:v>
      </x:c>
      <x:c r="K123" s="6" t="str">
        <x:v>후방 근거 추적 문항. 전방 추적은 측정 범위에 포함됐다고 주장하지 않음.</x:v>
      </x:c>
      <x:c r="L123" s="21"/>
      <x:c r="M123" s="21"/>
      <x:c r="N123" s="21"/>
      <x:c r="O123" s="21"/>
      <x:c r="P123" s="21"/>
      <x:c r="Q123" s="21"/>
      <x:c r="R123" s="24" t="str">
        <x:f>IF(COUNT(L123:Q123)=6,COUNTIF(L123:Q123,"&gt;=3")/6,"")</x:f>
      </x:c>
      <x:c r="S123" s="6" t="str">
        <x:f>IF(COUNT(L123:Q123)=6,"6인 평가 완료","평가 미완료")</x:f>
        <x:v>평가 미완료</x:v>
      </x:c>
      <x:c r="T123" s="21" t="str">
        <x:v>미검토</x:v>
      </x:c>
      <x:c r="U123" s="21" t="str"/>
    </x:row>
    <x:row r="124" ht="39" customHeight="1">
      <x:c r="A124" s="3" t="str">
        <x:v>L24-EV</x:v>
      </x:c>
      <x:c r="B124" s="3" t="str">
        <x:v>L24</x:v>
      </x:c>
      <x:c r="C124" s="3" t="str">
        <x:v>EV</x:v>
      </x:c>
      <x:c r="D124" s="3" t="str">
        <x:v>연결 증빙가능성</x:v>
      </x:c>
      <x:c r="E124" s="3" t="str">
        <x:v>연결 품질 후보</x:v>
      </x:c>
      <x:c r="F124" s="3" t="str">
        <x:v>우리 조직에서는 연습에서 나온 변경 필요사항이 변경관리를 촉발할 때, 실제 사용 또는 평가 사실을 보여 주는 기록이 남아 있다.</x:v>
      </x:c>
      <x:c r="G124" s="3" t="str">
        <x:v>우리 조직에서는 연습에서 나온 변경 필요사항이 변경관리를 촉발할 때, 그 사실을 입증하는 문서·기록·승인(검토 기록, 회의록, 버전 이력 등)이 남아 있다.</x:v>
      </x:c>
      <x:c r="H124" s="3" t="str">
        <x:v>E2</x:v>
      </x:c>
      <x:c r="I124" s="3" t="str">
        <x:v>A29</x:v>
      </x:c>
      <x:c r="J124" s="3" t="str">
        <x:v>B17 PDF p.6; A13·A37</x:v>
      </x:c>
      <x:c r="K124" s="3" t="str">
        <x:v>문서 보유가 아니라 연결의 실제 수행 사실을 증명하는 기록을 묻도록 수정.</x:v>
      </x:c>
      <x:c r="L124" s="21"/>
      <x:c r="M124" s="21"/>
      <x:c r="N124" s="21"/>
      <x:c r="O124" s="21"/>
      <x:c r="P124" s="21"/>
      <x:c r="Q124" s="21"/>
      <x:c r="R124" s="23" t="str">
        <x:f>IF(COUNT(L124:Q124)=6,COUNTIF(L124:Q124,"&gt;=3")/6,"")</x:f>
      </x:c>
      <x:c r="S124" s="3" t="str">
        <x:f>IF(COUNT(L124:Q124)=6,"6인 평가 완료","평가 미완료")</x:f>
        <x:v>평가 미완료</x:v>
      </x:c>
      <x:c r="T124" s="21" t="str">
        <x:v>미검토</x:v>
      </x:c>
      <x:c r="U124" s="21" t="str"/>
    </x:row>
    <x:row r="125" ht="39" customHeight="1">
      <x:c r="A125" s="6" t="str">
        <x:v>L24-AC</x:v>
      </x:c>
      <x:c r="B125" s="6" t="str">
        <x:v>L24</x:v>
      </x:c>
      <x:c r="C125" s="6" t="str">
        <x:v>AC</x:v>
      </x:c>
      <x:c r="D125" s="6" t="str">
        <x:v>연결 책임명확성</x:v>
      </x:c>
      <x:c r="E125" s="6" t="str">
        <x:v>관리조건 후보</x:v>
      </x:c>
      <x:c r="F125" s="6" t="str">
        <x:v>우리 조직에서는 BC 계획·절차 훈련·연습와 BC 변경관리 사이의 해당 연결을 조정할 책임 역할 또는 부서가 명확하다.</x:v>
      </x:c>
      <x:c r="G125" s="6" t="str">
        <x:v>우리 조직에서는 연습에서 나온 변경 필요사항이 변경관리를 촉발할 때, 그 연결의 검토·승인·변경에 대한 책임자(또는 부서)가 정해져 있다.</x:v>
      </x:c>
      <x:c r="H125" s="6" t="str">
        <x:v>E2</x:v>
      </x:c>
      <x:c r="I125" s="6" t="str">
        <x:v>A29</x:v>
      </x:c>
      <x:c r="J125" s="6" t="str">
        <x:v>A49·A50; S07 출판사 초록</x:v>
      </x:c>
      <x:c r="K125" s="6" t="str">
        <x:v>검토·승인·변경의 세 질문을 단일 조정 책임으로 바꿈. Accountability와 동일 개념으로 인용하지 않음.</x:v>
      </x:c>
      <x:c r="L125" s="21"/>
      <x:c r="M125" s="21"/>
      <x:c r="N125" s="21"/>
      <x:c r="O125" s="21"/>
      <x:c r="P125" s="21"/>
      <x:c r="Q125" s="21"/>
      <x:c r="R125" s="24" t="str">
        <x:f>IF(COUNT(L125:Q125)=6,COUNTIF(L125:Q125,"&gt;=3")/6,"")</x:f>
      </x:c>
      <x:c r="S125" s="6" t="str">
        <x:f>IF(COUNT(L125:Q125)=6,"6인 평가 완료","평가 미완료")</x:f>
        <x:v>평가 미완료</x:v>
      </x:c>
      <x:c r="T125" s="21" t="str">
        <x:v>미검토</x:v>
      </x:c>
      <x:c r="U125" s="21" t="str"/>
    </x:row>
    <x:row r="126" ht="39" customHeight="1">
      <x:c r="A126" s="3" t="str">
        <x:v>L24-TM</x:v>
      </x:c>
      <x:c r="B126" s="3" t="str">
        <x:v>L24</x:v>
      </x:c>
      <x:c r="C126" s="3" t="str">
        <x:v>TM</x:v>
      </x:c>
      <x:c r="D126" s="3" t="str">
        <x:v>변경전파 적시성</x:v>
      </x:c>
      <x:c r="E126" s="3" t="str">
        <x:v>연결 품질 후보</x:v>
      </x:c>
      <x:c r="F126" s="3" t="str">
        <x:v>우리 조직에서는 새 연습 결과가 나오면, 그 변경 정보가 BC 변경관리 업무에 필요한 시점 이전에 전달·처리된다.</x:v>
      </x:c>
      <x:c r="G126" s="3" t="str">
        <x:v>우리 조직에서는 새 연습 결과가 나오면, 변경관리 요청 목록에 정해진 기간 안에 반영된다.</x:v>
      </x:c>
      <x:c r="H126" s="3" t="str">
        <x:v>E2</x:v>
      </x:c>
      <x:c r="I126" s="3" t="str">
        <x:v>A29</x:v>
      </x:c>
      <x:c r="J126" s="3" t="str">
        <x:v>S04 PDF pp.4–5 저널 pp.214–215; A27·A28·A41</x:v>
      </x:c>
      <x:c r="K126" s="3" t="str">
        <x:v>과업에 필요한 시점을 기준으로 함. 변경이 없었던 조직은 별도 코드로 처리.</x:v>
      </x:c>
      <x:c r="L126" s="21"/>
      <x:c r="M126" s="21"/>
      <x:c r="N126" s="21"/>
      <x:c r="O126" s="21"/>
      <x:c r="P126" s="21"/>
      <x:c r="Q126" s="21"/>
      <x:c r="R126" s="23" t="str">
        <x:f>IF(COUNT(L126:Q126)=6,COUNTIF(L126:Q126,"&gt;=3")/6,"")</x:f>
      </x:c>
      <x:c r="S126" s="3" t="str">
        <x:f>IF(COUNT(L126:Q126)=6,"6인 평가 완료","평가 미완료")</x:f>
        <x:v>평가 미완료</x:v>
      </x:c>
      <x:c r="T126" s="21" t="str">
        <x:v>미검토</x:v>
      </x:c>
      <x:c r="U126" s="21" t="str"/>
    </x:row>
    <x:row r="127" ht="39" customHeight="1">
      <x:c r="A127" s="6" t="str">
        <x:v>L24-FC</x:v>
      </x:c>
      <x:c r="B127" s="6" t="str">
        <x:v>L24</x:v>
      </x:c>
      <x:c r="C127" s="6" t="str">
        <x:v>FC</x:v>
      </x:c>
      <x:c r="D127" s="6" t="str">
        <x:v>개선조치 완결성</x:v>
      </x:c>
      <x:c r="E127" s="6" t="str">
        <x:v>경로 개념 보류</x:v>
      </x:c>
      <x:c r="F127" s="6" t="str">
        <x:v>우리 조직에서는 연습 결과에 따른 변경조치가 지정된 종료 기준을 충족하여 종결된다.</x:v>
      </x:c>
      <x:c r="G127" s="6" t="str">
        <x:v>우리 조직에서는 연습에서 변경 필요사항이 나오면, 변경 요청의 처리와 관련 문서의 재수정까지 조치가 이어져 완료가 확인된다.</x:v>
      </x:c>
      <x:c r="H127" s="6" t="str">
        <x:v>E2</x:v>
      </x:c>
      <x:c r="I127" s="6" t="str">
        <x:v>A29</x:v>
      </x:c>
      <x:c r="J127" s="6" t="str">
        <x:v>A23·A25·A29; 추가 직접 근거 필요</x:v>
      </x:c>
      <x:c r="K127" s="6" t="str">
        <x:v>평가→조치→종결의 경로 개체와 종료 기준 확보 전 개념 보류. 원문의 직접 인용 문항 아님.</x:v>
      </x:c>
      <x:c r="L127" s="22"/>
      <x:c r="M127" s="22"/>
      <x:c r="N127" s="22"/>
      <x:c r="O127" s="22"/>
      <x:c r="P127" s="22"/>
      <x:c r="Q127" s="22"/>
      <x:c r="R127" s="24" t="str">
        <x:f>IF(COUNT(L127:Q127)=6,COUNTIF(L127:Q127,"&gt;=3")/6,"")</x:f>
      </x:c>
      <x:c r="S127" s="6" t="str">
        <x:f>IF(COUNT(L127:Q127)=6,"6인 평가 완료","평가 미완료")</x:f>
        <x:v>평가 미완료</x:v>
      </x:c>
      <x:c r="T127" s="21" t="str">
        <x:v>미검토</x:v>
      </x:c>
      <x:c r="U127" s="21" t="str"/>
    </x:row>
    <x:row r="128" ht="39" customHeight="1">
      <x:c r="A128" s="3" t="str">
        <x:v>L25-CO</x:v>
      </x:c>
      <x:c r="B128" s="3" t="str">
        <x:v>L25</x:v>
      </x:c>
      <x:c r="C128" s="3" t="str">
        <x:v>CO</x:v>
      </x:c>
      <x:c r="D128" s="3" t="str">
        <x:v>정합성</x:v>
      </x:c>
      <x:c r="E128" s="3" t="str">
        <x:v>연결 품질 후보</x:v>
      </x:c>
      <x:c r="F128" s="3" t="str">
        <x:v>우리 조직에서는 승인된 변경의 결과가 사고 대응 절차로 환류될 때, 두 내용 중 서로 대응해야 하는 기준·수치·전제에 모순이 없다.</x:v>
      </x:c>
      <x:c r="G128" s="3" t="str">
        <x:v>우리 조직에서는 승인된 변경의 결과가 사고 대응 절차로 환류될 때, 두 내용이 서로 모순 없이 일치한다.</x:v>
      </x:c>
      <x:c r="H128" s="3" t="str">
        <x:v>E2</x:v>
      </x:c>
      <x:c r="I128" s="3" t="str">
        <x:v>A29</x:v>
      </x:c>
      <x:c r="J128" s="3" t="str">
        <x:v>A12·A14·A16; S06</x:v>
      </x:c>
      <x:c r="K128" s="3" t="str">
        <x:v>서로 다른 프로세스 산출물의 내용 전체가 동일해야 한다는 오해를 줄임.</x:v>
      </x:c>
      <x:c r="L128" s="21"/>
      <x:c r="M128" s="21"/>
      <x:c r="N128" s="21"/>
      <x:c r="O128" s="21"/>
      <x:c r="P128" s="21"/>
      <x:c r="Q128" s="21"/>
      <x:c r="R128" s="23" t="str">
        <x:f>IF(COUNT(L128:Q128)=6,COUNTIF(L128:Q128,"&gt;=3")/6,"")</x:f>
      </x:c>
      <x:c r="S128" s="3" t="str">
        <x:f>IF(COUNT(L128:Q128)=6,"6인 평가 완료","평가 미완료")</x:f>
        <x:v>평가 미완료</x:v>
      </x:c>
      <x:c r="T128" s="21" t="str">
        <x:v>미검토</x:v>
      </x:c>
      <x:c r="U128" s="21" t="str"/>
    </x:row>
    <x:row r="129" ht="39" customHeight="1">
      <x:c r="A129" s="6" t="str">
        <x:v>L25-TR</x:v>
      </x:c>
      <x:c r="B129" s="6" t="str">
        <x:v>L25</x:v>
      </x:c>
      <x:c r="C129" s="6" t="str">
        <x:v>TR</x:v>
      </x:c>
      <x:c r="D129" s="6" t="str">
        <x:v>근거 추적가능성</x:v>
      </x:c>
      <x:c r="E129" s="6" t="str">
        <x:v>연결 품질 후보</x:v>
      </x:c>
      <x:c r="F129" s="6" t="str">
        <x:v>우리 조직에서는 사고 대응 절차에서 근거가 된 승인된 변경을 식별자나 문서 위치를 통해 찾아갈 수 있다.</x:v>
      </x:c>
      <x:c r="G129" s="6" t="str">
        <x:v>우리 조직에서는 사고 대응 절차에서 근거가 된 승인된 변경을 거슬러 찾아 확인할 수 있다.</x:v>
      </x:c>
      <x:c r="H129" s="6" t="str">
        <x:v>E2</x:v>
      </x:c>
      <x:c r="I129" s="6" t="str">
        <x:v>A29</x:v>
      </x:c>
      <x:c r="J129" s="6" t="str">
        <x:v>S01 §5.1 PDF p.4 저널 pp.94–101</x:v>
      </x:c>
      <x:c r="K129" s="6" t="str">
        <x:v>후방 근거 추적 문항. 전방 추적은 측정 범위에 포함됐다고 주장하지 않음.</x:v>
      </x:c>
      <x:c r="L129" s="21"/>
      <x:c r="M129" s="21"/>
      <x:c r="N129" s="21"/>
      <x:c r="O129" s="21"/>
      <x:c r="P129" s="21"/>
      <x:c r="Q129" s="21"/>
      <x:c r="R129" s="24" t="str">
        <x:f>IF(COUNT(L129:Q129)=6,COUNTIF(L129:Q129,"&gt;=3")/6,"")</x:f>
      </x:c>
      <x:c r="S129" s="6" t="str">
        <x:f>IF(COUNT(L129:Q129)=6,"6인 평가 완료","평가 미완료")</x:f>
        <x:v>평가 미완료</x:v>
      </x:c>
      <x:c r="T129" s="21" t="str">
        <x:v>미검토</x:v>
      </x:c>
      <x:c r="U129" s="21" t="str"/>
    </x:row>
    <x:row r="130" ht="39" customHeight="1">
      <x:c r="A130" s="3" t="str">
        <x:v>L25-EV</x:v>
      </x:c>
      <x:c r="B130" s="3" t="str">
        <x:v>L25</x:v>
      </x:c>
      <x:c r="C130" s="3" t="str">
        <x:v>EV</x:v>
      </x:c>
      <x:c r="D130" s="3" t="str">
        <x:v>연결 증빙가능성</x:v>
      </x:c>
      <x:c r="E130" s="3" t="str">
        <x:v>연결 품질 후보</x:v>
      </x:c>
      <x:c r="F130" s="3" t="str">
        <x:v>우리 조직에서는 승인된 변경의 결과가 사고 대응 절차로 환류될 때, 실제 사용 또는 평가 사실을 보여 주는 기록이 남아 있다.</x:v>
      </x:c>
      <x:c r="G130" s="3" t="str">
        <x:v>우리 조직에서는 승인된 변경의 결과가 사고 대응 절차로 환류될 때, 그 사실을 입증하는 문서·기록·승인(검토 기록, 회의록, 버전 이력 등)이 남아 있다.</x:v>
      </x:c>
      <x:c r="H130" s="3" t="str">
        <x:v>E2</x:v>
      </x:c>
      <x:c r="I130" s="3" t="str">
        <x:v>A29</x:v>
      </x:c>
      <x:c r="J130" s="3" t="str">
        <x:v>B17 PDF p.6; A13·A37</x:v>
      </x:c>
      <x:c r="K130" s="3" t="str">
        <x:v>문서 보유가 아니라 연결의 실제 수행 사실을 증명하는 기록을 묻도록 수정.</x:v>
      </x:c>
      <x:c r="L130" s="21"/>
      <x:c r="M130" s="21"/>
      <x:c r="N130" s="21"/>
      <x:c r="O130" s="21"/>
      <x:c r="P130" s="21"/>
      <x:c r="Q130" s="21"/>
      <x:c r="R130" s="23" t="str">
        <x:f>IF(COUNT(L130:Q130)=6,COUNTIF(L130:Q130,"&gt;=3")/6,"")</x:f>
      </x:c>
      <x:c r="S130" s="3" t="str">
        <x:f>IF(COUNT(L130:Q130)=6,"6인 평가 완료","평가 미완료")</x:f>
        <x:v>평가 미완료</x:v>
      </x:c>
      <x:c r="T130" s="21" t="str">
        <x:v>미검토</x:v>
      </x:c>
      <x:c r="U130" s="21" t="str"/>
    </x:row>
    <x:row r="131" ht="39" customHeight="1">
      <x:c r="A131" s="6" t="str">
        <x:v>L25-AC</x:v>
      </x:c>
      <x:c r="B131" s="6" t="str">
        <x:v>L25</x:v>
      </x:c>
      <x:c r="C131" s="6" t="str">
        <x:v>AC</x:v>
      </x:c>
      <x:c r="D131" s="6" t="str">
        <x:v>연결 책임명확성</x:v>
      </x:c>
      <x:c r="E131" s="6" t="str">
        <x:v>관리조건 후보</x:v>
      </x:c>
      <x:c r="F131" s="6" t="str">
        <x:v>우리 조직에서는 BC 변경관리와 사고·비상 대응 사이의 해당 연결을 조정할 책임 역할 또는 부서가 명확하다.</x:v>
      </x:c>
      <x:c r="G131" s="6" t="str">
        <x:v>우리 조직에서는 승인된 변경의 결과가 사고 대응 절차로 환류될 때, 그 연결의 검토·승인·변경에 대한 책임자(또는 부서)가 정해져 있다.</x:v>
      </x:c>
      <x:c r="H131" s="6" t="str">
        <x:v>E2</x:v>
      </x:c>
      <x:c r="I131" s="6" t="str">
        <x:v>A29</x:v>
      </x:c>
      <x:c r="J131" s="6" t="str">
        <x:v>A49·A50; S07 출판사 초록</x:v>
      </x:c>
      <x:c r="K131" s="6" t="str">
        <x:v>검토·승인·변경의 세 질문을 단일 조정 책임으로 바꿈. Accountability와 동일 개념으로 인용하지 않음.</x:v>
      </x:c>
      <x:c r="L131" s="21"/>
      <x:c r="M131" s="21"/>
      <x:c r="N131" s="21"/>
      <x:c r="O131" s="21"/>
      <x:c r="P131" s="21"/>
      <x:c r="Q131" s="21"/>
      <x:c r="R131" s="24" t="str">
        <x:f>IF(COUNT(L131:Q131)=6,COUNTIF(L131:Q131,"&gt;=3")/6,"")</x:f>
      </x:c>
      <x:c r="S131" s="6" t="str">
        <x:f>IF(COUNT(L131:Q131)=6,"6인 평가 완료","평가 미완료")</x:f>
        <x:v>평가 미완료</x:v>
      </x:c>
      <x:c r="T131" s="21" t="str">
        <x:v>미검토</x:v>
      </x:c>
      <x:c r="U131" s="21" t="str"/>
    </x:row>
    <x:row r="132" ht="39" customHeight="1">
      <x:c r="A132" s="3" t="str">
        <x:v>L25-TM</x:v>
      </x:c>
      <x:c r="B132" s="3" t="str">
        <x:v>L25</x:v>
      </x:c>
      <x:c r="C132" s="3" t="str">
        <x:v>TM</x:v>
      </x:c>
      <x:c r="D132" s="3" t="str">
        <x:v>변경전파 적시성</x:v>
      </x:c>
      <x:c r="E132" s="3" t="str">
        <x:v>연결 품질 후보</x:v>
      </x:c>
      <x:c r="F132" s="3" t="str">
        <x:v>우리 조직에서는 승인된 변경이 새로 나오면, 그 변경 정보가 사고·비상 대응 업무에 필요한 시점 이전에 전달·처리된다.</x:v>
      </x:c>
      <x:c r="G132" s="3" t="str">
        <x:v>우리 조직에서는 승인된 변경이 새로 나오면, 사고 대응 절차에 정해진 기간 안에 반영된다.</x:v>
      </x:c>
      <x:c r="H132" s="3" t="str">
        <x:v>E2</x:v>
      </x:c>
      <x:c r="I132" s="3" t="str">
        <x:v>A29</x:v>
      </x:c>
      <x:c r="J132" s="3" t="str">
        <x:v>S04 PDF pp.4–5 저널 pp.214–215; A27·A28·A41</x:v>
      </x:c>
      <x:c r="K132" s="3" t="str">
        <x:v>과업에 필요한 시점을 기준으로 함. 변경이 없었던 조직은 별도 코드로 처리.</x:v>
      </x:c>
      <x:c r="L132" s="21"/>
      <x:c r="M132" s="21"/>
      <x:c r="N132" s="21"/>
      <x:c r="O132" s="21"/>
      <x:c r="P132" s="21"/>
      <x:c r="Q132" s="21"/>
      <x:c r="R132" s="23" t="str">
        <x:f>IF(COUNT(L132:Q132)=6,COUNTIF(L132:Q132,"&gt;=3")/6,"")</x:f>
      </x:c>
      <x:c r="S132" s="3" t="str">
        <x:f>IF(COUNT(L132:Q132)=6,"6인 평가 완료","평가 미완료")</x:f>
        <x:v>평가 미완료</x:v>
      </x:c>
      <x:c r="T132" s="21" t="str">
        <x:v>미검토</x:v>
      </x:c>
      <x:c r="U132" s="21" t="str"/>
    </x:row>
    <x:row r="133" ht="39" customHeight="1">
      <x:c r="A133" s="6" t="str">
        <x:v>L25-FC</x:v>
      </x:c>
      <x:c r="B133" s="6" t="str">
        <x:v>L25</x:v>
      </x:c>
      <x:c r="C133" s="6" t="str">
        <x:v>FC</x:v>
      </x:c>
      <x:c r="D133" s="6" t="str">
        <x:v>개선조치 완결성</x:v>
      </x:c>
      <x:c r="E133" s="6" t="str">
        <x:v>경로 개념 보류</x:v>
      </x:c>
      <x:c r="F133" s="6" t="str">
        <x:v>우리 조직에서는 변경 결과에 따른 사고 대응 절차의 개선조치가 지정된 종료 기준을 충족하여 종결된다.</x:v>
      </x:c>
      <x:c r="G133" s="6" t="str">
        <x:v>우리 조직에서는 변경이 승인되면, 사고 대응 절차의 재수정까지 조치가 이어져 완료가 확인된다.</x:v>
      </x:c>
      <x:c r="H133" s="6" t="str">
        <x:v>E2</x:v>
      </x:c>
      <x:c r="I133" s="6" t="str">
        <x:v>A29</x:v>
      </x:c>
      <x:c r="J133" s="6" t="str">
        <x:v>A23·A25·A29; 추가 직접 근거 필요</x:v>
      </x:c>
      <x:c r="K133" s="6" t="str">
        <x:v>평가→조치→종결의 경로 개체와 종료 기준 확보 전 개념 보류. 원문의 직접 인용 문항 아님.</x:v>
      </x:c>
      <x:c r="L133" s="22"/>
      <x:c r="M133" s="22"/>
      <x:c r="N133" s="22"/>
      <x:c r="O133" s="22"/>
      <x:c r="P133" s="22"/>
      <x:c r="Q133" s="22"/>
      <x:c r="R133" s="24" t="str">
        <x:f>IF(COUNT(L133:Q133)=6,COUNTIF(L133:Q133,"&gt;=3")/6,"")</x:f>
      </x:c>
      <x:c r="S133" s="6" t="str">
        <x:f>IF(COUNT(L133:Q133)=6,"6인 평가 완료","평가 미완료")</x:f>
        <x:v>평가 미완료</x:v>
      </x:c>
      <x:c r="T133" s="21" t="str">
        <x:v>미검토</x:v>
      </x:c>
      <x:c r="U133" s="21" t="str"/>
    </x:row>
    <x:row r="134" ht="39" customHeight="1">
      <x:c r="A134" s="3" t="str">
        <x:v>L26-CO</x:v>
      </x:c>
      <x:c r="B134" s="3" t="str">
        <x:v>L26</x:v>
      </x:c>
      <x:c r="C134" s="3" t="str">
        <x:v>CO</x:v>
      </x:c>
      <x:c r="D134" s="3" t="str">
        <x:v>정합성</x:v>
      </x:c>
      <x:c r="E134" s="3" t="str">
        <x:v>연결 품질 후보</x:v>
      </x:c>
      <x:c r="F134" s="3" t="str">
        <x:v>우리 조직에서는 승인된 변경의 결과가 훈련·연습 절차로 환류될 때, 두 내용 중 서로 대응해야 하는 기준·수치·전제에 모순이 없다.</x:v>
      </x:c>
      <x:c r="G134" s="3" t="str">
        <x:v>우리 조직에서는 승인된 변경의 결과가 훈련·연습 절차로 환류될 때, 두 내용이 서로 모순 없이 일치한다.</x:v>
      </x:c>
      <x:c r="H134" s="3" t="str">
        <x:v>E2</x:v>
      </x:c>
      <x:c r="I134" s="3" t="str">
        <x:v>A29</x:v>
      </x:c>
      <x:c r="J134" s="3" t="str">
        <x:v>A12·A14·A16; S06</x:v>
      </x:c>
      <x:c r="K134" s="3" t="str">
        <x:v>서로 다른 프로세스 산출물의 내용 전체가 동일해야 한다는 오해를 줄임.</x:v>
      </x:c>
      <x:c r="L134" s="21"/>
      <x:c r="M134" s="21"/>
      <x:c r="N134" s="21"/>
      <x:c r="O134" s="21"/>
      <x:c r="P134" s="21"/>
      <x:c r="Q134" s="21"/>
      <x:c r="R134" s="23" t="str">
        <x:f>IF(COUNT(L134:Q134)=6,COUNTIF(L134:Q134,"&gt;=3")/6,"")</x:f>
      </x:c>
      <x:c r="S134" s="3" t="str">
        <x:f>IF(COUNT(L134:Q134)=6,"6인 평가 완료","평가 미완료")</x:f>
        <x:v>평가 미완료</x:v>
      </x:c>
      <x:c r="T134" s="21" t="str">
        <x:v>미검토</x:v>
      </x:c>
      <x:c r="U134" s="21" t="str"/>
    </x:row>
    <x:row r="135" ht="39" customHeight="1">
      <x:c r="A135" s="6" t="str">
        <x:v>L26-TR</x:v>
      </x:c>
      <x:c r="B135" s="6" t="str">
        <x:v>L26</x:v>
      </x:c>
      <x:c r="C135" s="6" t="str">
        <x:v>TR</x:v>
      </x:c>
      <x:c r="D135" s="6" t="str">
        <x:v>근거 추적가능성</x:v>
      </x:c>
      <x:c r="E135" s="6" t="str">
        <x:v>연결 품질 후보</x:v>
      </x:c>
      <x:c r="F135" s="6" t="str">
        <x:v>우리 조직에서는 훈련·연습 절차와 시나리오에서 근거가 된 승인된 변경을 식별자나 문서 위치를 통해 찾아갈 수 있다.</x:v>
      </x:c>
      <x:c r="G135" s="6" t="str">
        <x:v>우리 조직에서는 훈련·연습 절차와 시나리오에서 근거가 된 승인된 변경을 거슬러 찾아 확인할 수 있다.</x:v>
      </x:c>
      <x:c r="H135" s="6" t="str">
        <x:v>E2</x:v>
      </x:c>
      <x:c r="I135" s="6" t="str">
        <x:v>A29</x:v>
      </x:c>
      <x:c r="J135" s="6" t="str">
        <x:v>S01 §5.1 PDF p.4 저널 pp.94–101</x:v>
      </x:c>
      <x:c r="K135" s="6" t="str">
        <x:v>후방 근거 추적 문항. 전방 추적은 측정 범위에 포함됐다고 주장하지 않음.</x:v>
      </x:c>
      <x:c r="L135" s="21"/>
      <x:c r="M135" s="21"/>
      <x:c r="N135" s="21"/>
      <x:c r="O135" s="21"/>
      <x:c r="P135" s="21"/>
      <x:c r="Q135" s="21"/>
      <x:c r="R135" s="24" t="str">
        <x:f>IF(COUNT(L135:Q135)=6,COUNTIF(L135:Q135,"&gt;=3")/6,"")</x:f>
      </x:c>
      <x:c r="S135" s="6" t="str">
        <x:f>IF(COUNT(L135:Q135)=6,"6인 평가 완료","평가 미완료")</x:f>
        <x:v>평가 미완료</x:v>
      </x:c>
      <x:c r="T135" s="21" t="str">
        <x:v>미검토</x:v>
      </x:c>
      <x:c r="U135" s="21" t="str"/>
    </x:row>
    <x:row r="136" ht="39" customHeight="1">
      <x:c r="A136" s="3" t="str">
        <x:v>L26-EV</x:v>
      </x:c>
      <x:c r="B136" s="3" t="str">
        <x:v>L26</x:v>
      </x:c>
      <x:c r="C136" s="3" t="str">
        <x:v>EV</x:v>
      </x:c>
      <x:c r="D136" s="3" t="str">
        <x:v>연결 증빙가능성</x:v>
      </x:c>
      <x:c r="E136" s="3" t="str">
        <x:v>연결 품질 후보</x:v>
      </x:c>
      <x:c r="F136" s="3" t="str">
        <x:v>우리 조직에서는 승인된 변경의 결과가 훈련·연습 절차로 환류될 때, 실제 사용 또는 평가 사실을 보여 주는 기록이 남아 있다.</x:v>
      </x:c>
      <x:c r="G136" s="3" t="str">
        <x:v>우리 조직에서는 승인된 변경의 결과가 훈련·연습 절차로 환류될 때, 그 사실을 입증하는 문서·기록·승인(검토 기록, 회의록, 버전 이력 등)이 남아 있다.</x:v>
      </x:c>
      <x:c r="H136" s="3" t="str">
        <x:v>E2</x:v>
      </x:c>
      <x:c r="I136" s="3" t="str">
        <x:v>A29</x:v>
      </x:c>
      <x:c r="J136" s="3" t="str">
        <x:v>B17 PDF p.6; A13·A37</x:v>
      </x:c>
      <x:c r="K136" s="3" t="str">
        <x:v>문서 보유가 아니라 연결의 실제 수행 사실을 증명하는 기록을 묻도록 수정.</x:v>
      </x:c>
      <x:c r="L136" s="21"/>
      <x:c r="M136" s="21"/>
      <x:c r="N136" s="21"/>
      <x:c r="O136" s="21"/>
      <x:c r="P136" s="21"/>
      <x:c r="Q136" s="21"/>
      <x:c r="R136" s="23" t="str">
        <x:f>IF(COUNT(L136:Q136)=6,COUNTIF(L136:Q136,"&gt;=3")/6,"")</x:f>
      </x:c>
      <x:c r="S136" s="3" t="str">
        <x:f>IF(COUNT(L136:Q136)=6,"6인 평가 완료","평가 미완료")</x:f>
        <x:v>평가 미완료</x:v>
      </x:c>
      <x:c r="T136" s="21" t="str">
        <x:v>미검토</x:v>
      </x:c>
      <x:c r="U136" s="21" t="str"/>
    </x:row>
    <x:row r="137" ht="39" customHeight="1">
      <x:c r="A137" s="6" t="str">
        <x:v>L26-AC</x:v>
      </x:c>
      <x:c r="B137" s="6" t="str">
        <x:v>L26</x:v>
      </x:c>
      <x:c r="C137" s="6" t="str">
        <x:v>AC</x:v>
      </x:c>
      <x:c r="D137" s="6" t="str">
        <x:v>연결 책임명확성</x:v>
      </x:c>
      <x:c r="E137" s="6" t="str">
        <x:v>관리조건 후보</x:v>
      </x:c>
      <x:c r="F137" s="6" t="str">
        <x:v>우리 조직에서는 BC 변경관리와 BC 계획·절차 훈련·연습 사이의 해당 연결을 조정할 책임 역할 또는 부서가 명확하다.</x:v>
      </x:c>
      <x:c r="G137" s="6" t="str">
        <x:v>우리 조직에서는 승인된 변경의 결과가 훈련·연습 절차로 환류될 때, 그 연결의 검토·승인·변경에 대한 책임자(또는 부서)가 정해져 있다.</x:v>
      </x:c>
      <x:c r="H137" s="6" t="str">
        <x:v>E2</x:v>
      </x:c>
      <x:c r="I137" s="6" t="str">
        <x:v>A29</x:v>
      </x:c>
      <x:c r="J137" s="6" t="str">
        <x:v>A49·A50; S07 출판사 초록</x:v>
      </x:c>
      <x:c r="K137" s="6" t="str">
        <x:v>검토·승인·변경의 세 질문을 단일 조정 책임으로 바꿈. Accountability와 동일 개념으로 인용하지 않음.</x:v>
      </x:c>
      <x:c r="L137" s="21"/>
      <x:c r="M137" s="21"/>
      <x:c r="N137" s="21"/>
      <x:c r="O137" s="21"/>
      <x:c r="P137" s="21"/>
      <x:c r="Q137" s="21"/>
      <x:c r="R137" s="24" t="str">
        <x:f>IF(COUNT(L137:Q137)=6,COUNTIF(L137:Q137,"&gt;=3")/6,"")</x:f>
      </x:c>
      <x:c r="S137" s="6" t="str">
        <x:f>IF(COUNT(L137:Q137)=6,"6인 평가 완료","평가 미완료")</x:f>
        <x:v>평가 미완료</x:v>
      </x:c>
      <x:c r="T137" s="21" t="str">
        <x:v>미검토</x:v>
      </x:c>
      <x:c r="U137" s="21" t="str"/>
    </x:row>
    <x:row r="138" ht="39" customHeight="1">
      <x:c r="A138" s="3" t="str">
        <x:v>L26-TM</x:v>
      </x:c>
      <x:c r="B138" s="3" t="str">
        <x:v>L26</x:v>
      </x:c>
      <x:c r="C138" s="3" t="str">
        <x:v>TM</x:v>
      </x:c>
      <x:c r="D138" s="3" t="str">
        <x:v>변경전파 적시성</x:v>
      </x:c>
      <x:c r="E138" s="3" t="str">
        <x:v>연결 품질 후보</x:v>
      </x:c>
      <x:c r="F138" s="3" t="str">
        <x:v>우리 조직에서는 승인된 변경이 새로 나오면, 그 변경 정보가 BC 계획·절차 훈련·연습 업무에 필요한 시점 이전에 전달·처리된다.</x:v>
      </x:c>
      <x:c r="G138" s="3" t="str">
        <x:v>우리 조직에서는 승인된 변경이 새로 나오면, 훈련·연습 절차와 시나리오에 정해진 기간 안에 반영된다.</x:v>
      </x:c>
      <x:c r="H138" s="3" t="str">
        <x:v>E2</x:v>
      </x:c>
      <x:c r="I138" s="3" t="str">
        <x:v>A29</x:v>
      </x:c>
      <x:c r="J138" s="3" t="str">
        <x:v>S04 PDF pp.4–5 저널 pp.214–215; A27·A28·A41</x:v>
      </x:c>
      <x:c r="K138" s="3" t="str">
        <x:v>과업에 필요한 시점을 기준으로 함. 변경이 없었던 조직은 별도 코드로 처리.</x:v>
      </x:c>
      <x:c r="L138" s="21"/>
      <x:c r="M138" s="21"/>
      <x:c r="N138" s="21"/>
      <x:c r="O138" s="21"/>
      <x:c r="P138" s="21"/>
      <x:c r="Q138" s="21"/>
      <x:c r="R138" s="23" t="str">
        <x:f>IF(COUNT(L138:Q138)=6,COUNTIF(L138:Q138,"&gt;=3")/6,"")</x:f>
      </x:c>
      <x:c r="S138" s="3" t="str">
        <x:f>IF(COUNT(L138:Q138)=6,"6인 평가 완료","평가 미완료")</x:f>
        <x:v>평가 미완료</x:v>
      </x:c>
      <x:c r="T138" s="21" t="str">
        <x:v>미검토</x:v>
      </x:c>
      <x:c r="U138" s="21" t="str"/>
    </x:row>
    <x:row r="139" ht="39" customHeight="1">
      <x:c r="A139" s="6" t="str">
        <x:v>L26-FC</x:v>
      </x:c>
      <x:c r="B139" s="6" t="str">
        <x:v>L26</x:v>
      </x:c>
      <x:c r="C139" s="6" t="str">
        <x:v>FC</x:v>
      </x:c>
      <x:c r="D139" s="6" t="str">
        <x:v>개선조치 완결성</x:v>
      </x:c>
      <x:c r="E139" s="6" t="str">
        <x:v>경로 개념 보류</x:v>
      </x:c>
      <x:c r="F139" s="6" t="str">
        <x:v>우리 조직에서는 변경 결과에 따른 연습 절차의 개선조치가 지정된 종료 기준을 충족하여 종결된다.</x:v>
      </x:c>
      <x:c r="G139" s="6" t="str">
        <x:v>우리 조직에서는 변경이 승인되면, 훈련·연습 절차의 재수정까지 조치가 이어져 완료가 확인된다.</x:v>
      </x:c>
      <x:c r="H139" s="6" t="str">
        <x:v>E2</x:v>
      </x:c>
      <x:c r="I139" s="6" t="str">
        <x:v>A29</x:v>
      </x:c>
      <x:c r="J139" s="6" t="str">
        <x:v>A23·A25·A29; 추가 직접 근거 필요</x:v>
      </x:c>
      <x:c r="K139" s="6" t="str">
        <x:v>평가→조치→종결의 경로 개체와 종료 기준 확보 전 개념 보류. 원문의 직접 인용 문항 아님.</x:v>
      </x:c>
      <x:c r="L139" s="22"/>
      <x:c r="M139" s="22"/>
      <x:c r="N139" s="22"/>
      <x:c r="O139" s="22"/>
      <x:c r="P139" s="22"/>
      <x:c r="Q139" s="22"/>
      <x:c r="R139" s="24" t="str">
        <x:f>IF(COUNT(L139:Q139)=6,COUNTIF(L139:Q139,"&gt;=3")/6,"")</x:f>
      </x:c>
      <x:c r="S139" s="6" t="str">
        <x:f>IF(COUNT(L139:Q139)=6,"6인 평가 완료","평가 미완료")</x:f>
        <x:v>평가 미완료</x:v>
      </x:c>
      <x:c r="T139" s="21" t="str">
        <x:v>미검토</x:v>
      </x:c>
      <x:c r="U139" s="21" t="str"/>
    </x:row>
    <x:row r="140" ht="53.25" customHeight="1">
      <x:c r="A140" s="3" t="str">
        <x:v>L27-CO</x:v>
      </x:c>
      <x:c r="B140" s="3" t="str">
        <x:v>L27</x:v>
      </x:c>
      <x:c r="C140" s="3" t="str">
        <x:v>CO</x:v>
      </x:c>
      <x:c r="D140" s="3" t="str">
        <x:v>정합성</x:v>
      </x:c>
      <x:c r="E140" s="3" t="str">
        <x:v>구조·근거 보류</x:v>
      </x:c>
      <x:c r="F140" s="3" t="str">
        <x:v>우리 조직에서는 BCMS 프로세스의 주요 결과가 이해관계자에게 전달될 때, 두 내용 중 서로 대응해야 하는 기준·수치·전제에 모순이 없다.</x:v>
      </x:c>
      <x:c r="G140" s="3" t="str">
        <x:v>우리 조직에서는 BCMS 프로세스의 주요 결과가 이해관계자에게 전달될 때, 두 내용이 서로 모순 없이 일치한다.</x:v>
      </x:c>
      <x:c r="H140" s="3" t="str">
        <x:v>E2</x:v>
      </x:c>
      <x:c r="I140" s="3" t="str">
        <x:v>A30</x:v>
      </x:c>
      <x:c r="J140" s="3" t="str">
        <x:v>A12·A14·A16; S06</x:v>
      </x:c>
      <x:c r="K140" s="3" t="str">
        <x:v>nearly all BCMS processes를 CORE 또는 모든 핵심 프로세스로 동일시할 수 없다. 집단 주석으로만 보존. 기존 ID 보존용으로 남기며 현재 전문가 문항 심사·설문 투입 대상에서 제외.</x:v>
      </x:c>
      <x:c r="L140" s="22"/>
      <x:c r="M140" s="22"/>
      <x:c r="N140" s="22"/>
      <x:c r="O140" s="22"/>
      <x:c r="P140" s="22"/>
      <x:c r="Q140" s="22"/>
      <x:c r="R140" s="23" t="str">
        <x:f>IF(COUNT(L140:Q140)=6,COUNTIF(L140:Q140,"&gt;=3")/6,"")</x:f>
      </x:c>
      <x:c r="S140" s="3" t="str">
        <x:f>IF(COUNT(L140:Q140)=6,"6인 평가 완료","평가 미완료")</x:f>
        <x:v>평가 미완료</x:v>
      </x:c>
      <x:c r="T140" s="21" t="str">
        <x:v>미검토</x:v>
      </x:c>
      <x:c r="U140" s="21" t="str"/>
    </x:row>
    <x:row r="141" ht="53.25" customHeight="1">
      <x:c r="A141" s="6" t="str">
        <x:v>L27-TR</x:v>
      </x:c>
      <x:c r="B141" s="6" t="str">
        <x:v>L27</x:v>
      </x:c>
      <x:c r="C141" s="6" t="str">
        <x:v>TR</x:v>
      </x:c>
      <x:c r="D141" s="6" t="str">
        <x:v>근거 추적가능성</x:v>
      </x:c>
      <x:c r="E141" s="6" t="str">
        <x:v>구조·근거 보류</x:v>
      </x:c>
      <x:c r="F141" s="6" t="str">
        <x:v>우리 조직에서는 이해관계자 보고 내용에서 근거가 된 BCMS 프로세스의 주요 결과를 식별자나 문서 위치를 통해 찾아갈 수 있다.</x:v>
      </x:c>
      <x:c r="G141" s="6" t="str">
        <x:v>우리 조직에서는 이해관계자 보고 내용에서 근거가 된 BCMS 프로세스의 주요 결과를 거슬러 찾아 확인할 수 있다.</x:v>
      </x:c>
      <x:c r="H141" s="6" t="str">
        <x:v>E2</x:v>
      </x:c>
      <x:c r="I141" s="6" t="str">
        <x:v>A30</x:v>
      </x:c>
      <x:c r="J141" s="6" t="str">
        <x:v>S01 §5.1 PDF p.4 저널 pp.94–101</x:v>
      </x:c>
      <x:c r="K141" s="6" t="str">
        <x:v>nearly all BCMS processes를 CORE 또는 모든 핵심 프로세스로 동일시할 수 없다. 집단 주석으로만 보존. 기존 ID 보존용으로 남기며 현재 전문가 문항 심사·설문 투입 대상에서 제외.</x:v>
      </x:c>
      <x:c r="L141" s="22"/>
      <x:c r="M141" s="22"/>
      <x:c r="N141" s="22"/>
      <x:c r="O141" s="22"/>
      <x:c r="P141" s="22"/>
      <x:c r="Q141" s="22"/>
      <x:c r="R141" s="24" t="str">
        <x:f>IF(COUNT(L141:Q141)=6,COUNTIF(L141:Q141,"&gt;=3")/6,"")</x:f>
      </x:c>
      <x:c r="S141" s="6" t="str">
        <x:f>IF(COUNT(L141:Q141)=6,"6인 평가 완료","평가 미완료")</x:f>
        <x:v>평가 미완료</x:v>
      </x:c>
      <x:c r="T141" s="21" t="str">
        <x:v>미검토</x:v>
      </x:c>
      <x:c r="U141" s="21" t="str"/>
    </x:row>
    <x:row r="142" ht="53.25" customHeight="1">
      <x:c r="A142" s="3" t="str">
        <x:v>L27-EV</x:v>
      </x:c>
      <x:c r="B142" s="3" t="str">
        <x:v>L27</x:v>
      </x:c>
      <x:c r="C142" s="3" t="str">
        <x:v>EV</x:v>
      </x:c>
      <x:c r="D142" s="3" t="str">
        <x:v>연결 증빙가능성</x:v>
      </x:c>
      <x:c r="E142" s="3" t="str">
        <x:v>구조·근거 보류</x:v>
      </x:c>
      <x:c r="F142" s="3" t="str">
        <x:v>우리 조직에서는 BCMS 프로세스의 주요 결과가 이해관계자에게 전달될 때, 실제 사용 또는 평가 사실을 보여 주는 기록이 남아 있다.</x:v>
      </x:c>
      <x:c r="G142" s="3" t="str">
        <x:v>우리 조직에서는 BCMS 프로세스의 주요 결과가 이해관계자에게 전달될 때, 그 사실을 입증하는 문서·기록·승인(검토 기록, 회의록, 버전 이력 등)이 남아 있다.</x:v>
      </x:c>
      <x:c r="H142" s="3" t="str">
        <x:v>E2</x:v>
      </x:c>
      <x:c r="I142" s="3" t="str">
        <x:v>A30</x:v>
      </x:c>
      <x:c r="J142" s="3" t="str">
        <x:v>B17 PDF p.6; A13·A37</x:v>
      </x:c>
      <x:c r="K142" s="3" t="str">
        <x:v>nearly all BCMS processes를 CORE 또는 모든 핵심 프로세스로 동일시할 수 없다. 집단 주석으로만 보존. 기존 ID 보존용으로 남기며 현재 전문가 문항 심사·설문 투입 대상에서 제외.</x:v>
      </x:c>
      <x:c r="L142" s="22"/>
      <x:c r="M142" s="22"/>
      <x:c r="N142" s="22"/>
      <x:c r="O142" s="22"/>
      <x:c r="P142" s="22"/>
      <x:c r="Q142" s="22"/>
      <x:c r="R142" s="23" t="str">
        <x:f>IF(COUNT(L142:Q142)=6,COUNTIF(L142:Q142,"&gt;=3")/6,"")</x:f>
      </x:c>
      <x:c r="S142" s="3" t="str">
        <x:f>IF(COUNT(L142:Q142)=6,"6인 평가 완료","평가 미완료")</x:f>
        <x:v>평가 미완료</x:v>
      </x:c>
      <x:c r="T142" s="21" t="str">
        <x:v>미검토</x:v>
      </x:c>
      <x:c r="U142" s="21" t="str"/>
    </x:row>
    <x:row r="143" ht="53.25" customHeight="1">
      <x:c r="A143" s="6" t="str">
        <x:v>L27-AC</x:v>
      </x:c>
      <x:c r="B143" s="6" t="str">
        <x:v>L27</x:v>
      </x:c>
      <x:c r="C143" s="6" t="str">
        <x:v>AC</x:v>
      </x:c>
      <x:c r="D143" s="6" t="str">
        <x:v>연결 책임명확성</x:v>
      </x:c>
      <x:c r="E143" s="6" t="str">
        <x:v>구조·근거 보류</x:v>
      </x:c>
      <x:c r="F143" s="6" t="str">
        <x:v>우리 조직에서는 CORE와 협의·커뮤니케이션 사이의 해당 연결을 조정할 책임 역할 또는 부서가 명확하다.</x:v>
      </x:c>
      <x:c r="G143" s="6" t="str">
        <x:v>우리 조직에서는 BCMS 프로세스의 주요 결과가 이해관계자에게 전달될 때, 그 연결의 검토·승인·변경에 대한 책임자(또는 부서)가 정해져 있다.</x:v>
      </x:c>
      <x:c r="H143" s="6" t="str">
        <x:v>E2</x:v>
      </x:c>
      <x:c r="I143" s="6" t="str">
        <x:v>A30</x:v>
      </x:c>
      <x:c r="J143" s="6" t="str">
        <x:v>A49·A50; S07 출판사 초록</x:v>
      </x:c>
      <x:c r="K143" s="6" t="str">
        <x:v>nearly all BCMS processes를 CORE 또는 모든 핵심 프로세스로 동일시할 수 없다. 집단 주석으로만 보존. 기존 ID 보존용으로 남기며 현재 전문가 문항 심사·설문 투입 대상에서 제외.</x:v>
      </x:c>
      <x:c r="L143" s="22"/>
      <x:c r="M143" s="22"/>
      <x:c r="N143" s="22"/>
      <x:c r="O143" s="22"/>
      <x:c r="P143" s="22"/>
      <x:c r="Q143" s="22"/>
      <x:c r="R143" s="24" t="str">
        <x:f>IF(COUNT(L143:Q143)=6,COUNTIF(L143:Q143,"&gt;=3")/6,"")</x:f>
      </x:c>
      <x:c r="S143" s="6" t="str">
        <x:f>IF(COUNT(L143:Q143)=6,"6인 평가 완료","평가 미완료")</x:f>
        <x:v>평가 미완료</x:v>
      </x:c>
      <x:c r="T143" s="21" t="str">
        <x:v>미검토</x:v>
      </x:c>
      <x:c r="U143" s="21" t="str"/>
    </x:row>
    <x:row r="144" ht="53.25" customHeight="1">
      <x:c r="A144" s="3" t="str">
        <x:v>L27-TM</x:v>
      </x:c>
      <x:c r="B144" s="3" t="str">
        <x:v>L27</x:v>
      </x:c>
      <x:c r="C144" s="3" t="str">
        <x:v>TM</x:v>
      </x:c>
      <x:c r="D144" s="3" t="str">
        <x:v>변경전파 적시성</x:v>
      </x:c>
      <x:c r="E144" s="3" t="str">
        <x:v>구조·근거 보류</x:v>
      </x:c>
      <x:c r="F144" s="3" t="str">
        <x:v>우리 조직에서는 BCMS 프로세스의 주요 결과가 크게 바뀌면, 그 변경 정보가 협의·커뮤니케이션 업무에 필요한 시점 이전에 전달·처리된다.</x:v>
      </x:c>
      <x:c r="G144" s="3" t="str">
        <x:v>우리 조직에서는 BCMS 프로세스의 주요 결과가 크게 바뀌면, 이해관계자 보고 내용에 정해진 기간 안에 반영된다.</x:v>
      </x:c>
      <x:c r="H144" s="3" t="str">
        <x:v>E2</x:v>
      </x:c>
      <x:c r="I144" s="3" t="str">
        <x:v>A30</x:v>
      </x:c>
      <x:c r="J144" s="3" t="str">
        <x:v>S04 PDF pp.4–5 저널 pp.214–215; A27·A28·A41</x:v>
      </x:c>
      <x:c r="K144" s="3" t="str">
        <x:v>nearly all BCMS processes를 CORE 또는 모든 핵심 프로세스로 동일시할 수 없다. 집단 주석으로만 보존. 기존 ID 보존용으로 남기며 현재 전문가 문항 심사·설문 투입 대상에서 제외.</x:v>
      </x:c>
      <x:c r="L144" s="22"/>
      <x:c r="M144" s="22"/>
      <x:c r="N144" s="22"/>
      <x:c r="O144" s="22"/>
      <x:c r="P144" s="22"/>
      <x:c r="Q144" s="22"/>
      <x:c r="R144" s="23" t="str">
        <x:f>IF(COUNT(L144:Q144)=6,COUNTIF(L144:Q144,"&gt;=3")/6,"")</x:f>
      </x:c>
      <x:c r="S144" s="3" t="str">
        <x:f>IF(COUNT(L144:Q144)=6,"6인 평가 완료","평가 미완료")</x:f>
        <x:v>평가 미완료</x:v>
      </x:c>
      <x:c r="T144" s="21" t="str">
        <x:v>미검토</x:v>
      </x:c>
      <x:c r="U144" s="21" t="str"/>
    </x:row>
    <x:row r="145" ht="39" customHeight="1">
      <x:c r="A145" s="6" t="str">
        <x:v>L28-CO</x:v>
      </x:c>
      <x:c r="B145" s="6" t="str">
        <x:v>L28</x:v>
      </x:c>
      <x:c r="C145" s="6" t="str">
        <x:v>CO</x:v>
      </x:c>
      <x:c r="D145" s="6" t="str">
        <x:v>정합성</x:v>
      </x:c>
      <x:c r="E145" s="6" t="str">
        <x:v>연결 품질 후보</x:v>
      </x:c>
      <x:c r="F145" s="6" t="str">
        <x:v>우리 조직에서는 커뮤니케이션 보고와 요구사항이 경영진 검토의 입력이 될 때, 두 내용 중 서로 대응해야 하는 기준·수치·전제에 모순이 없다.</x:v>
      </x:c>
      <x:c r="G145" s="6" t="str">
        <x:v>우리 조직에서는 커뮤니케이션 보고와 요구사항이 경영진 검토의 입력이 될 때, 두 내용이 서로 모순 없이 일치한다.</x:v>
      </x:c>
      <x:c r="H145" s="6" t="str">
        <x:v>E1</x:v>
      </x:c>
      <x:c r="I145" s="6" t="str">
        <x:v>A31</x:v>
      </x:c>
      <x:c r="J145" s="6" t="str">
        <x:v>A12·A14·A16; S06</x:v>
      </x:c>
      <x:c r="K145" s="6" t="str">
        <x:v>서로 다른 프로세스 산출물의 내용 전체가 동일해야 한다는 오해를 줄임.</x:v>
      </x:c>
      <x:c r="L145" s="21"/>
      <x:c r="M145" s="21"/>
      <x:c r="N145" s="21"/>
      <x:c r="O145" s="21"/>
      <x:c r="P145" s="21"/>
      <x:c r="Q145" s="21"/>
      <x:c r="R145" s="24" t="str">
        <x:f>IF(COUNT(L145:Q145)=6,COUNTIF(L145:Q145,"&gt;=3")/6,"")</x:f>
      </x:c>
      <x:c r="S145" s="6" t="str">
        <x:f>IF(COUNT(L145:Q145)=6,"6인 평가 완료","평가 미완료")</x:f>
        <x:v>평가 미완료</x:v>
      </x:c>
      <x:c r="T145" s="21" t="str">
        <x:v>미검토</x:v>
      </x:c>
      <x:c r="U145" s="21" t="str"/>
    </x:row>
    <x:row r="146" ht="39" customHeight="1">
      <x:c r="A146" s="3" t="str">
        <x:v>L28-TR</x:v>
      </x:c>
      <x:c r="B146" s="3" t="str">
        <x:v>L28</x:v>
      </x:c>
      <x:c r="C146" s="3" t="str">
        <x:v>TR</x:v>
      </x:c>
      <x:c r="D146" s="3" t="str">
        <x:v>근거 추적가능성</x:v>
      </x:c>
      <x:c r="E146" s="3" t="str">
        <x:v>연결 품질 후보</x:v>
      </x:c>
      <x:c r="F146" s="3" t="str">
        <x:v>우리 조직에서는 경영진 검토 안건에서 근거가 된 이해관계자 보고와 요구사항을 식별자나 문서 위치를 통해 찾아갈 수 있다.</x:v>
      </x:c>
      <x:c r="G146" s="3" t="str">
        <x:v>우리 조직에서는 경영진 검토 안건에서 근거가 된 이해관계자 보고와 요구사항을 거슬러 찾아 확인할 수 있다.</x:v>
      </x:c>
      <x:c r="H146" s="3" t="str">
        <x:v>E1</x:v>
      </x:c>
      <x:c r="I146" s="3" t="str">
        <x:v>A31</x:v>
      </x:c>
      <x:c r="J146" s="3" t="str">
        <x:v>S01 §5.1 PDF p.4 저널 pp.94–101</x:v>
      </x:c>
      <x:c r="K146" s="3" t="str">
        <x:v>후방 근거 추적 문항. 전방 추적은 측정 범위에 포함됐다고 주장하지 않음.</x:v>
      </x:c>
      <x:c r="L146" s="21"/>
      <x:c r="M146" s="21"/>
      <x:c r="N146" s="21"/>
      <x:c r="O146" s="21"/>
      <x:c r="P146" s="21"/>
      <x:c r="Q146" s="21"/>
      <x:c r="R146" s="23" t="str">
        <x:f>IF(COUNT(L146:Q146)=6,COUNTIF(L146:Q146,"&gt;=3")/6,"")</x:f>
      </x:c>
      <x:c r="S146" s="3" t="str">
        <x:f>IF(COUNT(L146:Q146)=6,"6인 평가 완료","평가 미완료")</x:f>
        <x:v>평가 미완료</x:v>
      </x:c>
      <x:c r="T146" s="21" t="str">
        <x:v>미검토</x:v>
      </x:c>
      <x:c r="U146" s="21" t="str"/>
    </x:row>
    <x:row r="147" ht="39" customHeight="1">
      <x:c r="A147" s="6" t="str">
        <x:v>L28-EV</x:v>
      </x:c>
      <x:c r="B147" s="6" t="str">
        <x:v>L28</x:v>
      </x:c>
      <x:c r="C147" s="6" t="str">
        <x:v>EV</x:v>
      </x:c>
      <x:c r="D147" s="6" t="str">
        <x:v>연결 증빙가능성</x:v>
      </x:c>
      <x:c r="E147" s="6" t="str">
        <x:v>연결 품질 후보</x:v>
      </x:c>
      <x:c r="F147" s="6" t="str">
        <x:v>우리 조직에서는 커뮤니케이션 보고와 요구사항이 경영진 검토의 입력이 될 때, 실제 사용 또는 평가 사실을 보여 주는 기록이 남아 있다.</x:v>
      </x:c>
      <x:c r="G147" s="6" t="str">
        <x:v>우리 조직에서는 커뮤니케이션 보고와 요구사항이 경영진 검토의 입력이 될 때, 그 사실을 입증하는 문서·기록·승인(검토 기록, 회의록, 버전 이력 등)이 남아 있다.</x:v>
      </x:c>
      <x:c r="H147" s="6" t="str">
        <x:v>E1</x:v>
      </x:c>
      <x:c r="I147" s="6" t="str">
        <x:v>A31</x:v>
      </x:c>
      <x:c r="J147" s="6" t="str">
        <x:v>B17 PDF p.6; A13·A37</x:v>
      </x:c>
      <x:c r="K147" s="6" t="str">
        <x:v>문서 보유가 아니라 연결의 실제 수행 사실을 증명하는 기록을 묻도록 수정.</x:v>
      </x:c>
      <x:c r="L147" s="21"/>
      <x:c r="M147" s="21"/>
      <x:c r="N147" s="21"/>
      <x:c r="O147" s="21"/>
      <x:c r="P147" s="21"/>
      <x:c r="Q147" s="21"/>
      <x:c r="R147" s="24" t="str">
        <x:f>IF(COUNT(L147:Q147)=6,COUNTIF(L147:Q147,"&gt;=3")/6,"")</x:f>
      </x:c>
      <x:c r="S147" s="6" t="str">
        <x:f>IF(COUNT(L147:Q147)=6,"6인 평가 완료","평가 미완료")</x:f>
        <x:v>평가 미완료</x:v>
      </x:c>
      <x:c r="T147" s="21" t="str">
        <x:v>미검토</x:v>
      </x:c>
      <x:c r="U147" s="21" t="str"/>
    </x:row>
    <x:row r="148" ht="39" customHeight="1">
      <x:c r="A148" s="3" t="str">
        <x:v>L28-AC</x:v>
      </x:c>
      <x:c r="B148" s="3" t="str">
        <x:v>L28</x:v>
      </x:c>
      <x:c r="C148" s="3" t="str">
        <x:v>AC</x:v>
      </x:c>
      <x:c r="D148" s="3" t="str">
        <x:v>연결 책임명확성</x:v>
      </x:c>
      <x:c r="E148" s="3" t="str">
        <x:v>관리조건 후보</x:v>
      </x:c>
      <x:c r="F148" s="3" t="str">
        <x:v>우리 조직에서는 협의·커뮤니케이션와 BC 거버넌스 사이의 해당 연결을 조정할 책임 역할 또는 부서가 명확하다.</x:v>
      </x:c>
      <x:c r="G148" s="3" t="str">
        <x:v>우리 조직에서는 커뮤니케이션 보고와 요구사항이 경영진 검토의 입력이 될 때, 그 연결의 검토·승인·변경에 대한 책임자(또는 부서)가 정해져 있다.</x:v>
      </x:c>
      <x:c r="H148" s="3" t="str">
        <x:v>E1</x:v>
      </x:c>
      <x:c r="I148" s="3" t="str">
        <x:v>A31</x:v>
      </x:c>
      <x:c r="J148" s="3" t="str">
        <x:v>A49·A50; S07 출판사 초록</x:v>
      </x:c>
      <x:c r="K148" s="3" t="str">
        <x:v>검토·승인·변경의 세 질문을 단일 조정 책임으로 바꿈. Accountability와 동일 개념으로 인용하지 않음.</x:v>
      </x:c>
      <x:c r="L148" s="21"/>
      <x:c r="M148" s="21"/>
      <x:c r="N148" s="21"/>
      <x:c r="O148" s="21"/>
      <x:c r="P148" s="21"/>
      <x:c r="Q148" s="21"/>
      <x:c r="R148" s="23" t="str">
        <x:f>IF(COUNT(L148:Q148)=6,COUNTIF(L148:Q148,"&gt;=3")/6,"")</x:f>
      </x:c>
      <x:c r="S148" s="3" t="str">
        <x:f>IF(COUNT(L148:Q148)=6,"6인 평가 완료","평가 미완료")</x:f>
        <x:v>평가 미완료</x:v>
      </x:c>
      <x:c r="T148" s="21" t="str">
        <x:v>미검토</x:v>
      </x:c>
      <x:c r="U148" s="21" t="str"/>
    </x:row>
    <x:row r="149" ht="39" customHeight="1">
      <x:c r="A149" s="6" t="str">
        <x:v>L28-TM</x:v>
      </x:c>
      <x:c r="B149" s="6" t="str">
        <x:v>L28</x:v>
      </x:c>
      <x:c r="C149" s="6" t="str">
        <x:v>TM</x:v>
      </x:c>
      <x:c r="D149" s="6" t="str">
        <x:v>변경전파 적시성</x:v>
      </x:c>
      <x:c r="E149" s="6" t="str">
        <x:v>연결 품질 후보</x:v>
      </x:c>
      <x:c r="F149" s="6" t="str">
        <x:v>우리 조직에서는 새 보고나 요구사항이 접수되면, 그 변경 정보가 BC 거버넌스 업무에 필요한 시점 이전에 전달·처리된다.</x:v>
      </x:c>
      <x:c r="G149" s="6" t="str">
        <x:v>우리 조직에서는 새 보고나 요구사항이 접수되면, 경영진 검토 안건에 정해진 기간 안에 반영된다.</x:v>
      </x:c>
      <x:c r="H149" s="6" t="str">
        <x:v>E1</x:v>
      </x:c>
      <x:c r="I149" s="6" t="str">
        <x:v>A31</x:v>
      </x:c>
      <x:c r="J149" s="6" t="str">
        <x:v>S04 PDF pp.4–5 저널 pp.214–215; A27·A28·A41</x:v>
      </x:c>
      <x:c r="K149" s="6" t="str">
        <x:v>과업에 필요한 시점을 기준으로 함. 변경이 없었던 조직은 별도 코드로 처리.</x:v>
      </x:c>
      <x:c r="L149" s="21"/>
      <x:c r="M149" s="21"/>
      <x:c r="N149" s="21"/>
      <x:c r="O149" s="21"/>
      <x:c r="P149" s="21"/>
      <x:c r="Q149" s="21"/>
      <x:c r="R149" s="24" t="str">
        <x:f>IF(COUNT(L149:Q149)=6,COUNTIF(L149:Q149,"&gt;=3")/6,"")</x:f>
      </x:c>
      <x:c r="S149" s="6" t="str">
        <x:f>IF(COUNT(L149:Q149)=6,"6인 평가 완료","평가 미완료")</x:f>
        <x:v>평가 미완료</x:v>
      </x:c>
      <x:c r="T149" s="21" t="str">
        <x:v>미검토</x:v>
      </x:c>
      <x:c r="U149" s="21" t="str"/>
    </x:row>
    <x:row r="150" ht="53.25" customHeight="1">
      <x:c r="A150" s="3" t="str">
        <x:v>L29-CO</x:v>
      </x:c>
      <x:c r="B150" s="3" t="str">
        <x:v>L29</x:v>
      </x:c>
      <x:c r="C150" s="3" t="str">
        <x:v>CO</x:v>
      </x:c>
      <x:c r="D150" s="3" t="str">
        <x:v>정합성</x:v>
      </x:c>
      <x:c r="E150" s="3" t="str">
        <x:v>구조·근거 보류</x:v>
      </x:c>
      <x:c r="F150" s="3" t="str">
        <x:v>우리 조직에서는 경영진이 정한 BC 목표·방향에서 BC 정책이 도출될 때, 두 내용 중 서로 대응해야 하는 기준·수치·전제에 모순이 없다.</x:v>
      </x:c>
      <x:c r="G150" s="3" t="str">
        <x:v>우리 조직에서는 경영진이 정한 BC 목표·방향에서 BC 정책이 도출될 때, 두 내용이 서로 모순 없이 일치한다.</x:v>
      </x:c>
      <x:c r="H150" s="3" t="str">
        <x:v>E3</x:v>
      </x:c>
      <x:c r="I150" s="3" t="str">
        <x:v>(없음)</x:v>
      </x:c>
      <x:c r="J150" s="3" t="str">
        <x:v>A12·A14·A16; S06</x:v>
      </x:c>
      <x:c r="K150" s="3" t="str">
        <x:v>거버넌스 목표 정렬과 정책관리 설명만으로 GOV→POL의 직접 관계를 확정할 수 없다. 기존 ID 보존용으로 남기며 현재 전문가 문항 심사·설문 투입 대상에서 제외.</x:v>
      </x:c>
      <x:c r="L150" s="22"/>
      <x:c r="M150" s="22"/>
      <x:c r="N150" s="22"/>
      <x:c r="O150" s="22"/>
      <x:c r="P150" s="22"/>
      <x:c r="Q150" s="22"/>
      <x:c r="R150" s="23" t="str">
        <x:f>IF(COUNT(L150:Q150)=6,COUNTIF(L150:Q150,"&gt;=3")/6,"")</x:f>
      </x:c>
      <x:c r="S150" s="3" t="str">
        <x:f>IF(COUNT(L150:Q150)=6,"6인 평가 완료","평가 미완료")</x:f>
        <x:v>평가 미완료</x:v>
      </x:c>
      <x:c r="T150" s="21" t="str">
        <x:v>미검토</x:v>
      </x:c>
      <x:c r="U150" s="21" t="str"/>
    </x:row>
    <x:row r="151" ht="53.25" customHeight="1">
      <x:c r="A151" s="6" t="str">
        <x:v>L29-TR</x:v>
      </x:c>
      <x:c r="B151" s="6" t="str">
        <x:v>L29</x:v>
      </x:c>
      <x:c r="C151" s="6" t="str">
        <x:v>TR</x:v>
      </x:c>
      <x:c r="D151" s="6" t="str">
        <x:v>근거 추적가능성</x:v>
      </x:c>
      <x:c r="E151" s="6" t="str">
        <x:v>구조·근거 보류</x:v>
      </x:c>
      <x:c r="F151" s="6" t="str">
        <x:v>우리 조직에서는 BC 정책에서 근거가 된 경영진의 BC 목표·방향을 식별자나 문서 위치를 통해 찾아갈 수 있다.</x:v>
      </x:c>
      <x:c r="G151" s="6" t="str">
        <x:v>우리 조직에서는 BC 정책에서 근거가 된 경영진의 BC 목표·방향을 거슬러 찾아 확인할 수 있다.</x:v>
      </x:c>
      <x:c r="H151" s="6" t="str">
        <x:v>E3</x:v>
      </x:c>
      <x:c r="I151" s="6" t="str">
        <x:v>(없음)</x:v>
      </x:c>
      <x:c r="J151" s="6" t="str">
        <x:v>S01 §5.1 PDF p.4 저널 pp.94–101</x:v>
      </x:c>
      <x:c r="K151" s="6" t="str">
        <x:v>거버넌스 목표 정렬과 정책관리 설명만으로 GOV→POL의 직접 관계를 확정할 수 없다. 기존 ID 보존용으로 남기며 현재 전문가 문항 심사·설문 투입 대상에서 제외.</x:v>
      </x:c>
      <x:c r="L151" s="22"/>
      <x:c r="M151" s="22"/>
      <x:c r="N151" s="22"/>
      <x:c r="O151" s="22"/>
      <x:c r="P151" s="22"/>
      <x:c r="Q151" s="22"/>
      <x:c r="R151" s="24" t="str">
        <x:f>IF(COUNT(L151:Q151)=6,COUNTIF(L151:Q151,"&gt;=3")/6,"")</x:f>
      </x:c>
      <x:c r="S151" s="6" t="str">
        <x:f>IF(COUNT(L151:Q151)=6,"6인 평가 완료","평가 미완료")</x:f>
        <x:v>평가 미완료</x:v>
      </x:c>
      <x:c r="T151" s="21" t="str">
        <x:v>미검토</x:v>
      </x:c>
      <x:c r="U151" s="21" t="str"/>
    </x:row>
    <x:row r="152" ht="53.25" customHeight="1">
      <x:c r="A152" s="3" t="str">
        <x:v>L29-EV</x:v>
      </x:c>
      <x:c r="B152" s="3" t="str">
        <x:v>L29</x:v>
      </x:c>
      <x:c r="C152" s="3" t="str">
        <x:v>EV</x:v>
      </x:c>
      <x:c r="D152" s="3" t="str">
        <x:v>연결 증빙가능성</x:v>
      </x:c>
      <x:c r="E152" s="3" t="str">
        <x:v>구조·근거 보류</x:v>
      </x:c>
      <x:c r="F152" s="3" t="str">
        <x:v>우리 조직에서는 경영진이 정한 BC 목표·방향에서 BC 정책이 도출될 때, 실제 사용 또는 평가 사실을 보여 주는 기록이 남아 있다.</x:v>
      </x:c>
      <x:c r="G152" s="3" t="str">
        <x:v>우리 조직에서는 경영진이 정한 BC 목표·방향에서 BC 정책이 도출될 때, 그 사실을 입증하는 문서·기록·승인(검토 기록, 회의록, 버전 이력 등)이 남아 있다.</x:v>
      </x:c>
      <x:c r="H152" s="3" t="str">
        <x:v>E3</x:v>
      </x:c>
      <x:c r="I152" s="3" t="str">
        <x:v>(없음)</x:v>
      </x:c>
      <x:c r="J152" s="3" t="str">
        <x:v>B17 PDF p.6; A13·A37</x:v>
      </x:c>
      <x:c r="K152" s="3" t="str">
        <x:v>거버넌스 목표 정렬과 정책관리 설명만으로 GOV→POL의 직접 관계를 확정할 수 없다. 기존 ID 보존용으로 남기며 현재 전문가 문항 심사·설문 투입 대상에서 제외.</x:v>
      </x:c>
      <x:c r="L152" s="22"/>
      <x:c r="M152" s="22"/>
      <x:c r="N152" s="22"/>
      <x:c r="O152" s="22"/>
      <x:c r="P152" s="22"/>
      <x:c r="Q152" s="22"/>
      <x:c r="R152" s="23" t="str">
        <x:f>IF(COUNT(L152:Q152)=6,COUNTIF(L152:Q152,"&gt;=3")/6,"")</x:f>
      </x:c>
      <x:c r="S152" s="3" t="str">
        <x:f>IF(COUNT(L152:Q152)=6,"6인 평가 완료","평가 미완료")</x:f>
        <x:v>평가 미완료</x:v>
      </x:c>
      <x:c r="T152" s="21" t="str">
        <x:v>미검토</x:v>
      </x:c>
      <x:c r="U152" s="21" t="str"/>
    </x:row>
    <x:row r="153" ht="53.25" customHeight="1">
      <x:c r="A153" s="6" t="str">
        <x:v>L29-AC</x:v>
      </x:c>
      <x:c r="B153" s="6" t="str">
        <x:v>L29</x:v>
      </x:c>
      <x:c r="C153" s="6" t="str">
        <x:v>AC</x:v>
      </x:c>
      <x:c r="D153" s="6" t="str">
        <x:v>연결 책임명확성</x:v>
      </x:c>
      <x:c r="E153" s="6" t="str">
        <x:v>구조·근거 보류</x:v>
      </x:c>
      <x:c r="F153" s="6" t="str">
        <x:v>우리 조직에서는 BC 거버넌스와 BC 정책관리 사이의 해당 연결을 조정할 책임 역할 또는 부서가 명확하다.</x:v>
      </x:c>
      <x:c r="G153" s="6" t="str">
        <x:v>우리 조직에서는 경영진이 정한 BC 목표·방향에서 BC 정책이 도출될 때, 그 연결의 검토·승인·변경에 대한 책임자(또는 부서)가 정해져 있다.</x:v>
      </x:c>
      <x:c r="H153" s="6" t="str">
        <x:v>E3</x:v>
      </x:c>
      <x:c r="I153" s="6" t="str">
        <x:v>(없음)</x:v>
      </x:c>
      <x:c r="J153" s="6" t="str">
        <x:v>A49·A50; S07 출판사 초록</x:v>
      </x:c>
      <x:c r="K153" s="6" t="str">
        <x:v>거버넌스 목표 정렬과 정책관리 설명만으로 GOV→POL의 직접 관계를 확정할 수 없다. 기존 ID 보존용으로 남기며 현재 전문가 문항 심사·설문 투입 대상에서 제외.</x:v>
      </x:c>
      <x:c r="L153" s="22"/>
      <x:c r="M153" s="22"/>
      <x:c r="N153" s="22"/>
      <x:c r="O153" s="22"/>
      <x:c r="P153" s="22"/>
      <x:c r="Q153" s="22"/>
      <x:c r="R153" s="24" t="str">
        <x:f>IF(COUNT(L153:Q153)=6,COUNTIF(L153:Q153,"&gt;=3")/6,"")</x:f>
      </x:c>
      <x:c r="S153" s="6" t="str">
        <x:f>IF(COUNT(L153:Q153)=6,"6인 평가 완료","평가 미완료")</x:f>
        <x:v>평가 미완료</x:v>
      </x:c>
      <x:c r="T153" s="21" t="str">
        <x:v>미검토</x:v>
      </x:c>
      <x:c r="U153" s="21" t="str"/>
    </x:row>
    <x:row r="154" ht="53.25" customHeight="1">
      <x:c r="A154" s="3" t="str">
        <x:v>L29-TM</x:v>
      </x:c>
      <x:c r="B154" s="3" t="str">
        <x:v>L29</x:v>
      </x:c>
      <x:c r="C154" s="3" t="str">
        <x:v>TM</x:v>
      </x:c>
      <x:c r="D154" s="3" t="str">
        <x:v>변경전파 적시성</x:v>
      </x:c>
      <x:c r="E154" s="3" t="str">
        <x:v>구조·근거 보류</x:v>
      </x:c>
      <x:c r="F154" s="3" t="str">
        <x:v>우리 조직에서는 경영진의 BC 목표·방향이 바뀌면, 그 변경 정보가 BC 정책관리 업무에 필요한 시점 이전에 전달·처리된다.</x:v>
      </x:c>
      <x:c r="G154" s="3" t="str">
        <x:v>우리 조직에서는 경영진의 BC 목표·방향이 바뀌면, BC 정책에 정해진 기간 안에 반영된다.</x:v>
      </x:c>
      <x:c r="H154" s="3" t="str">
        <x:v>E3</x:v>
      </x:c>
      <x:c r="I154" s="3" t="str">
        <x:v>(없음)</x:v>
      </x:c>
      <x:c r="J154" s="3" t="str">
        <x:v>S04 PDF pp.4–5 저널 pp.214–215; A27·A28·A41</x:v>
      </x:c>
      <x:c r="K154" s="3" t="str">
        <x:v>거버넌스 목표 정렬과 정책관리 설명만으로 GOV→POL의 직접 관계를 확정할 수 없다. 기존 ID 보존용으로 남기며 현재 전문가 문항 심사·설문 투입 대상에서 제외.</x:v>
      </x:c>
      <x:c r="L154" s="22"/>
      <x:c r="M154" s="22"/>
      <x:c r="N154" s="22"/>
      <x:c r="O154" s="22"/>
      <x:c r="P154" s="22"/>
      <x:c r="Q154" s="22"/>
      <x:c r="R154" s="23" t="str">
        <x:f>IF(COUNT(L154:Q154)=6,COUNTIF(L154:Q154,"&gt;=3")/6,"")</x:f>
      </x:c>
      <x:c r="S154" s="3" t="str">
        <x:f>IF(COUNT(L154:Q154)=6,"6인 평가 완료","평가 미완료")</x:f>
        <x:v>평가 미완료</x:v>
      </x:c>
      <x:c r="T154" s="21" t="str">
        <x:v>미검토</x:v>
      </x:c>
      <x:c r="U154" s="21" t="str"/>
    </x:row>
    <x:row r="155" ht="53.25" customHeight="1">
      <x:c r="A155" s="6" t="str">
        <x:v>L30-CO</x:v>
      </x:c>
      <x:c r="B155" s="6" t="str">
        <x:v>L30</x:v>
      </x:c>
      <x:c r="C155" s="6" t="str">
        <x:v>CO</x:v>
      </x:c>
      <x:c r="D155" s="6" t="str">
        <x:v>정합성</x:v>
      </x:c>
      <x:c r="E155" s="6" t="str">
        <x:v>구조·근거 보류</x:v>
      </x:c>
      <x:c r="F155" s="6" t="str">
        <x:v>우리 조직에서는 자원관리가 핵심 프로세스에 자원과 사용 현황 보고를 제공할 때, 두 내용 중 서로 대응해야 하는 기준·수치·전제에 모순이 없다.</x:v>
      </x:c>
      <x:c r="G155" s="6" t="str">
        <x:v>우리 조직에서는 자원관리가 핵심 프로세스에 자원과 사용 현황 보고를 제공할 때, 두 내용이 서로 모순 없이 일치한다.</x:v>
      </x:c>
      <x:c r="H155" s="6" t="str">
        <x:v>E1</x:v>
      </x:c>
      <x:c r="I155" s="6" t="str">
        <x:v>A18</x:v>
      </x:c>
      <x:c r="J155" s="6" t="str">
        <x:v>A12·A14·A16; S06</x:v>
      </x:c>
      <x:c r="K155" s="6" t="str">
        <x:v>core processes 대상 자원 공급의 집단 서술이다. CORE는 23번째 객체가 아니며 개별 쌍으로 임의 확장하지 않는다. 기존 ID 보존용으로 남기며 현재 전문가 문항 심사·설문 투입 대상에서 제외.</x:v>
      </x:c>
      <x:c r="L155" s="22"/>
      <x:c r="M155" s="22"/>
      <x:c r="N155" s="22"/>
      <x:c r="O155" s="22"/>
      <x:c r="P155" s="22"/>
      <x:c r="Q155" s="22"/>
      <x:c r="R155" s="24" t="str">
        <x:f>IF(COUNT(L155:Q155)=6,COUNTIF(L155:Q155,"&gt;=3")/6,"")</x:f>
      </x:c>
      <x:c r="S155" s="6" t="str">
        <x:f>IF(COUNT(L155:Q155)=6,"6인 평가 완료","평가 미완료")</x:f>
        <x:v>평가 미완료</x:v>
      </x:c>
      <x:c r="T155" s="21" t="str">
        <x:v>미검토</x:v>
      </x:c>
      <x:c r="U155" s="21" t="str"/>
    </x:row>
    <x:row r="156" ht="53.25" customHeight="1">
      <x:c r="A156" s="3" t="str">
        <x:v>L30-TR</x:v>
      </x:c>
      <x:c r="B156" s="3" t="str">
        <x:v>L30</x:v>
      </x:c>
      <x:c r="C156" s="3" t="str">
        <x:v>TR</x:v>
      </x:c>
      <x:c r="D156" s="3" t="str">
        <x:v>근거 추적가능성</x:v>
      </x:c>
      <x:c r="E156" s="3" t="str">
        <x:v>구조·근거 보류</x:v>
      </x:c>
      <x:c r="F156" s="3" t="str">
        <x:v>우리 조직에서는 핵심 프로세스의 자원 배분에서 근거가 된 자원 사용 현황을 식별자나 문서 위치를 통해 찾아갈 수 있다.</x:v>
      </x:c>
      <x:c r="G156" s="3" t="str">
        <x:v>우리 조직에서는 핵심 프로세스의 자원 배분에서 근거가 된 자원 사용 현황을 거슬러 찾아 확인할 수 있다.</x:v>
      </x:c>
      <x:c r="H156" s="3" t="str">
        <x:v>E1</x:v>
      </x:c>
      <x:c r="I156" s="3" t="str">
        <x:v>A18</x:v>
      </x:c>
      <x:c r="J156" s="3" t="str">
        <x:v>S01 §5.1 PDF p.4 저널 pp.94–101</x:v>
      </x:c>
      <x:c r="K156" s="3" t="str">
        <x:v>core processes 대상 자원 공급의 집단 서술이다. CORE는 23번째 객체가 아니며 개별 쌍으로 임의 확장하지 않는다. 기존 ID 보존용으로 남기며 현재 전문가 문항 심사·설문 투입 대상에서 제외.</x:v>
      </x:c>
      <x:c r="L156" s="22"/>
      <x:c r="M156" s="22"/>
      <x:c r="N156" s="22"/>
      <x:c r="O156" s="22"/>
      <x:c r="P156" s="22"/>
      <x:c r="Q156" s="22"/>
      <x:c r="R156" s="23" t="str">
        <x:f>IF(COUNT(L156:Q156)=6,COUNTIF(L156:Q156,"&gt;=3")/6,"")</x:f>
      </x:c>
      <x:c r="S156" s="3" t="str">
        <x:f>IF(COUNT(L156:Q156)=6,"6인 평가 완료","평가 미완료")</x:f>
        <x:v>평가 미완료</x:v>
      </x:c>
      <x:c r="T156" s="21" t="str">
        <x:v>미검토</x:v>
      </x:c>
      <x:c r="U156" s="21" t="str"/>
    </x:row>
    <x:row r="157" ht="53.25" customHeight="1">
      <x:c r="A157" s="6" t="str">
        <x:v>L30-EV</x:v>
      </x:c>
      <x:c r="B157" s="6" t="str">
        <x:v>L30</x:v>
      </x:c>
      <x:c r="C157" s="6" t="str">
        <x:v>EV</x:v>
      </x:c>
      <x:c r="D157" s="6" t="str">
        <x:v>연결 증빙가능성</x:v>
      </x:c>
      <x:c r="E157" s="6" t="str">
        <x:v>구조·근거 보류</x:v>
      </x:c>
      <x:c r="F157" s="6" t="str">
        <x:v>우리 조직에서는 자원관리가 핵심 프로세스에 자원과 사용 현황 보고를 제공할 때, 실제 사용 또는 평가 사실을 보여 주는 기록이 남아 있다.</x:v>
      </x:c>
      <x:c r="G157" s="6" t="str">
        <x:v>우리 조직에서는 자원관리가 핵심 프로세스에 자원과 사용 현황 보고를 제공할 때, 그 사실을 입증하는 문서·기록·승인(검토 기록, 회의록, 버전 이력 등)이 남아 있다.</x:v>
      </x:c>
      <x:c r="H157" s="6" t="str">
        <x:v>E1</x:v>
      </x:c>
      <x:c r="I157" s="6" t="str">
        <x:v>A18</x:v>
      </x:c>
      <x:c r="J157" s="6" t="str">
        <x:v>B17 PDF p.6; A13·A37</x:v>
      </x:c>
      <x:c r="K157" s="6" t="str">
        <x:v>core processes 대상 자원 공급의 집단 서술이다. CORE는 23번째 객체가 아니며 개별 쌍으로 임의 확장하지 않는다. 기존 ID 보존용으로 남기며 현재 전문가 문항 심사·설문 투입 대상에서 제외.</x:v>
      </x:c>
      <x:c r="L157" s="22"/>
      <x:c r="M157" s="22"/>
      <x:c r="N157" s="22"/>
      <x:c r="O157" s="22"/>
      <x:c r="P157" s="22"/>
      <x:c r="Q157" s="22"/>
      <x:c r="R157" s="24" t="str">
        <x:f>IF(COUNT(L157:Q157)=6,COUNTIF(L157:Q157,"&gt;=3")/6,"")</x:f>
      </x:c>
      <x:c r="S157" s="6" t="str">
        <x:f>IF(COUNT(L157:Q157)=6,"6인 평가 완료","평가 미완료")</x:f>
        <x:v>평가 미완료</x:v>
      </x:c>
      <x:c r="T157" s="21" t="str">
        <x:v>미검토</x:v>
      </x:c>
      <x:c r="U157" s="21" t="str"/>
    </x:row>
    <x:row r="158" ht="53.25" customHeight="1">
      <x:c r="A158" s="3" t="str">
        <x:v>L30-AC</x:v>
      </x:c>
      <x:c r="B158" s="3" t="str">
        <x:v>L30</x:v>
      </x:c>
      <x:c r="C158" s="3" t="str">
        <x:v>AC</x:v>
      </x:c>
      <x:c r="D158" s="3" t="str">
        <x:v>연결 책임명확성</x:v>
      </x:c>
      <x:c r="E158" s="3" t="str">
        <x:v>구조·근거 보류</x:v>
      </x:c>
      <x:c r="F158" s="3" t="str">
        <x:v>우리 조직에서는 자원관리와 CORE 사이의 해당 연결을 조정할 책임 역할 또는 부서가 명확하다.</x:v>
      </x:c>
      <x:c r="G158" s="3" t="str">
        <x:v>우리 조직에서는 자원관리가 핵심 프로세스에 자원과 사용 현황 보고를 제공할 때, 그 연결의 검토·승인·변경에 대한 책임자(또는 부서)가 정해져 있다.</x:v>
      </x:c>
      <x:c r="H158" s="3" t="str">
        <x:v>E1</x:v>
      </x:c>
      <x:c r="I158" s="3" t="str">
        <x:v>A18</x:v>
      </x:c>
      <x:c r="J158" s="3" t="str">
        <x:v>A49·A50; S07 출판사 초록</x:v>
      </x:c>
      <x:c r="K158" s="3" t="str">
        <x:v>core processes 대상 자원 공급의 집단 서술이다. CORE는 23번째 객체가 아니며 개별 쌍으로 임의 확장하지 않는다. 기존 ID 보존용으로 남기며 현재 전문가 문항 심사·설문 투입 대상에서 제외.</x:v>
      </x:c>
      <x:c r="L158" s="22"/>
      <x:c r="M158" s="22"/>
      <x:c r="N158" s="22"/>
      <x:c r="O158" s="22"/>
      <x:c r="P158" s="22"/>
      <x:c r="Q158" s="22"/>
      <x:c r="R158" s="23" t="str">
        <x:f>IF(COUNT(L158:Q158)=6,COUNTIF(L158:Q158,"&gt;=3")/6,"")</x:f>
      </x:c>
      <x:c r="S158" s="3" t="str">
        <x:f>IF(COUNT(L158:Q158)=6,"6인 평가 완료","평가 미완료")</x:f>
        <x:v>평가 미완료</x:v>
      </x:c>
      <x:c r="T158" s="21" t="str">
        <x:v>미검토</x:v>
      </x:c>
      <x:c r="U158" s="21" t="str"/>
    </x:row>
    <x:row r="159" ht="53.25" customHeight="1">
      <x:c r="A159" s="6" t="str">
        <x:v>L30-TM</x:v>
      </x:c>
      <x:c r="B159" s="6" t="str">
        <x:v>L30</x:v>
      </x:c>
      <x:c r="C159" s="6" t="str">
        <x:v>TM</x:v>
      </x:c>
      <x:c r="D159" s="6" t="str">
        <x:v>변경전파 적시성</x:v>
      </x:c>
      <x:c r="E159" s="6" t="str">
        <x:v>구조·근거 보류</x:v>
      </x:c>
      <x:c r="F159" s="6" t="str">
        <x:v>우리 조직에서는 자원 사용 현황이 바뀌면, 그 변경 정보가 CORE 업무에 필요한 시점 이전에 전달·처리된다.</x:v>
      </x:c>
      <x:c r="G159" s="6" t="str">
        <x:v>우리 조직에서는 자원 사용 현황이 바뀌면, 핵심 프로세스의 자원 배분에 정해진 기간 안에 반영된다.</x:v>
      </x:c>
      <x:c r="H159" s="6" t="str">
        <x:v>E1</x:v>
      </x:c>
      <x:c r="I159" s="6" t="str">
        <x:v>A18</x:v>
      </x:c>
      <x:c r="J159" s="6" t="str">
        <x:v>S04 PDF pp.4–5 저널 pp.214–215; A27·A28·A41</x:v>
      </x:c>
      <x:c r="K159" s="6" t="str">
        <x:v>core processes 대상 자원 공급의 집단 서술이다. CORE는 23번째 객체가 아니며 개별 쌍으로 임의 확장하지 않는다. 기존 ID 보존용으로 남기며 현재 전문가 문항 심사·설문 투입 대상에서 제외.</x:v>
      </x:c>
      <x:c r="L159" s="22"/>
      <x:c r="M159" s="22"/>
      <x:c r="N159" s="22"/>
      <x:c r="O159" s="22"/>
      <x:c r="P159" s="22"/>
      <x:c r="Q159" s="22"/>
      <x:c r="R159" s="24" t="str">
        <x:f>IF(COUNT(L159:Q159)=6,COUNTIF(L159:Q159,"&gt;=3")/6,"")</x:f>
      </x:c>
      <x:c r="S159" s="6" t="str">
        <x:f>IF(COUNT(L159:Q159)=6,"6인 평가 완료","평가 미완료")</x:f>
        <x:v>평가 미완료</x:v>
      </x:c>
      <x:c r="T159" s="21" t="str">
        <x:v>미검토</x:v>
      </x:c>
      <x:c r="U159" s="21" t="str"/>
    </x:row>
    <x:row r="160" ht="39" customHeight="1">
      <x:c r="A160" s="3" t="str">
        <x:v>L31-CO</x:v>
      </x:c>
      <x:c r="B160" s="3" t="str">
        <x:v>L31</x:v>
      </x:c>
      <x:c r="C160" s="3" t="str">
        <x:v>CO</x:v>
      </x:c>
      <x:c r="D160" s="3" t="str">
        <x:v>정합성</x:v>
      </x:c>
      <x:c r="E160" s="3" t="str">
        <x:v>연결 품질 후보</x:v>
      </x:c>
      <x:c r="F160" s="3" t="str">
        <x:v>우리 조직에서는 자원 사용 보고가 고객관계관리에 제공될 때, 두 내용 중 서로 대응해야 하는 기준·수치·전제에 모순이 없다.</x:v>
      </x:c>
      <x:c r="G160" s="3" t="str">
        <x:v>우리 조직에서는 자원 사용 현황 보고가 고객관계관리에 제공될 때, 두 내용이 서로 모순 없이 일치한다.</x:v>
      </x:c>
      <x:c r="H160" s="3" t="str">
        <x:v>E2</x:v>
      </x:c>
      <x:c r="I160" s="3" t="str">
        <x:v>A18</x:v>
      </x:c>
      <x:c r="J160" s="3" t="str">
        <x:v>A12·A14·A16; S06</x:v>
      </x:c>
      <x:c r="K160" s="3" t="str">
        <x:v>서로 다른 프로세스 산출물의 내용 전체가 동일해야 한다는 오해를 줄임. 자원 공급이 아니라 보고 전달을 평가.</x:v>
      </x:c>
      <x:c r="L160" s="21"/>
      <x:c r="M160" s="21"/>
      <x:c r="N160" s="21"/>
      <x:c r="O160" s="21"/>
      <x:c r="P160" s="21"/>
      <x:c r="Q160" s="21"/>
      <x:c r="R160" s="23" t="str">
        <x:f>IF(COUNT(L160:Q160)=6,COUNTIF(L160:Q160,"&gt;=3")/6,"")</x:f>
      </x:c>
      <x:c r="S160" s="3" t="str">
        <x:f>IF(COUNT(L160:Q160)=6,"6인 평가 완료","평가 미완료")</x:f>
        <x:v>평가 미완료</x:v>
      </x:c>
      <x:c r="T160" s="21" t="str">
        <x:v>미검토</x:v>
      </x:c>
      <x:c r="U160" s="21" t="str"/>
    </x:row>
    <x:row r="161" ht="39" customHeight="1">
      <x:c r="A161" s="6" t="str">
        <x:v>L31-TR</x:v>
      </x:c>
      <x:c r="B161" s="6" t="str">
        <x:v>L31</x:v>
      </x:c>
      <x:c r="C161" s="6" t="str">
        <x:v>TR</x:v>
      </x:c>
      <x:c r="D161" s="6" t="str">
        <x:v>근거 추적가능성</x:v>
      </x:c>
      <x:c r="E161" s="6" t="str">
        <x:v>연결 품질 후보</x:v>
      </x:c>
      <x:c r="F161" s="6" t="str">
        <x:v>우리 조직에서는 고객관계관리 보고에서 근거가 된 자원 사용 현황을 식별자나 문서 위치를 통해 찾아갈 수 있다.</x:v>
      </x:c>
      <x:c r="G161" s="6" t="str">
        <x:v>우리 조직에서는 고객관계관리 보고에서 근거가 된 자원 사용 현황을 거슬러 찾아 확인할 수 있다.</x:v>
      </x:c>
      <x:c r="H161" s="6" t="str">
        <x:v>E2</x:v>
      </x:c>
      <x:c r="I161" s="6" t="str">
        <x:v>A18</x:v>
      </x:c>
      <x:c r="J161" s="6" t="str">
        <x:v>S01 §5.1 PDF p.4 저널 pp.94–101</x:v>
      </x:c>
      <x:c r="K161" s="6" t="str">
        <x:v>후방 근거 추적 문항. 전방 추적은 측정 범위에 포함됐다고 주장하지 않음. 자원 공급이 아니라 보고 전달을 평가.</x:v>
      </x:c>
      <x:c r="L161" s="21"/>
      <x:c r="M161" s="21"/>
      <x:c r="N161" s="21"/>
      <x:c r="O161" s="21"/>
      <x:c r="P161" s="21"/>
      <x:c r="Q161" s="21"/>
      <x:c r="R161" s="24" t="str">
        <x:f>IF(COUNT(L161:Q161)=6,COUNTIF(L161:Q161,"&gt;=3")/6,"")</x:f>
      </x:c>
      <x:c r="S161" s="6" t="str">
        <x:f>IF(COUNT(L161:Q161)=6,"6인 평가 완료","평가 미완료")</x:f>
        <x:v>평가 미완료</x:v>
      </x:c>
      <x:c r="T161" s="21" t="str">
        <x:v>미검토</x:v>
      </x:c>
      <x:c r="U161" s="21" t="str"/>
    </x:row>
    <x:row r="162" ht="39" customHeight="1">
      <x:c r="A162" s="3" t="str">
        <x:v>L31-EV</x:v>
      </x:c>
      <x:c r="B162" s="3" t="str">
        <x:v>L31</x:v>
      </x:c>
      <x:c r="C162" s="3" t="str">
        <x:v>EV</x:v>
      </x:c>
      <x:c r="D162" s="3" t="str">
        <x:v>연결 증빙가능성</x:v>
      </x:c>
      <x:c r="E162" s="3" t="str">
        <x:v>연결 품질 후보</x:v>
      </x:c>
      <x:c r="F162" s="3" t="str">
        <x:v>우리 조직에서는 자원 사용 보고가 고객관계관리에 제공될 때, 실제 사용 또는 평가 사실을 보여 주는 기록이 남아 있다.</x:v>
      </x:c>
      <x:c r="G162" s="3" t="str">
        <x:v>우리 조직에서는 자원 사용 현황 보고가 고객관계관리에 제공될 때, 그 사실을 입증하는 문서·기록·승인(검토 기록, 회의록, 버전 이력 등)이 남아 있다.</x:v>
      </x:c>
      <x:c r="H162" s="3" t="str">
        <x:v>E2</x:v>
      </x:c>
      <x:c r="I162" s="3" t="str">
        <x:v>A18</x:v>
      </x:c>
      <x:c r="J162" s="3" t="str">
        <x:v>B17 PDF p.6; A13·A37</x:v>
      </x:c>
      <x:c r="K162" s="3" t="str">
        <x:v>문서 보유가 아니라 연결의 실제 수행 사실을 증명하는 기록을 묻도록 수정. 자원 공급이 아니라 보고 전달을 평가.</x:v>
      </x:c>
      <x:c r="L162" s="21"/>
      <x:c r="M162" s="21"/>
      <x:c r="N162" s="21"/>
      <x:c r="O162" s="21"/>
      <x:c r="P162" s="21"/>
      <x:c r="Q162" s="21"/>
      <x:c r="R162" s="23" t="str">
        <x:f>IF(COUNT(L162:Q162)=6,COUNTIF(L162:Q162,"&gt;=3")/6,"")</x:f>
      </x:c>
      <x:c r="S162" s="3" t="str">
        <x:f>IF(COUNT(L162:Q162)=6,"6인 평가 완료","평가 미완료")</x:f>
        <x:v>평가 미완료</x:v>
      </x:c>
      <x:c r="T162" s="21" t="str">
        <x:v>미검토</x:v>
      </x:c>
      <x:c r="U162" s="21" t="str"/>
    </x:row>
    <x:row r="163" ht="39" customHeight="1">
      <x:c r="A163" s="6" t="str">
        <x:v>L31-AC</x:v>
      </x:c>
      <x:c r="B163" s="6" t="str">
        <x:v>L31</x:v>
      </x:c>
      <x:c r="C163" s="6" t="str">
        <x:v>AC</x:v>
      </x:c>
      <x:c r="D163" s="6" t="str">
        <x:v>연결 책임명확성</x:v>
      </x:c>
      <x:c r="E163" s="6" t="str">
        <x:v>관리조건 후보</x:v>
      </x:c>
      <x:c r="F163" s="6" t="str">
        <x:v>우리 조직에서는 자원관리와 고객관계관리 사이의 해당 연결을 조정할 책임 역할 또는 부서가 명확하다.</x:v>
      </x:c>
      <x:c r="G163" s="6" t="str">
        <x:v>우리 조직에서는 자원 사용 현황 보고가 고객관계관리에 제공될 때, 그 연결의 검토·승인·변경에 대한 책임자(또는 부서)가 정해져 있다.</x:v>
      </x:c>
      <x:c r="H163" s="6" t="str">
        <x:v>E2</x:v>
      </x:c>
      <x:c r="I163" s="6" t="str">
        <x:v>A18</x:v>
      </x:c>
      <x:c r="J163" s="6" t="str">
        <x:v>A49·A50; S07 출판사 초록</x:v>
      </x:c>
      <x:c r="K163" s="6" t="str">
        <x:v>검토·승인·변경의 세 질문을 단일 조정 책임으로 바꿈. Accountability와 동일 개념으로 인용하지 않음. 자원 공급이 아니라 보고 전달을 평가.</x:v>
      </x:c>
      <x:c r="L163" s="21"/>
      <x:c r="M163" s="21"/>
      <x:c r="N163" s="21"/>
      <x:c r="O163" s="21"/>
      <x:c r="P163" s="21"/>
      <x:c r="Q163" s="21"/>
      <x:c r="R163" s="24" t="str">
        <x:f>IF(COUNT(L163:Q163)=6,COUNTIF(L163:Q163,"&gt;=3")/6,"")</x:f>
      </x:c>
      <x:c r="S163" s="6" t="str">
        <x:f>IF(COUNT(L163:Q163)=6,"6인 평가 완료","평가 미완료")</x:f>
        <x:v>평가 미완료</x:v>
      </x:c>
      <x:c r="T163" s="21" t="str">
        <x:v>미검토</x:v>
      </x:c>
      <x:c r="U163" s="21" t="str"/>
    </x:row>
    <x:row r="164" ht="39" customHeight="1">
      <x:c r="A164" s="3" t="str">
        <x:v>L31-TM</x:v>
      </x:c>
      <x:c r="B164" s="3" t="str">
        <x:v>L31</x:v>
      </x:c>
      <x:c r="C164" s="3" t="str">
        <x:v>TM</x:v>
      </x:c>
      <x:c r="D164" s="3" t="str">
        <x:v>변경전파 적시성</x:v>
      </x:c>
      <x:c r="E164" s="3" t="str">
        <x:v>연결 품질 후보</x:v>
      </x:c>
      <x:c r="F164" s="3" t="str">
        <x:v>우리 조직에서는 자원 사용 현황이 바뀌면, 그 변경 정보가 고객관계관리 업무에 필요한 시점 이전에 전달·처리된다.</x:v>
      </x:c>
      <x:c r="G164" s="3" t="str">
        <x:v>우리 조직에서는 자원 사용 현황이 바뀌면, 고객관계관리 보고에 정해진 기간 안에 반영된다.</x:v>
      </x:c>
      <x:c r="H164" s="3" t="str">
        <x:v>E2</x:v>
      </x:c>
      <x:c r="I164" s="3" t="str">
        <x:v>A18</x:v>
      </x:c>
      <x:c r="J164" s="3" t="str">
        <x:v>S04 PDF pp.4–5 저널 pp.214–215; A27·A28·A41</x:v>
      </x:c>
      <x:c r="K164" s="3" t="str">
        <x:v>과업에 필요한 시점을 기준으로 함. 변경이 없었던 조직은 별도 코드로 처리. 자원 공급이 아니라 보고 전달을 평가.</x:v>
      </x:c>
      <x:c r="L164" s="21"/>
      <x:c r="M164" s="21"/>
      <x:c r="N164" s="21"/>
      <x:c r="O164" s="21"/>
      <x:c r="P164" s="21"/>
      <x:c r="Q164" s="21"/>
      <x:c r="R164" s="23" t="str">
        <x:f>IF(COUNT(L164:Q164)=6,COUNTIF(L164:Q164,"&gt;=3")/6,"")</x:f>
      </x:c>
      <x:c r="S164" s="3" t="str">
        <x:f>IF(COUNT(L164:Q164)=6,"6인 평가 완료","평가 미완료")</x:f>
        <x:v>평가 미완료</x:v>
      </x:c>
      <x:c r="T164" s="21" t="str">
        <x:v>미검토</x:v>
      </x:c>
      <x:c r="U164" s="21" t="str"/>
    </x:row>
    <x:row r="165" ht="31.5" customHeight="1">
      <x:c r="A165" s="6" t="str">
        <x:v>DQ01</x:v>
      </x:c>
      <x:c r="B165" s="6" t="str">
        <x:v>—</x:v>
      </x:c>
      <x:c r="C165" s="6" t="str">
        <x:v>보조</x:v>
      </x:c>
      <x:c r="D165" s="6" t="str">
        <x:v>정합성(종합)</x:v>
      </x:c>
      <x:c r="E165" s="6" t="str">
        <x:v>종합 보조 후보</x:v>
      </x:c>
      <x:c r="F165" s="6" t="str">
        <x:v>우리 조직의 BC 프로세스 간 연결에서 서로 대응해야 하는 기준·수치·전제에 모순이 없다.</x:v>
      </x:c>
      <x:c r="G165" s="6" t="str">
        <x:v>우리 조직의 BC 프로세스 간 연결에서 선행 산출물과 후행 의사결정은 모순 없이 일치한다.</x:v>
      </x:c>
      <x:c r="H165" s="6" t="str">
        <x:v>해당 없음</x:v>
      </x:c>
      <x:c r="I165" s="6" t="str">
        <x:v>연구자 제안</x:v>
      </x:c>
      <x:c r="J165" s="6" t="str">
        <x:v>개념 정의 및 검증계획 참조</x:v>
      </x:c>
      <x:c r="K165" s="6" t="str">
        <x:v>종합·역문항·주의 문항을 독립적인 외부타당도 근거로 간주하지 않음.</x:v>
      </x:c>
      <x:c r="L165" s="21"/>
      <x:c r="M165" s="21"/>
      <x:c r="N165" s="21"/>
      <x:c r="O165" s="21"/>
      <x:c r="P165" s="21"/>
      <x:c r="Q165" s="21"/>
      <x:c r="R165" s="24" t="str">
        <x:f>IF(COUNT(L165:Q165)=6,COUNTIF(L165:Q165,"&gt;=3")/6,"")</x:f>
      </x:c>
      <x:c r="S165" s="6" t="str">
        <x:f>IF(COUNT(L165:Q165)=6,"6인 평가 완료","평가 미완료")</x:f>
        <x:v>평가 미완료</x:v>
      </x:c>
      <x:c r="T165" s="21" t="str">
        <x:v>미검토</x:v>
      </x:c>
      <x:c r="U165" s="21" t="str"/>
    </x:row>
    <x:row r="166" ht="39" customHeight="1">
      <x:c r="A166" s="3" t="str">
        <x:v>DQ02</x:v>
      </x:c>
      <x:c r="B166" s="3" t="str">
        <x:v>—</x:v>
      </x:c>
      <x:c r="C166" s="3" t="str">
        <x:v>보조</x:v>
      </x:c>
      <x:c r="D166" s="3" t="str">
        <x:v>근거 추적가능성(종합)</x:v>
      </x:c>
      <x:c r="E166" s="3" t="str">
        <x:v>종합 보조 후보</x:v>
      </x:c>
      <x:c r="F166" s="3" t="str">
        <x:v>우리 조직에서는 후속 업무에 사용한 선행 산출물의 근거 위치를 찾아갈 수 있다.</x:v>
      </x:c>
      <x:c r="G166" s="3" t="str">
        <x:v>우리 조직에서는 BC 프로세스의 후행 결과에서 근거가 된 선행 산출물을 거슬러 찾아 확인할 수 있다.</x:v>
      </x:c>
      <x:c r="H166" s="3" t="str">
        <x:v>해당 없음</x:v>
      </x:c>
      <x:c r="I166" s="3" t="str">
        <x:v>연구자 제안</x:v>
      </x:c>
      <x:c r="J166" s="3" t="str">
        <x:v>개념 정의 및 검증계획 참조</x:v>
      </x:c>
      <x:c r="K166" s="3" t="str">
        <x:v>종합·역문항·주의 문항을 독립적인 외부타당도 근거로 간주하지 않음.</x:v>
      </x:c>
      <x:c r="L166" s="21"/>
      <x:c r="M166" s="21"/>
      <x:c r="N166" s="21"/>
      <x:c r="O166" s="21"/>
      <x:c r="P166" s="21"/>
      <x:c r="Q166" s="21"/>
      <x:c r="R166" s="23" t="str">
        <x:f>IF(COUNT(L166:Q166)=6,COUNTIF(L166:Q166,"&gt;=3")/6,"")</x:f>
      </x:c>
      <x:c r="S166" s="3" t="str">
        <x:f>IF(COUNT(L166:Q166)=6,"6인 평가 완료","평가 미완료")</x:f>
        <x:v>평가 미완료</x:v>
      </x:c>
      <x:c r="T166" s="21" t="str">
        <x:v>미검토</x:v>
      </x:c>
      <x:c r="U166" s="21" t="str"/>
    </x:row>
    <x:row r="167" ht="31.5" customHeight="1">
      <x:c r="A167" s="6" t="str">
        <x:v>DQ03</x:v>
      </x:c>
      <x:c r="B167" s="6" t="str">
        <x:v>—</x:v>
      </x:c>
      <x:c r="C167" s="6" t="str">
        <x:v>보조</x:v>
      </x:c>
      <x:c r="D167" s="6" t="str">
        <x:v>연결 증빙가능성(종합)</x:v>
      </x:c>
      <x:c r="E167" s="6" t="str">
        <x:v>종합 보조 후보</x:v>
      </x:c>
      <x:c r="F167" s="6" t="str">
        <x:v>우리 조직에서는 BC 프로세스 간 실제 전달·사용 사실을 보여 주는 기록이 남아 있다.</x:v>
      </x:c>
      <x:c r="G167" s="6" t="str">
        <x:v>우리 조직에서는 BC 프로세스 간 연결을 입증하는 문서·기록·승인이 남아 있다.</x:v>
      </x:c>
      <x:c r="H167" s="6" t="str">
        <x:v>해당 없음</x:v>
      </x:c>
      <x:c r="I167" s="6" t="str">
        <x:v>연구자 제안</x:v>
      </x:c>
      <x:c r="J167" s="6" t="str">
        <x:v>개념 정의 및 검증계획 참조</x:v>
      </x:c>
      <x:c r="K167" s="6" t="str">
        <x:v>종합·역문항·주의 문항을 독립적인 외부타당도 근거로 간주하지 않음.</x:v>
      </x:c>
      <x:c r="L167" s="21"/>
      <x:c r="M167" s="21"/>
      <x:c r="N167" s="21"/>
      <x:c r="O167" s="21"/>
      <x:c r="P167" s="21"/>
      <x:c r="Q167" s="21"/>
      <x:c r="R167" s="24" t="str">
        <x:f>IF(COUNT(L167:Q167)=6,COUNTIF(L167:Q167,"&gt;=3")/6,"")</x:f>
      </x:c>
      <x:c r="S167" s="6" t="str">
        <x:f>IF(COUNT(L167:Q167)=6,"6인 평가 완료","평가 미완료")</x:f>
        <x:v>평가 미완료</x:v>
      </x:c>
      <x:c r="T167" s="21" t="str">
        <x:v>미검토</x:v>
      </x:c>
      <x:c r="U167" s="21" t="str"/>
    </x:row>
    <x:row r="168" ht="31.5" customHeight="1">
      <x:c r="A168" s="3" t="str">
        <x:v>DQ04</x:v>
      </x:c>
      <x:c r="B168" s="3" t="str">
        <x:v>—</x:v>
      </x:c>
      <x:c r="C168" s="3" t="str">
        <x:v>보조</x:v>
      </x:c>
      <x:c r="D168" s="3" t="str">
        <x:v>연결 책임명확성(종합)</x:v>
      </x:c>
      <x:c r="E168" s="3" t="str">
        <x:v>종합 보조 후보</x:v>
      </x:c>
      <x:c r="F168" s="3" t="str">
        <x:v>우리 조직에서는 BC 프로세스 사이의 전달·조정 책임 역할이 명확하다.</x:v>
      </x:c>
      <x:c r="G168" s="3" t="str">
        <x:v>우리 조직에서는 BC 프로세스 간 연결의 검토·승인·변경 책임이 명확하다.</x:v>
      </x:c>
      <x:c r="H168" s="3" t="str">
        <x:v>해당 없음</x:v>
      </x:c>
      <x:c r="I168" s="3" t="str">
        <x:v>연구자 제안</x:v>
      </x:c>
      <x:c r="J168" s="3" t="str">
        <x:v>개념 정의 및 검증계획 참조</x:v>
      </x:c>
      <x:c r="K168" s="3" t="str">
        <x:v>종합·역문항·주의 문항을 독립적인 외부타당도 근거로 간주하지 않음.</x:v>
      </x:c>
      <x:c r="L168" s="21"/>
      <x:c r="M168" s="21"/>
      <x:c r="N168" s="21"/>
      <x:c r="O168" s="21"/>
      <x:c r="P168" s="21"/>
      <x:c r="Q168" s="21"/>
      <x:c r="R168" s="23" t="str">
        <x:f>IF(COUNT(L168:Q168)=6,COUNTIF(L168:Q168,"&gt;=3")/6,"")</x:f>
      </x:c>
      <x:c r="S168" s="3" t="str">
        <x:f>IF(COUNT(L168:Q168)=6,"6인 평가 완료","평가 미완료")</x:f>
        <x:v>평가 미완료</x:v>
      </x:c>
      <x:c r="T168" s="21" t="str">
        <x:v>미검토</x:v>
      </x:c>
      <x:c r="U168" s="21" t="str"/>
    </x:row>
    <x:row r="169" ht="39" customHeight="1">
      <x:c r="A169" s="6" t="str">
        <x:v>DQ05</x:v>
      </x:c>
      <x:c r="B169" s="6" t="str">
        <x:v>—</x:v>
      </x:c>
      <x:c r="C169" s="6" t="str">
        <x:v>보조</x:v>
      </x:c>
      <x:c r="D169" s="6" t="str">
        <x:v>변경전파 적시성(종합)</x:v>
      </x:c>
      <x:c r="E169" s="6" t="str">
        <x:v>종합 보조 후보</x:v>
      </x:c>
      <x:c r="F169" s="6" t="str">
        <x:v>우리 조직에서는 연결에 영향을 주는 변경 정보가 후속 업무에 필요한 시점 이전에 전달·처리된다.</x:v>
      </x:c>
      <x:c r="G169" s="6" t="str">
        <x:v>우리 조직에서는 변경된 정보가 관련 프로세스와 문서에 적시에 반영된다.</x:v>
      </x:c>
      <x:c r="H169" s="6" t="str">
        <x:v>해당 없음</x:v>
      </x:c>
      <x:c r="I169" s="6" t="str">
        <x:v>연구자 제안</x:v>
      </x:c>
      <x:c r="J169" s="6" t="str">
        <x:v>개념 정의 및 검증계획 참조</x:v>
      </x:c>
      <x:c r="K169" s="6" t="str">
        <x:v>종합·역문항·주의 문항을 독립적인 외부타당도 근거로 간주하지 않음.</x:v>
      </x:c>
      <x:c r="L169" s="21"/>
      <x:c r="M169" s="21"/>
      <x:c r="N169" s="21"/>
      <x:c r="O169" s="21"/>
      <x:c r="P169" s="21"/>
      <x:c r="Q169" s="21"/>
      <x:c r="R169" s="24" t="str">
        <x:f>IF(COUNT(L169:Q169)=6,COUNTIF(L169:Q169,"&gt;=3")/6,"")</x:f>
      </x:c>
      <x:c r="S169" s="6" t="str">
        <x:f>IF(COUNT(L169:Q169)=6,"6인 평가 완료","평가 미완료")</x:f>
        <x:v>평가 미완료</x:v>
      </x:c>
      <x:c r="T169" s="21" t="str">
        <x:v>미검토</x:v>
      </x:c>
      <x:c r="U169" s="21" t="str"/>
    </x:row>
    <x:row r="170" ht="31.5" customHeight="1">
      <x:c r="A170" s="3" t="str">
        <x:v>DQ06</x:v>
      </x:c>
      <x:c r="B170" s="3" t="str">
        <x:v>—</x:v>
      </x:c>
      <x:c r="C170" s="3" t="str">
        <x:v>보조</x:v>
      </x:c>
      <x:c r="D170" s="3" t="str">
        <x:v>개선조치 완결성(종합)</x:v>
      </x:c>
      <x:c r="E170" s="3" t="str">
        <x:v>경로 개념 보류</x:v>
      </x:c>
      <x:c r="F170" s="3" t="str">
        <x:v>우리 조직에서는 BCMS 개선조치가 지정된 종료 기준을 충족하여 종결된다.</x:v>
      </x:c>
      <x:c r="G170" s="3" t="str">
        <x:v>우리 조직에서는 훈련·평가·사고 결과가 개선과 재수정까지 완료된다.</x:v>
      </x:c>
      <x:c r="H170" s="3" t="str">
        <x:v>해당 없음</x:v>
      </x:c>
      <x:c r="I170" s="3" t="str">
        <x:v>연구자 제안</x:v>
      </x:c>
      <x:c r="J170" s="3" t="str">
        <x:v>개념 정의 및 검증계획 참조</x:v>
      </x:c>
      <x:c r="K170" s="3" t="str">
        <x:v>종합·역문항·주의 문항을 독립적인 외부타당도 근거로 간주하지 않음.</x:v>
      </x:c>
      <x:c r="L170" s="22"/>
      <x:c r="M170" s="22"/>
      <x:c r="N170" s="22"/>
      <x:c r="O170" s="22"/>
      <x:c r="P170" s="22"/>
      <x:c r="Q170" s="22"/>
      <x:c r="R170" s="23" t="str">
        <x:f>IF(COUNT(L170:Q170)=6,COUNTIF(L170:Q170,"&gt;=3")/6,"")</x:f>
      </x:c>
      <x:c r="S170" s="3" t="str">
        <x:f>IF(COUNT(L170:Q170)=6,"6인 평가 완료","평가 미완료")</x:f>
        <x:v>평가 미완료</x:v>
      </x:c>
      <x:c r="T170" s="21" t="str">
        <x:v>미검토</x:v>
      </x:c>
      <x:c r="U170" s="21" t="str"/>
    </x:row>
    <x:row r="171" ht="31.5" customHeight="1">
      <x:c r="A171" s="6" t="str">
        <x:v>DQ07</x:v>
      </x:c>
      <x:c r="B171" s="6" t="str">
        <x:v>—</x:v>
      </x:c>
      <x:c r="C171" s="6" t="str">
        <x:v>보조</x:v>
      </x:c>
      <x:c r="D171" s="6" t="str">
        <x:v>연결 품질(전반)</x:v>
      </x:c>
      <x:c r="E171" s="6" t="str">
        <x:v>종합 보조 후보</x:v>
      </x:c>
      <x:c r="F171" s="6" t="str">
        <x:v>전반적으로 우리 조직의 BC 프로세스들은 서로 잘 이어져 작동한다.</x:v>
      </x:c>
      <x:c r="G171" s="6" t="str">
        <x:v>전반적으로 우리 조직의 BC 프로세스들은 서로 잘 이어져 작동한다.</x:v>
      </x:c>
      <x:c r="H171" s="6" t="str">
        <x:v>해당 없음</x:v>
      </x:c>
      <x:c r="I171" s="6" t="str">
        <x:v>연구자 제안</x:v>
      </x:c>
      <x:c r="J171" s="6" t="str">
        <x:v>개념 정의 및 검증계획 참조</x:v>
      </x:c>
      <x:c r="K171" s="6" t="str">
        <x:v>종합·역문항·주의 문항을 독립적인 외부타당도 근거로 간주하지 않음.</x:v>
      </x:c>
      <x:c r="L171" s="21"/>
      <x:c r="M171" s="21"/>
      <x:c r="N171" s="21"/>
      <x:c r="O171" s="21"/>
      <x:c r="P171" s="21"/>
      <x:c r="Q171" s="21"/>
      <x:c r="R171" s="24" t="str">
        <x:f>IF(COUNT(L171:Q171)=6,COUNTIF(L171:Q171,"&gt;=3")/6,"")</x:f>
      </x:c>
      <x:c r="S171" s="6" t="str">
        <x:f>IF(COUNT(L171:Q171)=6,"6인 평가 완료","평가 미완료")</x:f>
        <x:v>평가 미완료</x:v>
      </x:c>
      <x:c r="T171" s="21" t="str">
        <x:v>미검토</x:v>
      </x:c>
      <x:c r="U171" s="21" t="str"/>
    </x:row>
    <x:row r="172" ht="39" customHeight="1">
      <x:c r="A172" s="3" t="str">
        <x:v>RV1</x:v>
      </x:c>
      <x:c r="B172" s="3" t="str">
        <x:v>—</x:v>
      </x:c>
      <x:c r="C172" s="3" t="str">
        <x:v>보조</x:v>
      </x:c>
      <x:c r="D172" s="3" t="str">
        <x:v>역문항(정합성 대응)</x:v>
      </x:c>
      <x:c r="E172" s="3" t="str">
        <x:v>응답 검토 보조</x:v>
      </x:c>
      <x:c r="F172" s="3" t="str">
        <x:v>우리 조직에서는 프로세스마다 서로 다른 전제나 수치를 써서 결과가 서로 어긋나는 경우가 많다.</x:v>
      </x:c>
      <x:c r="G172" s="3" t="str">
        <x:v>우리 조직에서는 프로세스마다 서로 다른 전제나 수치를 써서 결과가 서로 어긋나는 경우가 많다.</x:v>
      </x:c>
      <x:c r="H172" s="3" t="str">
        <x:v>해당 없음</x:v>
      </x:c>
      <x:c r="I172" s="3" t="str">
        <x:v>연구자 제안</x:v>
      </x:c>
      <x:c r="J172" s="3" t="str">
        <x:v>개념 정의 및 검증계획 참조</x:v>
      </x:c>
      <x:c r="K172" s="3" t="str">
        <x:v>종합·역문항·주의 문항을 독립적인 외부타당도 근거로 간주하지 않음.</x:v>
      </x:c>
      <x:c r="L172" s="21"/>
      <x:c r="M172" s="21"/>
      <x:c r="N172" s="21"/>
      <x:c r="O172" s="21"/>
      <x:c r="P172" s="21"/>
      <x:c r="Q172" s="21"/>
      <x:c r="R172" s="23" t="str">
        <x:f>IF(COUNT(L172:Q172)=6,COUNTIF(L172:Q172,"&gt;=3")/6,"")</x:f>
      </x:c>
      <x:c r="S172" s="3" t="str">
        <x:f>IF(COUNT(L172:Q172)=6,"6인 평가 완료","평가 미완료")</x:f>
        <x:v>평가 미완료</x:v>
      </x:c>
      <x:c r="T172" s="21" t="str">
        <x:v>미검토</x:v>
      </x:c>
      <x:c r="U172" s="21" t="str"/>
    </x:row>
    <x:row r="173" ht="39" customHeight="1">
      <x:c r="A173" s="6" t="str">
        <x:v>RV2</x:v>
      </x:c>
      <x:c r="B173" s="6" t="str">
        <x:v>—</x:v>
      </x:c>
      <x:c r="C173" s="6" t="str">
        <x:v>보조</x:v>
      </x:c>
      <x:c r="D173" s="6" t="str">
        <x:v>역문항(근거 추적가능성 대응)</x:v>
      </x:c>
      <x:c r="E173" s="6" t="str">
        <x:v>응답 검토 보조</x:v>
      </x:c>
      <x:c r="F173" s="6" t="str">
        <x:v>우리 조직에서는 후행 결과의 근거가 된 선행 산출물을 찾지 못하는 경우가 많다.</x:v>
      </x:c>
      <x:c r="G173" s="6" t="str">
        <x:v>우리 조직에서는 후행 결과의 근거가 된 선행 산출물을 찾지 못하는 경우가 많다.</x:v>
      </x:c>
      <x:c r="H173" s="6" t="str">
        <x:v>해당 없음</x:v>
      </x:c>
      <x:c r="I173" s="6" t="str">
        <x:v>연구자 제안</x:v>
      </x:c>
      <x:c r="J173" s="6" t="str">
        <x:v>개념 정의 및 검증계획 참조</x:v>
      </x:c>
      <x:c r="K173" s="6" t="str">
        <x:v>종합·역문항·주의 문항을 독립적인 외부타당도 근거로 간주하지 않음.</x:v>
      </x:c>
      <x:c r="L173" s="21"/>
      <x:c r="M173" s="21"/>
      <x:c r="N173" s="21"/>
      <x:c r="O173" s="21"/>
      <x:c r="P173" s="21"/>
      <x:c r="Q173" s="21"/>
      <x:c r="R173" s="24" t="str">
        <x:f>IF(COUNT(L173:Q173)=6,COUNTIF(L173:Q173,"&gt;=3")/6,"")</x:f>
      </x:c>
      <x:c r="S173" s="6" t="str">
        <x:f>IF(COUNT(L173:Q173)=6,"6인 평가 완료","평가 미완료")</x:f>
        <x:v>평가 미완료</x:v>
      </x:c>
      <x:c r="T173" s="21" t="str">
        <x:v>미검토</x:v>
      </x:c>
      <x:c r="U173" s="21" t="str"/>
    </x:row>
    <x:row r="174" ht="39" customHeight="1">
      <x:c r="A174" s="3" t="str">
        <x:v>RV3</x:v>
      </x:c>
      <x:c r="B174" s="3" t="str">
        <x:v>—</x:v>
      </x:c>
      <x:c r="C174" s="3" t="str">
        <x:v>보조</x:v>
      </x:c>
      <x:c r="D174" s="3" t="str">
        <x:v>역문항(변경전파 적시성 대응)</x:v>
      </x:c>
      <x:c r="E174" s="3" t="str">
        <x:v>응답 검토 보조</x:v>
      </x:c>
      <x:c r="F174" s="3" t="str">
        <x:v>우리 조직에서는 문서가 개정되어도 관련 프로세스의 문서에는 한참 뒤에야 반영되는 경우가 많다.</x:v>
      </x:c>
      <x:c r="G174" s="3" t="str">
        <x:v>우리 조직에서는 문서가 개정되어도 관련 프로세스의 문서에는 한참 뒤에야 반영되는 경우가 많다.</x:v>
      </x:c>
      <x:c r="H174" s="3" t="str">
        <x:v>해당 없음</x:v>
      </x:c>
      <x:c r="I174" s="3" t="str">
        <x:v>연구자 제안</x:v>
      </x:c>
      <x:c r="J174" s="3" t="str">
        <x:v>개념 정의 및 검증계획 참조</x:v>
      </x:c>
      <x:c r="K174" s="3" t="str">
        <x:v>종합·역문항·주의 문항을 독립적인 외부타당도 근거로 간주하지 않음.</x:v>
      </x:c>
      <x:c r="L174" s="21"/>
      <x:c r="M174" s="21"/>
      <x:c r="N174" s="21"/>
      <x:c r="O174" s="21"/>
      <x:c r="P174" s="21"/>
      <x:c r="Q174" s="21"/>
      <x:c r="R174" s="23" t="str">
        <x:f>IF(COUNT(L174:Q174)=6,COUNTIF(L174:Q174,"&gt;=3")/6,"")</x:f>
      </x:c>
      <x:c r="S174" s="3" t="str">
        <x:f>IF(COUNT(L174:Q174)=6,"6인 평가 완료","평가 미완료")</x:f>
        <x:v>평가 미완료</x:v>
      </x:c>
      <x:c r="T174" s="21" t="str">
        <x:v>미검토</x:v>
      </x:c>
      <x:c r="U174" s="21" t="str"/>
    </x:row>
    <x:row r="175" ht="39" customHeight="1">
      <x:c r="A175" s="6" t="str">
        <x:v>RV4</x:v>
      </x:c>
      <x:c r="B175" s="6" t="str">
        <x:v>—</x:v>
      </x:c>
      <x:c r="C175" s="6" t="str">
        <x:v>보조</x:v>
      </x:c>
      <x:c r="D175" s="6" t="str">
        <x:v>역문항(개선조치 완결성 대응)</x:v>
      </x:c>
      <x:c r="E175" s="6" t="str">
        <x:v>응답 검토 보조</x:v>
      </x:c>
      <x:c r="F175" s="6" t="str">
        <x:v>우리 조직에서는 연습·감사에서 나온 개선 사항이 완료 확인 없이 방치되는 경우가 많다.</x:v>
      </x:c>
      <x:c r="G175" s="6" t="str">
        <x:v>우리 조직에서는 연습·감사에서 나온 개선 사항이 완료 확인 없이 방치되는 경우가 많다.</x:v>
      </x:c>
      <x:c r="H175" s="6" t="str">
        <x:v>해당 없음</x:v>
      </x:c>
      <x:c r="I175" s="6" t="str">
        <x:v>연구자 제안</x:v>
      </x:c>
      <x:c r="J175" s="6" t="str">
        <x:v>개념 정의 및 검증계획 참조</x:v>
      </x:c>
      <x:c r="K175" s="6" t="str">
        <x:v>종합·역문항·주의 문항을 독립적인 외부타당도 근거로 간주하지 않음.</x:v>
      </x:c>
      <x:c r="L175" s="21"/>
      <x:c r="M175" s="21"/>
      <x:c r="N175" s="21"/>
      <x:c r="O175" s="21"/>
      <x:c r="P175" s="21"/>
      <x:c r="Q175" s="21"/>
      <x:c r="R175" s="24" t="str">
        <x:f>IF(COUNT(L175:Q175)=6,COUNTIF(L175:Q175,"&gt;=3")/6,"")</x:f>
      </x:c>
      <x:c r="S175" s="6" t="str">
        <x:f>IF(COUNT(L175:Q175)=6,"6인 평가 완료","평가 미완료")</x:f>
        <x:v>평가 미완료</x:v>
      </x:c>
      <x:c r="T175" s="21" t="str">
        <x:v>미검토</x:v>
      </x:c>
      <x:c r="U175" s="21" t="str"/>
    </x:row>
    <x:row r="176" ht="31.5" customHeight="1">
      <x:c r="A176" s="3" t="str">
        <x:v>AC1</x:v>
      </x:c>
      <x:c r="B176" s="3" t="str">
        <x:v>—</x:v>
      </x:c>
      <x:c r="C176" s="3" t="str">
        <x:v>보조</x:v>
      </x:c>
      <x:c r="D176" s="3" t="str">
        <x:v>주의확인</x:v>
      </x:c>
      <x:c r="E176" s="3" t="str">
        <x:v>응답 검토 보조</x:v>
      </x:c>
      <x:c r="F176" s="3" t="str">
        <x:v>이 문항에서는 응답 4번을 선택해 주십시오.</x:v>
      </x:c>
      <x:c r="G176" s="3" t="str">
        <x:v>이 문항에서는 응답 4번을 선택해 주십시오.</x:v>
      </x:c>
      <x:c r="H176" s="3" t="str">
        <x:v>해당 없음</x:v>
      </x:c>
      <x:c r="I176" s="3" t="str">
        <x:v>연구자 제안</x:v>
      </x:c>
      <x:c r="J176" s="3" t="str">
        <x:v>개념 정의 및 검증계획 참조</x:v>
      </x:c>
      <x:c r="K176" s="3" t="str">
        <x:v>종합·역문항·주의 문항을 독립적인 외부타당도 근거로 간주하지 않음.</x:v>
      </x:c>
      <x:c r="L176" s="21"/>
      <x:c r="M176" s="21"/>
      <x:c r="N176" s="21"/>
      <x:c r="O176" s="21"/>
      <x:c r="P176" s="21"/>
      <x:c r="Q176" s="21"/>
      <x:c r="R176" s="23" t="str">
        <x:f>IF(COUNT(L176:Q176)=6,COUNTIF(L176:Q176,"&gt;=3")/6,"")</x:f>
      </x:c>
      <x:c r="S176" s="3" t="str">
        <x:f>IF(COUNT(L176:Q176)=6,"6인 평가 완료","평가 미완료")</x:f>
        <x:v>평가 미완료</x:v>
      </x:c>
      <x:c r="T176" s="21" t="str">
        <x:v>미검토</x:v>
      </x:c>
      <x:c r="U176" s="21" t="str"/>
    </x:row>
    <x:row r="177" ht="39" customHeight="1">
      <x:c r="A177" s="6" t="str">
        <x:v>CR1</x:v>
      </x:c>
      <x:c r="B177" s="6" t="str">
        <x:v>—</x:v>
      </x:c>
      <x:c r="C177" s="6" t="str">
        <x:v>보조</x:v>
      </x:c>
      <x:c r="D177" s="6" t="str">
        <x:v>준거</x:v>
      </x:c>
      <x:c r="E177" s="6" t="str">
        <x:v>외부준거 후보</x:v>
      </x:c>
      <x:c r="F177" s="6" t="str">
        <x:v>중단 사건이 발생해도 우리 조직의 BCMS가 효과적으로 대응할 수 있다고 확신한다.</x:v>
      </x:c>
      <x:c r="G177" s="6" t="str">
        <x:v>중단 사건이 발생해도 우리 조직의 BCMS가 효과적으로 대응할 수 있다고 확신한다.</x:v>
      </x:c>
      <x:c r="H177" s="6" t="str">
        <x:v>해당 없음</x:v>
      </x:c>
      <x:c r="I177" s="6" t="str">
        <x:v>연구자 제안</x:v>
      </x:c>
      <x:c r="J177" s="6" t="str">
        <x:v>개념 정의 및 검증계획 참조</x:v>
      </x:c>
      <x:c r="K177" s="6" t="str">
        <x:v>종합·역문항·주의 문항을 독립적인 외부타당도 근거로 간주하지 않음. 자기보고 준거 후보이며 독립·객관 준거가 확보된 상태가 아님.</x:v>
      </x:c>
      <x:c r="L177" s="21"/>
      <x:c r="M177" s="21"/>
      <x:c r="N177" s="21"/>
      <x:c r="O177" s="21"/>
      <x:c r="P177" s="21"/>
      <x:c r="Q177" s="21"/>
      <x:c r="R177" s="24" t="str">
        <x:f>IF(COUNT(L177:Q177)=6,COUNTIF(L177:Q177,"&gt;=3")/6,"")</x:f>
      </x:c>
      <x:c r="S177" s="6" t="str">
        <x:f>IF(COUNT(L177:Q177)=6,"6인 평가 완료","평가 미완료")</x:f>
        <x:v>평가 미완료</x:v>
      </x:c>
      <x:c r="T177" s="21" t="str">
        <x:v>미검토</x:v>
      </x:c>
      <x:c r="U177" s="21" t="str"/>
    </x:row>
    <x:row r="178" ht="39" customHeight="1">
      <x:c r="A178" s="3" t="str">
        <x:v>CR2</x:v>
      </x:c>
      <x:c r="B178" s="3" t="str">
        <x:v>—</x:v>
      </x:c>
      <x:c r="C178" s="3" t="str">
        <x:v>보조</x:v>
      </x:c>
      <x:c r="D178" s="3" t="str">
        <x:v>준거</x:v>
      </x:c>
      <x:c r="E178" s="3" t="str">
        <x:v>외부준거 후보</x:v>
      </x:c>
      <x:c r="F178" s="3" t="str">
        <x:v>우리 조직은 최근 사고 또는 연습에서 사전에 정한 복구목표를 달성했다.</x:v>
      </x:c>
      <x:c r="G178" s="3" t="str">
        <x:v>최근 사고 또는 연습에서 복구목표를 달성했다.</x:v>
      </x:c>
      <x:c r="H178" s="3" t="str">
        <x:v>해당 없음</x:v>
      </x:c>
      <x:c r="I178" s="3" t="str">
        <x:v>연구자 제안</x:v>
      </x:c>
      <x:c r="J178" s="3" t="str">
        <x:v>개념 정의 및 검증계획 참조</x:v>
      </x:c>
      <x:c r="K178" s="3" t="str">
        <x:v>사건 유형·시점·사전 목표·검증 기록을 추가 수집. ORAS와 구별되는 준거인지 검토. 자기보고 준거 후보이며 독립·객관 준거가 확보된 상태가 아님.</x:v>
      </x:c>
      <x:c r="L178" s="21"/>
      <x:c r="M178" s="21"/>
      <x:c r="N178" s="21"/>
      <x:c r="O178" s="21"/>
      <x:c r="P178" s="21"/>
      <x:c r="Q178" s="21"/>
      <x:c r="R178" s="23" t="str">
        <x:f>IF(COUNT(L178:Q178)=6,COUNTIF(L178:Q178,"&gt;=3")/6,"")</x:f>
      </x:c>
      <x:c r="S178" s="3" t="str">
        <x:f>IF(COUNT(L178:Q178)=6,"6인 평가 완료","평가 미완료")</x:f>
        <x:v>평가 미완료</x:v>
      </x:c>
      <x:c r="T178" s="21" t="str">
        <x:v>미검토</x:v>
      </x:c>
      <x:c r="U178" s="21" t="str"/>
    </x:row>
    <x:row r="179" ht="39" customHeight="1">
      <x:c r="A179" s="6" t="str">
        <x:v>CR3</x:v>
      </x:c>
      <x:c r="B179" s="6" t="str">
        <x:v>—</x:v>
      </x:c>
      <x:c r="C179" s="6" t="str">
        <x:v>보조</x:v>
      </x:c>
      <x:c r="D179" s="6" t="str">
        <x:v>준거</x:v>
      </x:c>
      <x:c r="E179" s="6" t="str">
        <x:v>외부준거 후보</x:v>
      </x:c>
      <x:c r="F179" s="6" t="str">
        <x:v>BC 투자의 가치를 경영진·이해관계자에게 설명할 수 있다.</x:v>
      </x:c>
      <x:c r="G179" s="6" t="str">
        <x:v>BC 투자의 가치를 경영진·이해관계자에게 설명할 수 있다.</x:v>
      </x:c>
      <x:c r="H179" s="6" t="str">
        <x:v>해당 없음</x:v>
      </x:c>
      <x:c r="I179" s="6" t="str">
        <x:v>연구자 제안</x:v>
      </x:c>
      <x:c r="J179" s="6" t="str">
        <x:v>개념 정의 및 검증계획 참조</x:v>
      </x:c>
      <x:c r="K179" s="6" t="str">
        <x:v>종합·역문항·주의 문항을 독립적인 외부타당도 근거로 간주하지 않음. 자기보고 준거 후보이며 독립·객관 준거가 확보된 상태가 아님.</x:v>
      </x:c>
      <x:c r="L179" s="21"/>
      <x:c r="M179" s="21"/>
      <x:c r="N179" s="21"/>
      <x:c r="O179" s="21"/>
      <x:c r="P179" s="21"/>
      <x:c r="Q179" s="21"/>
      <x:c r="R179" s="24" t="str">
        <x:f>IF(COUNT(L179:Q179)=6,COUNTIF(L179:Q179,"&gt;=3")/6,"")</x:f>
      </x:c>
      <x:c r="S179" s="6" t="str">
        <x:f>IF(COUNT(L179:Q179)=6,"6인 평가 완료","평가 미완료")</x:f>
        <x:v>평가 미완료</x:v>
      </x:c>
      <x:c r="T179" s="21" t="str">
        <x:v>미검토</x:v>
      </x:c>
      <x:c r="U179" s="21" t="str"/>
    </x:row>
    <x:row r="180" ht="39" customHeight="1">
      <x:c r="A180" s="3" t="str">
        <x:v>CR4</x:v>
      </x:c>
      <x:c r="B180" s="3" t="str">
        <x:v>—</x:v>
      </x:c>
      <x:c r="C180" s="3" t="str">
        <x:v>보조</x:v>
      </x:c>
      <x:c r="D180" s="3" t="str">
        <x:v>준거(역)</x:v>
      </x:c>
      <x:c r="E180" s="3" t="str">
        <x:v>외부준거 후보</x:v>
      </x:c>
      <x:c r="F180" s="3" t="str">
        <x:v>감사나 경영진 검토에서 같은 BCMS 지적사항이 반복된다.</x:v>
      </x:c>
      <x:c r="G180" s="3" t="str">
        <x:v>감사나 경영진 검토에서 같은 BCMS 지적사항이 반복된다.</x:v>
      </x:c>
      <x:c r="H180" s="3" t="str">
        <x:v>해당 없음</x:v>
      </x:c>
      <x:c r="I180" s="3" t="str">
        <x:v>연구자 제안</x:v>
      </x:c>
      <x:c r="J180" s="3" t="str">
        <x:v>개념 정의 및 검증계획 참조</x:v>
      </x:c>
      <x:c r="K180" s="3" t="str">
        <x:v>종합·역문항·주의 문항을 독립적인 외부타당도 근거로 간주하지 않음. 자기보고 준거 후보이며 독립·객관 준거가 확보된 상태가 아님.</x:v>
      </x:c>
      <x:c r="L180" s="21"/>
      <x:c r="M180" s="21"/>
      <x:c r="N180" s="21"/>
      <x:c r="O180" s="21"/>
      <x:c r="P180" s="21"/>
      <x:c r="Q180" s="21"/>
      <x:c r="R180" s="23" t="str">
        <x:f>IF(COUNT(L180:Q180)=6,COUNTIF(L180:Q180,"&gt;=3")/6,"")</x:f>
      </x:c>
      <x:c r="S180" s="3" t="str">
        <x:f>IF(COUNT(L180:Q180)=6,"6인 평가 완료","평가 미완료")</x:f>
        <x:v>평가 미완료</x:v>
      </x:c>
      <x:c r="T180" s="21" t="str">
        <x:v>미검토</x:v>
      </x:c>
      <x:c r="U180" s="21" t="str"/>
    </x:row>
  </x:sheetData>
  <x:dataValidations count="2">
    <x:dataValidation type="whole" operator="between" sqref="L2:Q180">
      <x:formula1>1</x:formula1>
      <x:formula2>4</x:formula2>
    </x:dataValidation>
    <x:dataValidation type="list" sqref="T2:T180">
      <x:formula1>"미검토,유지,수정,삭제,보류"</x:formula1>
    </x:dataValidation>
  </x:dataValidations>
  <x:pageMargins left="0.7" right="0.7" top="0.75" bottom="0.75" header="0.3" footer="0.3"/>
  <x:tableParts count="1">
    <x:tablePart xmlns:r="http://schemas.openxmlformats.org/officeDocument/2006/relationships" r:id="R1d0e7fa28d5942fd"/>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4399995803833" hidden="0" customWidth="1"/>
    <x:col min="2" max="2" width="24.440000534057617" hidden="0" customWidth="1"/>
    <x:col min="3" max="3" width="20" hidden="0" customWidth="1"/>
    <x:col min="4" max="4" width="66.66999816894531" hidden="0" customWidth="1"/>
    <x:col min="5" max="5" width="38.88999938964844" hidden="0" customWidth="1"/>
    <x:col min="6" max="6" width="66.66999816894531" hidden="0" customWidth="1"/>
    <x:col min="7" max="7" width="57.779998779296875" hidden="0" customWidth="1"/>
  </x:cols>
  <x:sheetData>
    <x:row r="1" ht="37.5" customHeight="1">
      <x:c r="A1" s="5" t="str">
        <x:v>코드</x:v>
      </x:c>
      <x:c r="B1" s="5" t="str">
        <x:v>수정 개념</x:v>
      </x:c>
      <x:c r="C1" s="5" t="str">
        <x:v>검토 역할</x:v>
      </x:c>
      <x:c r="D1" s="5" t="str">
        <x:v>조작적 정의 후보</x:v>
      </x:c>
      <x:c r="E1" s="5" t="str">
        <x:v>출처·위치</x:v>
      </x:c>
      <x:c r="F1" s="5" t="str">
        <x:v>원문이 말하는 범위</x:v>
      </x:c>
      <x:c r="G1" s="5" t="str">
        <x:v>전이·한계</x:v>
      </x:c>
    </x:row>
    <x:row r="2" ht="39" customHeight="1">
      <x:c r="A2" s="3" t="str">
        <x:v>CO</x:v>
      </x:c>
      <x:c r="B2" s="3" t="str">
        <x:v>정합성</x:v>
      </x:c>
      <x:c r="C2" s="3" t="str">
        <x:v>연결 품질 후보</x:v>
      </x:c>
      <x:c r="D2" s="3" t="str">
        <x:v>연결된 산출물과 후속 사용 내용 중 서로 대응해야 하는 기준·수치·전제가 모순되지 않는 정도. 내용 전체의 동일성을 뜻하지 않는다.</x:v>
      </x:c>
      <x:c r="E2" s="3" t="str">
        <x:v>A12·A14·A16; S06</x:v>
      </x:c>
      <x:c r="F2" s="3" t="str">
        <x:v>S06 저자기관 초록에서 요구사항 일관성과 검증 논의 확인. 본문 미확인. S03의 표현 일관성은 동일한 형식의 표현이므로 의미적 정합성과 구별.</x:v>
      </x:c>
      <x:c r="G2" s="3" t="str">
        <x:v>BCMS 산출물 간 적용은 연구자 확장. 확정 요인 아님.</x:v>
      </x:c>
    </x:row>
    <x:row r="3" ht="39" customHeight="1">
      <x:c r="A3" s="6" t="str">
        <x:v>TR</x:v>
      </x:c>
      <x:c r="B3" s="6" t="str">
        <x:v>근거 추적가능성</x:v>
      </x:c>
      <x:c r="C3" s="6" t="str">
        <x:v>연결 품질 후보</x:v>
      </x:c>
      <x:c r="D3" s="6" t="str">
        <x:v>후속 산출물에서 해당 연결에 사용한 선행 근거의 식별자·위치를 찾을 수 있는 정도. 현재 문항은 후방 추적을 묻는다.</x:v>
      </x:c>
      <x:c r="E3" s="6" t="str">
        <x:v>S01 §5.1 PDF p.4 저널 pp.94–101</x:v>
      </x:c>
      <x:c r="F3" s="6" t="str">
        <x:v>Gotel·Finkelstein의 추적성은 전방·후방 생애 추적을 포함. 현 문항은 그 중 후방 근거 추적만을 조작화.</x:v>
      </x:c>
      <x:c r="G3" s="6" t="str">
        <x:v>소프트웨어 요구사항에서 BCMS로 전이. 전방 추적을 추가할지 Gate 2에서 판단.</x:v>
      </x:c>
    </x:row>
    <x:row r="4" ht="39" customHeight="1">
      <x:c r="A4" s="3" t="str">
        <x:v>EV</x:v>
      </x:c>
      <x:c r="B4" s="3" t="str">
        <x:v>연결 증빙가능성</x:v>
      </x:c>
      <x:c r="C4" s="3" t="str">
        <x:v>연결 품질 후보</x:v>
      </x:c>
      <x:c r="D4" s="3" t="str">
        <x:v>선행 산출물이 후속 프로세스에서 실제 사용·평가된 사실을 검증할 수 있는 기록이 존재하는 정도.</x:v>
      </x:c>
      <x:c r="E4" s="3" t="str">
        <x:v>B17 PDF p.6; A13·A37</x:v>
      </x:c>
      <x:c r="F4" s="3" t="str">
        <x:v>Białas는 훈련 결과·기록의 인증 증거 역할을 설명. 연결 전체에 대한 차원은 제시하지 않음.</x:v>
      </x:c>
      <x:c r="G4" s="3" t="str">
        <x:v>문서의 단순 보유와 구별. TR은 근거 위치, EV는 실제 사용 사실의 증거. 중복 검토 필요.</x:v>
      </x:c>
    </x:row>
    <x:row r="5" ht="39" customHeight="1">
      <x:c r="A5" s="6" t="str">
        <x:v>AC</x:v>
      </x:c>
      <x:c r="B5" s="6" t="str">
        <x:v>연결 책임명확성</x:v>
      </x:c>
      <x:c r="C5" s="6" t="str">
        <x:v>관리조건 후보</x:v>
      </x:c>
      <x:c r="D5" s="6" t="str">
        <x:v>두 프로세스 사이의 전달·조정에 책임을 지는 담당 역할 또는 부서가 명확한 정도.</x:v>
      </x:c>
      <x:c r="E5" s="6" t="str">
        <x:v>A49·A50; S07 출판사 초록</x:v>
      </x:c>
      <x:c r="F5" s="6" t="str">
        <x:v>Arias는 프로세스 전체 책임을 설명. Bovens의 accountability는 설명·정당화 의무와 질문·판단·결과 부담을 포함하므로 담당 지정과 다름.</x:v>
      </x:c>
      <x:c r="G5" s="6" t="str">
        <x:v>Accountability의 번역 척도로 인용하지 않는다. 품질의 구성 차원인지 선행조건인지 별도 판단.</x:v>
      </x:c>
    </x:row>
    <x:row r="6" ht="39" customHeight="1">
      <x:c r="A6" s="3" t="str">
        <x:v>TM</x:v>
      </x:c>
      <x:c r="B6" s="3" t="str">
        <x:v>변경전파 적시성</x:v>
      </x:c>
      <x:c r="C6" s="3" t="str">
        <x:v>연결 품질 후보</x:v>
      </x:c>
      <x:c r="D6" s="3" t="str">
        <x:v>연결에 영향을 주는 선행 정보의 변경이 후속 업무에 필요한 시점 이전에 전달·처리되는 정도.</x:v>
      </x:c>
      <x:c r="E6" s="3" t="str">
        <x:v>S04 PDF pp.4–5 저널 pp.214–215; A27·A28·A41</x:v>
      </x:c>
      <x:c r="F6" s="3" t="str">
        <x:v>Pipino 등은 과업과 관련된 데이터의 적시성과 currency를 구분해 논의. 변경 전달기한 자체는 BCMS 적용을 위한 연구자 정의.</x:v>
      </x:c>
      <x:c r="G6" s="3" t="str">
        <x:v>정보의 오래됨만 묻는 최신성과 구별. 변경 없음은 별도 코드. 보편적인 고정 기한을 가정하지 않는다.</x:v>
      </x:c>
    </x:row>
    <x:row r="7" ht="39" customHeight="1">
      <x:c r="A7" s="6" t="str">
        <x:v>FC</x:v>
      </x:c>
      <x:c r="B7" s="6" t="str">
        <x:v>개선조치 완결성</x:v>
      </x:c>
      <x:c r="C7" s="6" t="str">
        <x:v>경로 수준 후보</x:v>
      </x:c>
      <x:c r="D7" s="6" t="str">
        <x:v>평가·훈련·사고에서 시작한 개선조치가 지정된 종료 기준을 충족하여 종결되는 정도.</x:v>
      </x:c>
      <x:c r="E7" s="6" t="str">
        <x:v>A23·A25·A29; 추가 직접 근거 필요</x:v>
      </x:c>
      <x:c r="F7" s="6" t="str">
        <x:v>Arias는 평가 결과의 개선 활용을 설명하지만 조치 완료까지의 닫힌 순환을 실증하지 않음. S08은 차원 정의의 직접 근거에서 제외.</x:v>
      </x:c>
      <x:c r="G7" s="6" t="str">
        <x:v>단일 연결보다 여러 연결을 잇는 경로의 상태. 8개 문항은 경로 지정·종료 기준 보강 전까지 개념 보류.</x:v>
      </x:c>
    </x:row>
  </x:sheetData>
  <x:pageMargins left="0.7" right="0.7" top="0.75" bottom="0.75" header="0.3" footer="0.3"/>
  <x:tableParts count="1">
    <x:tablePart xmlns:r="http://schemas.openxmlformats.org/officeDocument/2006/relationships" r:id="Rc25c4914d4874668"/>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890000343322754" hidden="0" customWidth="1"/>
    <x:col min="2" max="2" width="28.889999389648438" hidden="0" customWidth="1"/>
    <x:col min="3" max="3" width="65.55999755859375" hidden="0" customWidth="1"/>
    <x:col min="4" max="4" width="10" hidden="0" customWidth="1"/>
    <x:col min="5" max="5" width="11.109999656677246" hidden="0" customWidth="1"/>
    <x:col min="6" max="6" width="16.670000076293945" hidden="0" customWidth="1"/>
    <x:col min="7" max="7" width="14.4399995803833" hidden="0" customWidth="1"/>
    <x:col min="8" max="8" width="21.110000610351562" hidden="0" customWidth="1"/>
    <x:col min="9" max="9" width="48.88999938964844" hidden="0" customWidth="1"/>
    <x:col min="10" max="10" width="50" hidden="0" customWidth="1"/>
  </x:cols>
  <x:sheetData>
    <x:row r="1" ht="37.5" customHeight="1">
      <x:c r="A1" s="5" t="str">
        <x:v>ID</x:v>
      </x:c>
      <x:c r="B1" s="5" t="str">
        <x:v>한국어</x:v>
      </x:c>
      <x:c r="C1" s="5" t="str">
        <x:v>Arias Table 5 원명</x:v>
      </x:c>
      <x:c r="D1" s="5" t="str">
        <x:v>원문 범주</x:v>
      </x:c>
      <x:c r="E1" s="5" t="str">
        <x:v>PDCA</x:v>
      </x:c>
      <x:c r="F1" s="5" t="str">
        <x:v>재난관리 주기</x:v>
      </x:c>
      <x:c r="G1" s="5" t="str">
        <x:v>전문가 지명률 %</x:v>
      </x:c>
      <x:c r="H1" s="5" t="str">
        <x:v>원자료 분류</x:v>
      </x:c>
      <x:c r="I1" s="5" t="str">
        <x:v>대표 산출물 연구자 제안</x:v>
      </x:c>
      <x:c r="J1" s="5" t="str">
        <x:v>기준 출처</x:v>
      </x:c>
    </x:row>
    <x:row r="2" ht="39" customHeight="1">
      <x:c r="A2" s="3" t="str">
        <x:v>GOV</x:v>
      </x:c>
      <x:c r="B2" s="3" t="str">
        <x:v>BC 거버넌스</x:v>
      </x:c>
      <x:c r="C2" s="3" t="str">
        <x:v>Business continuity governance process</x:v>
      </x:c>
      <x:c r="D2" s="3" t="str">
        <x:v>관리</x:v>
      </x:c>
      <x:c r="E2" s="3" t="str">
        <x:v>-</x:v>
      </x:c>
      <x:c r="F2" s="3" t="str">
        <x:v>-</x:v>
      </x:c>
      <x:c r="G2" s="3" t="n">
        <x:v>90</x:v>
      </x:c>
      <x:c r="H2" s="3" t="str">
        <x:v>범주 1 (채택)</x:v>
      </x:c>
      <x:c r="I2" s="3" t="str">
        <x:v>경영진 검토 결과</x:v>
      </x:c>
      <x:c r="J2" s="3" t="str">
        <x:v>Arias PDF p.14 Table 5. 지명률은 pp.11–13 참고 정보이며 관계 타당도 점수가 아님.</x:v>
      </x:c>
    </x:row>
    <x:row r="3" ht="39" customHeight="1">
      <x:c r="A3" s="6" t="str">
        <x:v>POL</x:v>
      </x:c>
      <x:c r="B3" s="6" t="str">
        <x:v>BC 정책관리</x:v>
      </x:c>
      <x:c r="C3" s="6" t="str">
        <x:v>Business continuity policy management process</x:v>
      </x:c>
      <x:c r="D3" s="6" t="str">
        <x:v>핵심</x:v>
      </x:c>
      <x:c r="E3" s="6" t="str">
        <x:v>Plan</x:v>
      </x:c>
      <x:c r="F3" s="6" t="str">
        <x:v>Mitigation</x:v>
      </x:c>
      <x:c r="G3" s="6" t="n">
        <x:v>87</x:v>
      </x:c>
      <x:c r="H3" s="6" t="str">
        <x:v>범주 1 (채택)</x:v>
      </x:c>
      <x:c r="I3" s="6" t="str">
        <x:v>BC 정책</x:v>
      </x:c>
      <x:c r="J3" s="6" t="str">
        <x:v>Arias PDF p.14 Table 5. 지명률은 pp.11–13 참고 정보이며 관계 타당도 점수가 아님.</x:v>
      </x:c>
    </x:row>
    <x:row r="4" ht="39" customHeight="1">
      <x:c r="A4" s="3" t="str">
        <x:v>REQ</x:v>
      </x:c>
      <x:c r="B4" s="3" t="str">
        <x:v>요구사항관리</x:v>
      </x:c>
      <x:c r="C4" s="3" t="str">
        <x:v>Requirements management process</x:v>
      </x:c>
      <x:c r="D4" s="3" t="str">
        <x:v>핵심</x:v>
      </x:c>
      <x:c r="E4" s="3" t="str">
        <x:v>Plan</x:v>
      </x:c>
      <x:c r="F4" s="3" t="str">
        <x:v>Mitigation</x:v>
      </x:c>
      <x:c r="G4" s="3" t="n">
        <x:v>74</x:v>
      </x:c>
      <x:c r="H4" s="3" t="str">
        <x:v>범주 2 (토론)</x:v>
      </x:c>
      <x:c r="I4" s="3" t="str">
        <x:v>법규·계약 요구사항 목록</x:v>
      </x:c>
      <x:c r="J4" s="3" t="str">
        <x:v>Arias PDF p.14 Table 5. 지명률은 pp.11–13 참고 정보이며 관계 타당도 점수가 아님.</x:v>
      </x:c>
    </x:row>
    <x:row r="5" ht="39" customHeight="1">
      <x:c r="A5" s="6" t="str">
        <x:v>BIA</x:v>
      </x:c>
      <x:c r="B5" s="6" t="str">
        <x:v>BIA·중요도 분석</x:v>
      </x:c>
      <x:c r="C5" s="6" t="str">
        <x:v>Business impact assessment and criticality analysis process</x:v>
      </x:c>
      <x:c r="D5" s="6" t="str">
        <x:v>핵심</x:v>
      </x:c>
      <x:c r="E5" s="6" t="str">
        <x:v>Plan</x:v>
      </x:c>
      <x:c r="F5" s="6" t="str">
        <x:v>Mitigation</x:v>
      </x:c>
      <x:c r="G5" s="6" t="n">
        <x:v>100</x:v>
      </x:c>
      <x:c r="H5" s="6" t="str">
        <x:v>범주 1 (채택)</x:v>
      </x:c>
      <x:c r="I5" s="6" t="str">
        <x:v>BIA 결과(문서화된 업무연속성 요구사항)</x:v>
      </x:c>
      <x:c r="J5" s="6" t="str">
        <x:v>Arias PDF p.14 Table 5. 지명률은 pp.11–13 참고 정보이며 관계 타당도 점수가 아님.</x:v>
      </x:c>
    </x:row>
    <x:row r="6" ht="39" customHeight="1">
      <x:c r="A6" s="3" t="str">
        <x:v>RA</x:v>
      </x:c>
      <x:c r="B6" s="3" t="str">
        <x:v>리스크평가</x:v>
      </x:c>
      <x:c r="C6" s="3" t="str">
        <x:v>Risk assessment process (for risks of disruption)</x:v>
      </x:c>
      <x:c r="D6" s="3" t="str">
        <x:v>핵심</x:v>
      </x:c>
      <x:c r="E6" s="3" t="str">
        <x:v>Plan</x:v>
      </x:c>
      <x:c r="F6" s="3" t="str">
        <x:v>Mitigation</x:v>
      </x:c>
      <x:c r="G6" s="3" t="n">
        <x:v>90</x:v>
      </x:c>
      <x:c r="H6" s="3" t="str">
        <x:v>범주 1 (채택)</x:v>
      </x:c>
      <x:c r="I6" s="3" t="str">
        <x:v>리스크 카탈로그</x:v>
      </x:c>
      <x:c r="J6" s="3" t="str">
        <x:v>Arias PDF p.14 Table 5. 지명률은 pp.11–13 참고 정보이며 관계 타당도 점수가 아님.</x:v>
      </x:c>
    </x:row>
    <x:row r="7" ht="39" customHeight="1">
      <x:c r="A7" s="6" t="str">
        <x:v>STR</x:v>
      </x:c>
      <x:c r="B7" s="6" t="str">
        <x:v>BC 전략·솔루션 결정·선정</x:v>
      </x:c>
      <x:c r="C7" s="6" t="str">
        <x:v>Process of determining and selecting BC strategies and solutions</x:v>
      </x:c>
      <x:c r="D7" s="6" t="str">
        <x:v>핵심</x:v>
      </x:c>
      <x:c r="E7" s="6" t="str">
        <x:v>Plan</x:v>
      </x:c>
      <x:c r="F7" s="6" t="str">
        <x:v>Mitigation</x:v>
      </x:c>
      <x:c r="G7" s="6" t="n">
        <x:v>74</x:v>
      </x:c>
      <x:c r="H7" s="6" t="str">
        <x:v>범주 2 (토론)</x:v>
      </x:c>
      <x:c r="I7" s="6" t="str">
        <x:v>선정된 BC 전략·솔루션</x:v>
      </x:c>
      <x:c r="J7" s="6" t="str">
        <x:v>Arias PDF p.14 Table 5. 지명률은 pp.11–13 참고 정보이며 관계 타당도 점수가 아님.</x:v>
      </x:c>
    </x:row>
    <x:row r="8" ht="39" customHeight="1">
      <x:c r="A8" s="3" t="str">
        <x:v>PLAN</x:v>
      </x:c>
      <x:c r="B8" s="3" t="str">
        <x:v>BC 계획·절차 개발</x:v>
      </x:c>
      <x:c r="C8" s="3" t="str">
        <x:v>Process of developing BC plans and procedures</x:v>
      </x:c>
      <x:c r="D8" s="3" t="str">
        <x:v>핵심</x:v>
      </x:c>
      <x:c r="E8" s="3" t="str">
        <x:v>Plan</x:v>
      </x:c>
      <x:c r="F8" s="3" t="str">
        <x:v>Mitigation</x:v>
      </x:c>
      <x:c r="G8" s="3" t="n">
        <x:v>69</x:v>
      </x:c>
      <x:c r="H8" s="3" t="str">
        <x:v>범주 2 (토론)</x:v>
      </x:c>
      <x:c r="I8" s="3" t="str">
        <x:v>BC 계획·절차</x:v>
      </x:c>
      <x:c r="J8" s="3" t="str">
        <x:v>Arias PDF p.14 Table 5. 지명률은 pp.11–13 참고 정보이며 관계 타당도 점수가 아님.</x:v>
      </x:c>
    </x:row>
    <x:row r="9" ht="39" customHeight="1">
      <x:c r="A9" s="6" t="str">
        <x:v>IMP</x:v>
      </x:c>
      <x:c r="B9" s="6" t="str">
        <x:v>솔루션 이행관리</x:v>
      </x:c>
      <x:c r="C9" s="6" t="str">
        <x:v>Solution implementation management process</x:v>
      </x:c>
      <x:c r="D9" s="6" t="str">
        <x:v>핵심</x:v>
      </x:c>
      <x:c r="E9" s="6" t="str">
        <x:v>Do</x:v>
      </x:c>
      <x:c r="F9" s="6" t="str">
        <x:v>Preparedness</x:v>
      </x:c>
      <x:c r="G9" s="6" t="n">
        <x:v>69</x:v>
      </x:c>
      <x:c r="H9" s="6" t="str">
        <x:v>범주 2 (토론)</x:v>
      </x:c>
      <x:c r="I9" s="6" t="str">
        <x:v>구현된 솔루션</x:v>
      </x:c>
      <x:c r="J9" s="6" t="str">
        <x:v>Arias PDF p.14 Table 5. 지명률은 pp.11–13 참고 정보이며 관계 타당도 점수가 아님.</x:v>
      </x:c>
    </x:row>
    <x:row r="10" ht="39" customHeight="1">
      <x:c r="A10" s="3" t="str">
        <x:v>INC</x:v>
      </x:c>
      <x:c r="B10" s="3" t="str">
        <x:v>사고·비상 대응</x:v>
      </x:c>
      <x:c r="C10" s="3" t="str">
        <x:v>Incident and emergency handling process</x:v>
      </x:c>
      <x:c r="D10" s="3" t="str">
        <x:v>핵심</x:v>
      </x:c>
      <x:c r="E10" s="3" t="str">
        <x:v>Do</x:v>
      </x:c>
      <x:c r="F10" s="3" t="str">
        <x:v>Response</x:v>
      </x:c>
      <x:c r="G10" s="3" t="n">
        <x:v>100</x:v>
      </x:c>
      <x:c r="H10" s="3" t="str">
        <x:v>범주 1 (채택)</x:v>
      </x:c>
      <x:c r="I10" s="3" t="str">
        <x:v>사고 대응 기록</x:v>
      </x:c>
      <x:c r="J10" s="3" t="str">
        <x:v>Arias PDF p.14 Table 5. 지명률은 pp.11–13 참고 정보이며 관계 타당도 점수가 아님.</x:v>
      </x:c>
    </x:row>
    <x:row r="11" ht="39" customHeight="1">
      <x:c r="A11" s="6" t="str">
        <x:v>EXE</x:v>
      </x:c>
      <x:c r="B11" s="6" t="str">
        <x:v>BC 계획·절차 훈련·연습</x:v>
      </x:c>
      <x:c r="C11" s="6" t="str">
        <x:v>Process of exercising BC plans and procedures</x:v>
      </x:c>
      <x:c r="D11" s="6" t="str">
        <x:v>핵심</x:v>
      </x:c>
      <x:c r="E11" s="6" t="str">
        <x:v>Do</x:v>
      </x:c>
      <x:c r="F11" s="6" t="str">
        <x:v>Preparedness</x:v>
      </x:c>
      <x:c r="G11" s="6" t="n">
        <x:v>100</x:v>
      </x:c>
      <x:c r="H11" s="6" t="str">
        <x:v>범주 1 (채택)</x:v>
      </x:c>
      <x:c r="I11" s="6" t="str">
        <x:v>연습 결과</x:v>
      </x:c>
      <x:c r="J11" s="6" t="str">
        <x:v>Arias PDF p.14 Table 5. 지명률은 pp.11–13 참고 정보이며 관계 타당도 점수가 아님.</x:v>
      </x:c>
    </x:row>
    <x:row r="12" ht="39" customHeight="1">
      <x:c r="A12" s="3" t="str">
        <x:v>AWR</x:v>
      </x:c>
      <x:c r="B12" s="3" t="str">
        <x:v>인식·역량·교육</x:v>
      </x:c>
      <x:c r="C12" s="3" t="str">
        <x:v>Awareness, competence, and training process</x:v>
      </x:c>
      <x:c r="D12" s="3" t="str">
        <x:v>핵심</x:v>
      </x:c>
      <x:c r="E12" s="3" t="str">
        <x:v>Do</x:v>
      </x:c>
      <x:c r="F12" s="3" t="str">
        <x:v>Preparedness</x:v>
      </x:c>
      <x:c r="G12" s="3" t="n">
        <x:v>95</x:v>
      </x:c>
      <x:c r="H12" s="3" t="str">
        <x:v>범주 1 (채택)</x:v>
      </x:c>
      <x:c r="I12" s="3" t="str">
        <x:v>교육 프로그램·기록</x:v>
      </x:c>
      <x:c r="J12" s="3" t="str">
        <x:v>Arias PDF p.14 Table 5. 지명률은 pp.11–13 참고 정보이며 관계 타당도 점수가 아님.</x:v>
      </x:c>
    </x:row>
    <x:row r="13" ht="39" customHeight="1">
      <x:c r="A13" s="6" t="str">
        <x:v>SUP</x:v>
      </x:c>
      <x:c r="B13" s="6" t="str">
        <x:v>공급망관리</x:v>
      </x:c>
      <x:c r="C13" s="6" t="str">
        <x:v>Supply chain management process</x:v>
      </x:c>
      <x:c r="D13" s="6" t="str">
        <x:v>핵심</x:v>
      </x:c>
      <x:c r="E13" s="6" t="str">
        <x:v>Do</x:v>
      </x:c>
      <x:c r="F13" s="6" t="str">
        <x:v>Preparedness</x:v>
      </x:c>
      <x:c r="G13" s="6" t="n">
        <x:v>90</x:v>
      </x:c>
      <x:c r="H13" s="6" t="str">
        <x:v>범주 1 (채택)</x:v>
      </x:c>
      <x:c r="I13" s="6" t="str">
        <x:v>공급업체 평가 결과</x:v>
      </x:c>
      <x:c r="J13" s="6" t="str">
        <x:v>Arias PDF p.14 Table 5. 지명률은 pp.11–13 참고 정보이며 관계 타당도 점수가 아님.</x:v>
      </x:c>
    </x:row>
    <x:row r="14" ht="39" customHeight="1">
      <x:c r="A14" s="3" t="str">
        <x:v>AUD</x:v>
      </x:c>
      <x:c r="B14" s="3" t="str">
        <x:v>내부감사</x:v>
      </x:c>
      <x:c r="C14" s="3" t="str">
        <x:v>Internal audit process</x:v>
      </x:c>
      <x:c r="D14" s="3" t="str">
        <x:v>핵심</x:v>
      </x:c>
      <x:c r="E14" s="3" t="str">
        <x:v>Check</x:v>
      </x:c>
      <x:c r="F14" s="3" t="str">
        <x:v>Preparedness</x:v>
      </x:c>
      <x:c r="G14" s="3" t="n">
        <x:v>97</x:v>
      </x:c>
      <x:c r="H14" s="3" t="str">
        <x:v>범주 1 (채택)</x:v>
      </x:c>
      <x:c r="I14" s="3" t="str">
        <x:v>감사 결과</x:v>
      </x:c>
      <x:c r="J14" s="3" t="str">
        <x:v>Arias PDF p.14 Table 5. 지명률은 pp.11–13 참고 정보이며 관계 타당도 점수가 아님.</x:v>
      </x:c>
    </x:row>
    <x:row r="15" ht="39" customHeight="1">
      <x:c r="A15" s="6" t="str">
        <x:v>PERF</x:v>
      </x:c>
      <x:c r="B15" s="6" t="str">
        <x:v>성과평가</x:v>
      </x:c>
      <x:c r="C15" s="6" t="str">
        <x:v>Performance evaluation process</x:v>
      </x:c>
      <x:c r="D15" s="6" t="str">
        <x:v>핵심</x:v>
      </x:c>
      <x:c r="E15" s="6" t="str">
        <x:v>Check</x:v>
      </x:c>
      <x:c r="F15" s="6" t="str">
        <x:v>Preparedness</x:v>
      </x:c>
      <x:c r="G15" s="6" t="n">
        <x:v>87</x:v>
      </x:c>
      <x:c r="H15" s="6" t="str">
        <x:v>범주 1 (채택)</x:v>
      </x:c>
      <x:c r="I15" s="6" t="str">
        <x:v>성과평가 결과</x:v>
      </x:c>
      <x:c r="J15" s="6" t="str">
        <x:v>Arias PDF p.14 Table 5. 지명률은 pp.11–13 참고 정보이며 관계 타당도 점수가 아님.</x:v>
      </x:c>
    </x:row>
    <x:row r="16" ht="39" customHeight="1">
      <x:c r="A16" s="3" t="str">
        <x:v>CI</x:v>
      </x:c>
      <x:c r="B16" s="3" t="str">
        <x:v>지속적 개선</x:v>
      </x:c>
      <x:c r="C16" s="3" t="str">
        <x:v>Continual improvement process</x:v>
      </x:c>
      <x:c r="D16" s="3" t="str">
        <x:v>핵심</x:v>
      </x:c>
      <x:c r="E16" s="3" t="str">
        <x:v>Act</x:v>
      </x:c>
      <x:c r="F16" s="3" t="str">
        <x:v>Preparedness</x:v>
      </x:c>
      <x:c r="G16" s="3" t="n">
        <x:v>90</x:v>
      </x:c>
      <x:c r="H16" s="3" t="str">
        <x:v>범주 1 (채택)</x:v>
      </x:c>
      <x:c r="I16" s="3" t="str">
        <x:v>개선 과제·조치</x:v>
      </x:c>
      <x:c r="J16" s="3" t="str">
        <x:v>Arias PDF p.14 Table 5. 지명률은 pp.11–13 참고 정보이며 관계 타당도 점수가 아님.</x:v>
      </x:c>
    </x:row>
    <x:row r="17" ht="39" customHeight="1">
      <x:c r="A17" s="6" t="str">
        <x:v>CHG</x:v>
      </x:c>
      <x:c r="B17" s="6" t="str">
        <x:v>BC 변경관리</x:v>
      </x:c>
      <x:c r="C17" s="6" t="str">
        <x:v>Business continuity changes management process</x:v>
      </x:c>
      <x:c r="D17" s="6" t="str">
        <x:v>핵심</x:v>
      </x:c>
      <x:c r="E17" s="6" t="str">
        <x:v>Act</x:v>
      </x:c>
      <x:c r="F17" s="6" t="str">
        <x:v>Preparedness</x:v>
      </x:c>
      <x:c r="G17" s="6" t="n">
        <x:v>95</x:v>
      </x:c>
      <x:c r="H17" s="6" t="str">
        <x:v>범주 1 (채택)</x:v>
      </x:c>
      <x:c r="I17" s="6" t="str">
        <x:v>변경 요청·변경 결과</x:v>
      </x:c>
      <x:c r="J17" s="6" t="str">
        <x:v>Arias PDF p.14 Table 5. 지명률은 pp.11–13 참고 정보이며 관계 타당도 점수가 아님.</x:v>
      </x:c>
    </x:row>
    <x:row r="18" ht="39" customHeight="1">
      <x:c r="A18" s="3" t="str">
        <x:v>WARN</x:v>
      </x:c>
      <x:c r="B18" s="3" t="str">
        <x:v>경보·커뮤니케이션</x:v>
      </x:c>
      <x:c r="C18" s="3" t="str">
        <x:v>Warning and communication process</x:v>
      </x:c>
      <x:c r="D18" s="3" t="str">
        <x:v>핵심</x:v>
      </x:c>
      <x:c r="E18" s="3" t="str">
        <x:v>Act</x:v>
      </x:c>
      <x:c r="F18" s="3" t="str">
        <x:v>Response</x:v>
      </x:c>
      <x:c r="G18" s="3" t="n">
        <x:v>92</x:v>
      </x:c>
      <x:c r="H18" s="3" t="str">
        <x:v>범주 1 (채택)</x:v>
      </x:c>
      <x:c r="I18" s="3" t="str">
        <x:v>경보·전파 기록</x:v>
      </x:c>
      <x:c r="J18" s="3" t="str">
        <x:v>Arias PDF p.14 Table 5. 지명률은 pp.11–13 참고 정보이며 관계 타당도 점수가 아님.</x:v>
      </x:c>
    </x:row>
    <x:row r="19" ht="39" customHeight="1">
      <x:c r="A19" s="6" t="str">
        <x:v>REC</x:v>
      </x:c>
      <x:c r="B19" s="6" t="str">
        <x:v>복구</x:v>
      </x:c>
      <x:c r="C19" s="6" t="str">
        <x:v>Recovery process</x:v>
      </x:c>
      <x:c r="D19" s="6" t="str">
        <x:v>핵심</x:v>
      </x:c>
      <x:c r="E19" s="6" t="str">
        <x:v>Act</x:v>
      </x:c>
      <x:c r="F19" s="6" t="str">
        <x:v>Recovery</x:v>
      </x:c>
      <x:c r="G19" s="6" t="n">
        <x:v>100</x:v>
      </x:c>
      <x:c r="H19" s="6" t="str">
        <x:v>범주 1 (채택)</x:v>
      </x:c>
      <x:c r="I19" s="6" t="str">
        <x:v>복구 결과</x:v>
      </x:c>
      <x:c r="J19" s="6" t="str">
        <x:v>Arias PDF p.14 Table 5. 지명률은 pp.11–13 참고 정보이며 관계 타당도 점수가 아님.</x:v>
      </x:c>
    </x:row>
    <x:row r="20" ht="39" customHeight="1">
      <x:c r="A20" s="3" t="str">
        <x:v>DOC</x:v>
      </x:c>
      <x:c r="B20" s="3" t="str">
        <x:v>문서화된 정보 통제</x:v>
      </x:c>
      <x:c r="C20" s="3" t="str">
        <x:v>Process of controlling documented information</x:v>
      </x:c>
      <x:c r="D20" s="3" t="str">
        <x:v>지원</x:v>
      </x:c>
      <x:c r="E20" s="3" t="str">
        <x:v>-</x:v>
      </x:c>
      <x:c r="F20" s="3" t="str">
        <x:v>-</x:v>
      </x:c>
      <x:c r="G20" s="3" t="n">
        <x:v>97</x:v>
      </x:c>
      <x:c r="H20" s="3" t="str">
        <x:v>범주 1 (채택)</x:v>
      </x:c>
      <x:c r="I20" s="3" t="str">
        <x:v>문서·기록</x:v>
      </x:c>
      <x:c r="J20" s="3" t="str">
        <x:v>Arias PDF p.14 Table 5. 지명률은 pp.11–13 참고 정보이며 관계 타당도 점수가 아님.</x:v>
      </x:c>
    </x:row>
    <x:row r="21" ht="39" customHeight="1">
      <x:c r="A21" s="6" t="str">
        <x:v>RES</x:v>
      </x:c>
      <x:c r="B21" s="6" t="str">
        <x:v>자원관리</x:v>
      </x:c>
      <x:c r="C21" s="6" t="str">
        <x:v>Resource management process</x:v>
      </x:c>
      <x:c r="D21" s="6" t="str">
        <x:v>지원</x:v>
      </x:c>
      <x:c r="E21" s="6" t="str">
        <x:v>-</x:v>
      </x:c>
      <x:c r="F21" s="6" t="str">
        <x:v>-</x:v>
      </x:c>
      <x:c r="G21" s="6" t="n">
        <x:v>100</x:v>
      </x:c>
      <x:c r="H21" s="6" t="str">
        <x:v>범주 1 (채택)</x:v>
      </x:c>
      <x:c r="I21" s="6" t="str">
        <x:v>자원·자원 사용 보고</x:v>
      </x:c>
      <x:c r="J21" s="6" t="str">
        <x:v>Arias PDF p.14 Table 5. 지명률은 pp.11–13 참고 정보이며 관계 타당도 점수가 아님.</x:v>
      </x:c>
    </x:row>
    <x:row r="22" ht="39" customHeight="1">
      <x:c r="A22" s="3" t="str">
        <x:v>COM</x:v>
      </x:c>
      <x:c r="B22" s="3" t="str">
        <x:v>협의·커뮤니케이션</x:v>
      </x:c>
      <x:c r="C22" s="3" t="str">
        <x:v>Consultation and communication process</x:v>
      </x:c>
      <x:c r="D22" s="3" t="str">
        <x:v>지원</x:v>
      </x:c>
      <x:c r="E22" s="3" t="str">
        <x:v>-</x:v>
      </x:c>
      <x:c r="F22" s="3" t="str">
        <x:v>-</x:v>
      </x:c>
      <x:c r="G22" s="3" t="n">
        <x:v>74</x:v>
      </x:c>
      <x:c r="H22" s="3" t="str">
        <x:v>범주 2 (토론)</x:v>
      </x:c>
      <x:c r="I22" s="3" t="str">
        <x:v>이해관계자 보고·요구</x:v>
      </x:c>
      <x:c r="J22" s="3" t="str">
        <x:v>Arias PDF p.14 Table 5. 지명률은 pp.11–13 참고 정보이며 관계 타당도 점수가 아님.</x:v>
      </x:c>
    </x:row>
    <x:row r="23" ht="39" customHeight="1">
      <x:c r="A23" s="6" t="str">
        <x:v>CRM</x:v>
      </x:c>
      <x:c r="B23" s="6" t="str">
        <x:v>고객관계관리</x:v>
      </x:c>
      <x:c r="C23" s="6" t="str">
        <x:v>Customer relationship management process</x:v>
      </x:c>
      <x:c r="D23" s="6" t="str">
        <x:v>지원</x:v>
      </x:c>
      <x:c r="E23" s="6" t="str">
        <x:v>-</x:v>
      </x:c>
      <x:c r="F23" s="6" t="str">
        <x:v>-</x:v>
      </x:c>
      <x:c r="G23" s="6" t="n">
        <x:v>3</x:v>
      </x:c>
      <x:c r="H23" s="6" t="str">
        <x:v>범주 3 (기각)</x:v>
      </x:c>
      <x:c r="I23" s="6" t="str">
        <x:v>고객 만족·가치 입증 보고</x:v>
      </x:c>
      <x:c r="J23" s="6" t="str">
        <x:v>Arias PDF p.14 Table 5. 지명률은 pp.11–13 참고 정보이며 관계 타당도 점수가 아님.</x:v>
      </x:c>
    </x:row>
  </x:sheetData>
  <x:pageMargins left="0.7" right="0.7" top="0.75" bottom="0.75" header="0.3" footer="0.3"/>
  <x:tableParts count="1">
    <x:tablePart xmlns:r="http://schemas.openxmlformats.org/officeDocument/2006/relationships" r:id="R019b6ff49f7b4576"/>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0" hidden="0" customWidth="1"/>
    <x:col min="3" max="3" width="11.109999656677246" hidden="0" customWidth="1"/>
    <x:col min="4" max="4" width="25.559999465942383" hidden="0" customWidth="1"/>
    <x:col min="5" max="5" width="91.11000061035156" hidden="0" customWidth="1"/>
    <x:col min="6" max="6" width="88.88999938964844" hidden="0" customWidth="1"/>
    <x:col min="7" max="7" width="48.88999938964844" hidden="0" customWidth="1"/>
    <x:col min="8" max="8" width="25.559999465942383" hidden="0" customWidth="1"/>
  </x:cols>
  <x:sheetData>
    <x:row r="1" ht="37.5" customHeight="1">
      <x:c r="A1" s="5" t="str">
        <x:v>인용ID</x:v>
      </x:c>
      <x:c r="B1" s="5" t="str">
        <x:v>출처</x:v>
      </x:c>
      <x:c r="C1" s="5" t="str">
        <x:v>PDF 쪽</x:v>
      </x:c>
      <x:c r="D1" s="5" t="str">
        <x:v>절</x:v>
      </x:c>
      <x:c r="E1" s="5" t="str">
        <x:v>제공 원문</x:v>
      </x:c>
      <x:c r="F1" s="5" t="str">
        <x:v>참고 번역</x:v>
      </x:c>
      <x:c r="G1" s="5" t="str">
        <x:v>V3 사용처</x:v>
      </x:c>
      <x:c r="H1" s="5" t="str">
        <x:v>문자 대조 상태</x:v>
      </x:c>
    </x:row>
    <x:row r="2" ht="39" customHeight="1">
      <x:c r="A2" s="3" t="str">
        <x:v>A01</x:v>
      </x:c>
      <x:c r="B2" s="3" t="str">
        <x:v>Arias</x:v>
      </x:c>
      <x:c r="C2" s="3" t="str">
        <x:v>4</x:v>
      </x:c>
      <x:c r="D2" s="3" t="str">
        <x:v>§2.1</x:v>
      </x:c>
      <x:c r="E2" s="3" t="str">
        <x:v>Activities utilizing resources must be managed to convert inputs into outputs through a series of interconnected or interacting activities, also called processes</x:v>
      </x:c>
      <x:c r="F2" s="3" t="str">
        <x:v>자원을 사용하는 활동은 입력을 출력으로 전환하는, 상호 연결되거나 상호작용하는 일련의 활동, 즉 프로세스를 통해 관리되어야 한다.</x:v>
      </x:c>
      <x:c r="G2" s="3" t="str">
        <x:v>연계성 정의의 근거(프로세스 = 상호 연결·상호작용 활동)</x:v>
      </x:c>
      <x:c r="H2" s="3" t="str">
        <x:v>문자 대조 일치 2026-10-09</x:v>
      </x:c>
    </x:row>
    <x:row r="3" ht="31.5" customHeight="1">
      <x:c r="A3" s="6" t="str">
        <x:v>A02</x:v>
      </x:c>
      <x:c r="B3" s="6" t="str">
        <x:v>Arias</x:v>
      </x:c>
      <x:c r="C3" s="6" t="str">
        <x:v>5</x:v>
      </x:c>
      <x:c r="D3" s="6" t="str">
        <x:v>§2.1 (ISO/IEC 33004 기준 4)</x:v>
      </x:c>
      <x:c r="E3" s="6" t="str">
        <x:v>A process reference model should delineate the interconnections among the processes outlined within it.</x:v>
      </x:c>
      <x:c r="F3" s="6" t="str">
        <x:v>프로세스 참조모델은 그 안에 기술된 프로세스들 사이의 상호 연결을 명시해야 한다.</x:v>
      </x:c>
      <x:c r="G3" s="6" t="str">
        <x:v>연계성 정의의 근거(프로세스 간 상호 연결 명시 요구)</x:v>
      </x:c>
      <x:c r="H3" s="6" t="str">
        <x:v>문자 대조 일치 2026-10-09</x:v>
      </x:c>
    </x:row>
    <x:row r="4" ht="39" customHeight="1">
      <x:c r="A4" s="3" t="str">
        <x:v>A03</x:v>
      </x:c>
      <x:c r="B4" s="3" t="str">
        <x:v>Arias</x:v>
      </x:c>
      <x:c r="C4" s="3" t="str">
        <x:v>3</x:v>
      </x:c>
      <x:c r="D4" s="3" t="str">
        <x:v>§1</x:v>
      </x:c>
      <x:c r="E4" s="3" t="str">
        <x:v>A detailed reference model outlining BCMS processes—including inputs, outputs, interfaces, and interactions at the activity level—facilitates optimal coordination of these processes.</x:v>
      </x:c>
      <x:c r="F4" s="3" t="str">
        <x:v>BCMS 프로세스를 활동 수준의 입력·출력·인터페이스·상호작용까지 상세히 기술한 참조모델은 이들 프로세스의 최적 조정을 촉진한다.</x:v>
      </x:c>
      <x:c r="G4" s="3" t="str">
        <x:v>연계성 정의의 근거(입력·출력·인터페이스)</x:v>
      </x:c>
      <x:c r="H4" s="3" t="str">
        <x:v>문자 대조 일치 2026-10-09</x:v>
      </x:c>
    </x:row>
    <x:row r="5" ht="31.5" customHeight="1">
      <x:c r="A5" s="6" t="str">
        <x:v>A04</x:v>
      </x:c>
      <x:c r="B5" s="6" t="str">
        <x:v>Arias</x:v>
      </x:c>
      <x:c r="C5" s="6" t="str">
        <x:v>6</x:v>
      </x:c>
      <x:c r="D5" s="6" t="str">
        <x:v>§2.2 (ISO 22301 Clause 4.4)</x:v>
      </x:c>
      <x:c r="E5" s="6" t="str">
        <x:v>taking into account their order, interactions, inputs, outputs, resources, and assigned roles</x:v>
      </x:c>
      <x:c r="F5" s="6" t="str">
        <x:v>(BCMS 프로세스를 정의·이행·유지할 때) 프로세스의 순서, 상호작용, 입력, 출력, 자원, 부여된 역할을 고려한다.</x:v>
      </x:c>
      <x:c r="G5" s="6" t="str">
        <x:v>연계성 정의의 근거(ISO 22301 4.4)</x:v>
      </x:c>
      <x:c r="H5" s="6" t="str">
        <x:v>문자 대조 일치 2026-10-09</x:v>
      </x:c>
    </x:row>
    <x:row r="6" ht="39" customHeight="1">
      <x:c r="A6" s="3" t="str">
        <x:v>A05</x:v>
      </x:c>
      <x:c r="B6" s="3" t="str">
        <x:v>Arias</x:v>
      </x:c>
      <x:c r="C6" s="3" t="str">
        <x:v>2</x:v>
      </x:c>
      <x:c r="D6" s="3" t="str">
        <x:v>§1</x:v>
      </x:c>
      <x:c r="E6" s="3" t="str">
        <x:v>Organizations often struggle with performing a checklist approach regarding the BCMS requirements because it does not necessarily lead to a sustainable operated management system.</x:v>
      </x:c>
      <x:c r="F6" s="3" t="str">
        <x:v>조직은 BCMS 요구사항에 대해 체크리스트 방식을 수행하는 데 종종 어려움을 겪는데, 이는 지속 가능하게 운영되는 경영시스템으로 반드시 이어지지 않기 때문이다.</x:v>
      </x:c>
      <x:c r="G6" s="3" t="str">
        <x:v>연결 유지 정도를 측정하는 이유(체크리스트의 한계)</x:v>
      </x:c>
      <x:c r="H6" s="3" t="str">
        <x:v>문자 대조 일치 2026-10-09</x:v>
      </x:c>
    </x:row>
    <x:row r="7" ht="39" customHeight="1">
      <x:c r="A7" s="6" t="str">
        <x:v>A06</x:v>
      </x:c>
      <x:c r="B7" s="6" t="str">
        <x:v>Arias</x:v>
      </x:c>
      <x:c r="C7" s="6" t="str">
        <x:v>3-4</x:v>
      </x:c>
      <x:c r="D7" s="6" t="str">
        <x:v>§1</x:v>
      </x:c>
      <x:c r="E7" s="6" t="str">
        <x:v>including process descriptions (process profiles) and process flow charts, though the latter are omitted here to maintain the scope of the paper</x:v>
      </x:c>
      <x:c r="F7" s="6" t="str">
        <x:v>(참조모델 결과물에는) 프로세스 설명(프로세스 프로파일)과 프로세스 흐름도가 포함되나, 후자는 논문 범위 유지를 위해 여기서는 생략한다.</x:v>
      </x:c>
      <x:c r="G7" s="6" t="str">
        <x:v>연결 목록이 이 논문에서 완전하지 않을 수 있는 근거</x:v>
      </x:c>
      <x:c r="H7" s="6" t="str">
        <x:v>문자 대조 일치 2026-10-09</x:v>
      </x:c>
    </x:row>
    <x:row r="8" ht="39" customHeight="1">
      <x:c r="A8" s="3" t="str">
        <x:v>A07</x:v>
      </x:c>
      <x:c r="B8" s="3" t="str">
        <x:v>Arias</x:v>
      </x:c>
      <x:c r="C8" s="3" t="str">
        <x:v>18</x:v>
      </x:c>
      <x:c r="D8" s="3" t="str">
        <x:v>§5</x:v>
      </x:c>
      <x:c r="E8" s="3" t="str">
        <x:v>A key finding of this pilot initiative is the reinforcement of the systemic nature of the BCMS, emphasizing the interplay between processes and the roles within the BCMS framework.</x:v>
      </x:c>
      <x:c r="F8" s="3" t="str">
        <x:v>이 시범사업의 핵심 발견은 BCMS의 체계적 성격이 강화되었다는 점이며, BCMS 틀 안에서 프로세스와 역할 간의 상호작용이 강조된다.</x:v>
      </x:c>
      <x:c r="G8" s="3" t="str">
        <x:v>연계성이 BCMS 운영의 핵심 특성이라는 근거</x:v>
      </x:c>
      <x:c r="H8" s="3" t="str">
        <x:v>문자 대조 일치 2026-10-09</x:v>
      </x:c>
    </x:row>
    <x:row r="9" ht="39" customHeight="1">
      <x:c r="A9" s="6" t="str">
        <x:v>A08</x:v>
      </x:c>
      <x:c r="B9" s="6" t="str">
        <x:v>Arias</x:v>
      </x:c>
      <x:c r="C9" s="6" t="str">
        <x:v>17</x:v>
      </x:c>
      <x:c r="D9" s="6" t="str">
        <x:v>§5</x:v>
      </x:c>
      <x:c r="E9" s="6" t="str">
        <x:v>An unmodified application of the BCMS process reference model is inadequate; customization of BCMS processes according to the organization's specific needs is imperative.</x:v>
      </x:c>
      <x:c r="F9" s="6" t="str">
        <x:v>BCMS 프로세스 참조모델을 수정 없이 적용하는 것은 부적절하며, 조직의 요구에 맞춘 BCMS 프로세스의 맞춤화가 필수적이다.</x:v>
      </x:c>
      <x:c r="G9" s="6" t="str">
        <x:v>연결 목록의 조직별 조정 필요성</x:v>
      </x:c>
      <x:c r="H9" s="6" t="str">
        <x:v>문자 대조 일치 2026-10-09</x:v>
      </x:c>
    </x:row>
    <x:row r="10" ht="31.5" customHeight="1">
      <x:c r="A10" s="3" t="str">
        <x:v>A09</x:v>
      </x:c>
      <x:c r="B10" s="3" t="str">
        <x:v>Arias</x:v>
      </x:c>
      <x:c r="C10" s="3" t="str">
        <x:v>10</x:v>
      </x:c>
      <x:c r="D10" s="3" t="str">
        <x:v>Figure 4</x:v>
      </x:c>
      <x:c r="E10" s="3" t="str">
        <x:v>Regularity – interrelated and interacting tasks are repeated on a regular basis.</x:v>
      </x:c>
      <x:c r="F10" s="3" t="str">
        <x:v>규칙성 – 상호 관련되고 상호작용하는 과업이 정기적으로 반복된다.</x:v>
      </x:c>
      <x:c r="G10" s="3" t="str">
        <x:v>종합 문항 G06 근거</x:v>
      </x:c>
      <x:c r="H10" s="3" t="str">
        <x:v>문자 대조 일치 2026-10-09</x:v>
      </x:c>
    </x:row>
    <x:row r="11" ht="39" customHeight="1">
      <x:c r="A11" s="6" t="str">
        <x:v>A10</x:v>
      </x:c>
      <x:c r="B11" s="6" t="str">
        <x:v>Arias</x:v>
      </x:c>
      <x:c r="C11" s="6" t="str">
        <x:v>10</x:v>
      </x:c>
      <x:c r="D11" s="6" t="str">
        <x:v>Figure 4</x:v>
      </x:c>
      <x:c r="E11" s="6" t="str">
        <x:v>Accountability/responsibility – business continuity manager is the process owner or process manager and the process is a core competency of the BCMS.</x:v>
      </x:c>
      <x:c r="F11" s="6" t="str">
        <x:v>책임성 – 업무연속성 관리자가 프로세스 소유자 또는 관리자이며 해당 프로세스는 BCMS의 핵심 역량이다.</x:v>
      </x:c>
      <x:c r="G11" s="6" t="str">
        <x:v>종합 문항 G04 근거</x:v>
      </x:c>
      <x:c r="H11" s="6" t="str">
        <x:v>문자 대조 일치 2026-10-09</x:v>
      </x:c>
    </x:row>
    <x:row r="12" ht="39" customHeight="1">
      <x:c r="A12" s="3" t="str">
        <x:v>A11</x:v>
      </x:c>
      <x:c r="B12" s="3" t="str">
        <x:v>Arias</x:v>
      </x:c>
      <x:c r="C12" s="3" t="str">
        <x:v>15</x:v>
      </x:c>
      <x:c r="D12" s="3" t="str">
        <x:v>§4.3</x:v>
      </x:c>
      <x:c r="E12" s="3" t="str">
        <x:v>These requirements inform processes such as business impact assessment and criticality analysis, risk assessment, internal audits, and supply chain management.</x:v>
      </x:c>
      <x:c r="F12" s="3" t="str">
        <x:v>이 요구사항들은 BIA·중요도 분석, 리스크평가, 내부감사, 공급망관리와 같은 프로세스에 정보를 제공한다.</x:v>
      </x:c>
      <x:c r="G12" s="3" t="str">
        <x:v>L01, L02, L04, L05</x:v>
      </x:c>
      <x:c r="H12" s="3" t="str">
        <x:v>문자 대조 일치 2026-10-09</x:v>
      </x:c>
    </x:row>
    <x:row r="13" ht="39" customHeight="1">
      <x:c r="A13" s="6" t="str">
        <x:v>A12</x:v>
      </x:c>
      <x:c r="B13" s="6" t="str">
        <x:v>Arias</x:v>
      </x:c>
      <x:c r="C13" s="6" t="str">
        <x:v>15</x:v>
      </x:c>
      <x:c r="D13" s="6" t="str">
        <x:v>§4.3</x:v>
      </x:c>
      <x:c r="E13" s="6" t="str">
        <x:v>The risk assessment process, which focuses on identifying potential disruptions, relies on the outcomes of the business impact assessment and criticality analysis as its foundation.</x:v>
      </x:c>
      <x:c r="F13" s="6" t="str">
        <x:v>잠재적 중단을 식별하는 데 초점을 둔 리스크평가 프로세스는 BIA·중요도 분석의 결과를 기반으로 한다.</x:v>
      </x:c>
      <x:c r="G13" s="6" t="str">
        <x:v>L03</x:v>
      </x:c>
      <x:c r="H13" s="6" t="str">
        <x:v>문자 대조 일치 2026-10-09</x:v>
      </x:c>
    </x:row>
    <x:row r="14" ht="39" customHeight="1">
      <x:c r="A14" s="3" t="str">
        <x:v>A13</x:v>
      </x:c>
      <x:c r="B14" s="3" t="str">
        <x:v>Arias</x:v>
      </x:c>
      <x:c r="C14" s="3" t="str">
        <x:v>15</x:v>
      </x:c>
      <x:c r="D14" s="3" t="str">
        <x:v>§4.3</x:v>
      </x:c>
      <x:c r="E14" s="3" t="str">
        <x:v>The final result is a documented statement accompanied by a rationale outlining the organization's business continuity requirements.</x:v>
      </x:c>
      <x:c r="F14" s="3" t="str">
        <x:v>최종 결과는 조직의 업무연속성 요구사항을 개괄하는, 근거가 첨부된 문서화된 진술이다.</x:v>
      </x:c>
      <x:c r="G14" s="3" t="str">
        <x:v>L03, L06 (BIA 산출물의 정의)</x:v>
      </x:c>
      <x:c r="H14" s="3" t="str">
        <x:v>문자 대조 일치 2026-10-09</x:v>
      </x:c>
    </x:row>
    <x:row r="15" ht="39" customHeight="1">
      <x:c r="A15" s="6" t="str">
        <x:v>A14</x:v>
      </x:c>
      <x:c r="B15" s="6" t="str">
        <x:v>Arias</x:v>
      </x:c>
      <x:c r="C15" s="6" t="str">
        <x:v>15</x:v>
      </x:c>
      <x:c r="D15" s="6" t="str">
        <x:v>§4.3</x:v>
      </x:c>
      <x:c r="E15" s="6" t="str">
        <x:v>After the completion of the business impact assessment and criticality analysis process, the approved business continuity requirements guide the determination and selection of suitable BC strategies and solutions</x:v>
      </x:c>
      <x:c r="F15" s="6" t="str">
        <x:v>BIA·중요도 분석 프로세스가 완료된 후, 승인된 업무연속성 요구사항이 적절한 BC 전략·솔루션의 결정과 선정을 안내한다.</x:v>
      </x:c>
      <x:c r="G15" s="6" t="str">
        <x:v>L06</x:v>
      </x:c>
      <x:c r="H15" s="6" t="str">
        <x:v>문자 대조 일치 2026-10-09</x:v>
      </x:c>
    </x:row>
    <x:row r="16" ht="31.5" customHeight="1">
      <x:c r="A16" s="3" t="str">
        <x:v>A15</x:v>
      </x:c>
      <x:c r="B16" s="3" t="str">
        <x:v>Arias</x:v>
      </x:c>
      <x:c r="C16" s="3" t="str">
        <x:v>15</x:v>
      </x:c>
      <x:c r="D16" s="3" t="str">
        <x:v>§4.3</x:v>
      </x:c>
      <x:c r="E16" s="3" t="str">
        <x:v>This process ensures that the BC strategies, solutions, and necessary changes are executed as planned.</x:v>
      </x:c>
      <x:c r="F16" s="3" t="str">
        <x:v>이 프로세스는 BC 전략, 솔루션 및 필요한 변경이 계획대로 실행되도록 보장한다.</x:v>
      </x:c>
      <x:c r="G16" s="3" t="str">
        <x:v>L07</x:v>
      </x:c>
      <x:c r="H16" s="3" t="str">
        <x:v>문자 대조 일치 2026-10-09</x:v>
      </x:c>
    </x:row>
    <x:row r="17" ht="39" customHeight="1">
      <x:c r="A17" s="6" t="str">
        <x:v>A16</x:v>
      </x:c>
      <x:c r="B17" s="6" t="str">
        <x:v>Arias</x:v>
      </x:c>
      <x:c r="C17" s="6" t="str">
        <x:v>15</x:v>
      </x:c>
      <x:c r="D17" s="6" t="str">
        <x:v>§4.3</x:v>
      </x:c>
      <x:c r="E17" s="6" t="str">
        <x:v>Corresponding BC plans and procedures, derived from the identified BC strategies and solutions, are developed within the process of developing BC plans and procedures.</x:v>
      </x:c>
      <x:c r="F17" s="6" t="str">
        <x:v>식별된 BC 전략·솔루션에서 도출된 해당 BC 계획·절차는 BC 계획·절차 개발 프로세스 안에서 개발된다.</x:v>
      </x:c>
      <x:c r="G17" s="6" t="str">
        <x:v>L08</x:v>
      </x:c>
      <x:c r="H17" s="6" t="str">
        <x:v>문자 대조 일치 2026-10-09</x:v>
      </x:c>
    </x:row>
    <x:row r="18" ht="39" customHeight="1">
      <x:c r="A18" s="3" t="str">
        <x:v>A17</x:v>
      </x:c>
      <x:c r="B18" s="3" t="str">
        <x:v>Arias</x:v>
      </x:c>
      <x:c r="C18" s="3" t="str">
        <x:v>15</x:v>
      </x:c>
      <x:c r="D18" s="3" t="str">
        <x:v>§4.3</x:v>
      </x:c>
      <x:c r="E18" s="3" t="str">
        <x:v>Furthermore, it includes risks associated with proposed changes, providing essential input for both communication activities and the development of business continuity plans and procedures.</x:v>
      </x:c>
      <x:c r="F18" s="3" t="str">
        <x:v>또한 (리스크평가는) 제안된 변경과 관련된 리스크를 포함하며, 커뮤니케이션 활동과 업무연속성 계획·절차 개발 모두에 필수적인 입력을 제공한다.</x:v>
      </x:c>
      <x:c r="G18" s="3" t="str">
        <x:v>L09</x:v>
      </x:c>
      <x:c r="H18" s="3" t="str">
        <x:v>문자 대조 일치 2026-10-09</x:v>
      </x:c>
    </x:row>
    <x:row r="19" ht="53.25" customHeight="1">
      <x:c r="A19" s="6" t="str">
        <x:v>A18</x:v>
      </x:c>
      <x:c r="B19" s="6" t="str">
        <x:v>Arias</x:v>
      </x:c>
      <x:c r="C19" s="6" t="str">
        <x:v>16</x:v>
      </x:c>
      <x:c r="D19" s="6" t="str">
        <x:v>§4.3</x:v>
      </x:c>
      <x:c r="E19" s="6" t="str">
        <x:v>Outputs from this process include documented resources for implementing and running selected strategies, as well as resources for operating core BCMS processes, along with reports on resource utilization for BCMS core processes and the customer relationship management process</x:v>
      </x:c>
      <x:c r="F19" s="6" t="str">
        <x:v>이 프로세스(자원관리)의 산출물에는 선정된 전략의 이행·운영을 위한 문서화된 자원, 핵심 BCMS 프로세스 운영을 위한 자원, 그리고 BCMS 핵심 프로세스와 고객관계관리 프로세스에 대한 자원 사용 보고가 포함된다.</x:v>
      </x:c>
      <x:c r="G19" s="6" t="str">
        <x:v>L10, L30, L31</x:v>
      </x:c>
      <x:c r="H19" s="6" t="str">
        <x:v>문자 대조 일치 2026-10-09</x:v>
      </x:c>
    </x:row>
    <x:row r="20" ht="39" customHeight="1">
      <x:c r="A20" s="3" t="str">
        <x:v>A19</x:v>
      </x:c>
      <x:c r="B20" s="3" t="str">
        <x:v>Arias</x:v>
      </x:c>
      <x:c r="C20" s="3" t="str">
        <x:v>15</x:v>
      </x:c>
      <x:c r="D20" s="3" t="str">
        <x:v>§4.3</x:v>
      </x:c>
      <x:c r="E20" s="3" t="str">
        <x:v>The activation of certain BC strategies and solutions is triggered when required, typically in response to a disruptive event, through the execution of BC plans and procedures.</x:v>
      </x:c>
      <x:c r="F20" s="3" t="str">
        <x:v>특정 BC 전략·솔루션의 가동은 필요 시, 통상 중단 사건에 대응하여, BC 계획·절차의 실행을 통해 개시된다.</x:v>
      </x:c>
      <x:c r="G20" s="3" t="str">
        <x:v>L12</x:v>
      </x:c>
      <x:c r="H20" s="3" t="str">
        <x:v>문자 대조 일치 2026-10-09</x:v>
      </x:c>
    </x:row>
    <x:row r="21" ht="39" customHeight="1">
      <x:c r="A21" s="6" t="str">
        <x:v>A20</x:v>
      </x:c>
      <x:c r="B21" s="6" t="str">
        <x:v>Arias</x:v>
      </x:c>
      <x:c r="C21" s="6" t="str">
        <x:v>15</x:v>
      </x:c>
      <x:c r="D21" s="6" t="str">
        <x:v>§4.3</x:v>
      </x:c>
      <x:c r="E21" s="6" t="str">
        <x:v>facilitating appropriate alerting of potentially affected parties and coordinating responses within the organization's BC plans and procedures</x:v>
      </x:c>
      <x:c r="F21" s="6" t="str">
        <x:v>(경보·커뮤니케이션은) 영향을 받을 수 있는 당사자에 대한 적절한 경보를 촉진하고 조직의 BC 계획·절차 안에서 대응을 조정한다.</x:v>
      </x:c>
      <x:c r="G21" s="6" t="str">
        <x:v>L12, L13</x:v>
      </x:c>
      <x:c r="H21" s="6" t="str">
        <x:v>문자 대조 일치 2026-10-09</x:v>
      </x:c>
    </x:row>
    <x:row r="22" ht="39" customHeight="1">
      <x:c r="A22" s="3" t="str">
        <x:v>A21</x:v>
      </x:c>
      <x:c r="B22" s="3" t="str">
        <x:v>Arias</x:v>
      </x:c>
      <x:c r="C22" s="3" t="str">
        <x:v>15</x:v>
      </x:c>
      <x:c r="D22" s="3" t="str">
        <x:v>§4.3</x:v>
      </x:c>
      <x:c r="E22" s="3" t="str">
        <x:v>It includes two primary subprocesses: the warning and communication process and the recovery process.</x:v>
      </x:c>
      <x:c r="F22" s="3" t="str">
        <x:v>(사고·비상 대응 프로세스는) 경보·커뮤니케이션 프로세스와 복구 프로세스라는 두 가지 주요 하위 프로세스를 포함한다.</x:v>
      </x:c>
      <x:c r="G22" s="3" t="str">
        <x:v>L13, L14</x:v>
      </x:c>
      <x:c r="H22" s="3" t="str">
        <x:v>문자 대조 일치 2026-10-09</x:v>
      </x:c>
    </x:row>
    <x:row r="23" ht="39" customHeight="1">
      <x:c r="A23" s="6" t="str">
        <x:v>A22</x:v>
      </x:c>
      <x:c r="B23" s="6" t="str">
        <x:v>Arias</x:v>
      </x:c>
      <x:c r="C23" s="6" t="str">
        <x:v>15</x:v>
      </x:c>
      <x:c r="D23" s="6" t="str">
        <x:v>§4.3</x:v>
      </x:c>
      <x:c r="E23" s="6" t="str">
        <x:v>The recovery process, on the other hand, involves restoring and resuming regular business activities from the state of temporary measures that have been adopted to support normal operations during and after a disruption.</x:v>
      </x:c>
      <x:c r="F23" s="6" t="str">
        <x:v>복구 프로세스는 중단 중·후 정상 운영을 지원하기 위해 채택한 임시 조치 상태에서 일상 업무 활동을 회복·재개하는 것을 포함한다.</x:v>
      </x:c>
      <x:c r="G23" s="6" t="str">
        <x:v>L14</x:v>
      </x:c>
      <x:c r="H23" s="6" t="str">
        <x:v>문자 대조 일치 2026-10-09</x:v>
      </x:c>
    </x:row>
    <x:row r="24" ht="53.25" customHeight="1">
      <x:c r="A24" s="3" t="str">
        <x:v>A23</x:v>
      </x:c>
      <x:c r="B24" s="3" t="str">
        <x:v>Arias</x:v>
      </x:c>
      <x:c r="C24" s="3" t="str">
        <x:v>15</x:v>
      </x:c>
      <x:c r="D24" s="3" t="str">
        <x:v>§4.3</x:v>
      </x:c>
      <x:c r="E24" s="3" t="str">
        <x:v>The process of exercising BC plans and procedures ensures that BC strategies and solutions and their corresponding BC plans and procedures, including warning and communication procedures, are tested regularly to validate their effectiveness and prompt any necessary adjustments or enhancements.</x:v>
      </x:c>
      <x:c r="F24" s="3" t="str">
        <x:v>BC 계획·절차 훈련·연습 프로세스는 BC 전략·솔루션과 이에 대응하는 BC 계획·절차(경보·커뮤니케이션 절차 포함)가 정기적으로 시험되어 그 유효성을 검증하고 필요한 조정·개선을 촉구하도록 보장한다.</x:v>
      </x:c>
      <x:c r="G24" s="3" t="str">
        <x:v>L15, L16</x:v>
      </x:c>
      <x:c r="H24" s="3" t="str">
        <x:v>문자 대조 일치 2026-10-09</x:v>
      </x:c>
    </x:row>
    <x:row r="25" ht="39" customHeight="1">
      <x:c r="A25" s="6" t="str">
        <x:v>A24</x:v>
      </x:c>
      <x:c r="B25" s="6" t="str">
        <x:v>Arias</x:v>
      </x:c>
      <x:c r="C25" s="6" t="str">
        <x:v>15</x:v>
      </x:c>
      <x:c r="D25" s="6" t="str">
        <x:v>§4.3</x:v>
      </x:c>
      <x:c r="E25" s="6" t="str">
        <x:v>a business continuity awareness, training, and education program is developed and implemented to foster necessary awareness and competence among personnel</x:v>
      </x:c>
      <x:c r="F25" s="6" t="str">
        <x:v>업무연속성 인식·훈련·교육 프로그램이 개발·이행되어 인력의 필요한 인식과 역량을 키운다.</x:v>
      </x:c>
      <x:c r="G25" s="6" t="str">
        <x:v>L17(연결 자체를 서술하지는 않음)</x:v>
      </x:c>
      <x:c r="H25" s="6" t="str">
        <x:v>문자 대조 일치 2026-10-09</x:v>
      </x:c>
    </x:row>
    <x:row r="26" ht="53.25" customHeight="1">
      <x:c r="A26" s="3" t="str">
        <x:v>A25</x:v>
      </x:c>
      <x:c r="B26" s="3" t="str">
        <x:v>Arias</x:v>
      </x:c>
      <x:c r="C26" s="3" t="str">
        <x:v>16</x:v>
      </x:c>
      <x:c r="D26" s="3" t="str">
        <x:v>§4.3</x:v>
      </x:c>
      <x:c r="E26" s="3" t="str">
        <x:v>Results from the performance evaluation process, the internal audit process, and the supply chain management process are used to improve the effectiveness, efficiency, suitability, and adequacy of the BCMS and the strategies, solutions, plans, and procedures.</x:v>
      </x:c>
      <x:c r="F26" s="3" t="str">
        <x:v>성과평가, 내부감사, 공급망관리 프로세스의 결과는 BCMS와 전략·솔루션·계획·절차의 효과성, 효율성, 적합성, 충분성을 개선하는 데 사용된다.</x:v>
      </x:c>
      <x:c r="G26" s="3" t="str">
        <x:v>L18, L19, L20</x:v>
      </x:c>
      <x:c r="H26" s="3" t="str">
        <x:v>문자 대조 일치 2026-10-09</x:v>
      </x:c>
    </x:row>
    <x:row r="27" ht="31.5" customHeight="1">
      <x:c r="A27" s="6" t="str">
        <x:v>A26</x:v>
      </x:c>
      <x:c r="B27" s="6" t="str">
        <x:v>Arias</x:v>
      </x:c>
      <x:c r="C27" s="6" t="str">
        <x:v>16</x:v>
      </x:c>
      <x:c r="D27" s="6" t="str">
        <x:v>§4.3 (변경관리 산출물 2번째)</x:v>
      </x:c>
      <x:c r="E27" s="6" t="str">
        <x:v>Proposed and necessary changes, as well as results of changes (for and from the risk assessment process);</x:v>
      </x:c>
      <x:c r="F27" s="6" t="str">
        <x:v>제안된 변경과 필요한 변경, 그리고 변경의 결과(리스크평가 프로세스로 가는 것과 그로부터 오는 것).</x:v>
      </x:c>
      <x:c r="G27" s="6" t="str">
        <x:v>L21</x:v>
      </x:c>
      <x:c r="H27" s="6" t="str">
        <x:v>문자 대조 일치 2026-10-09</x:v>
      </x:c>
    </x:row>
    <x:row r="28" ht="31.5" customHeight="1">
      <x:c r="A28" s="3" t="str">
        <x:v>A27</x:v>
      </x:c>
      <x:c r="B28" s="3" t="str">
        <x:v>Arias</x:v>
      </x:c>
      <x:c r="C28" s="3" t="str">
        <x:v>16</x:v>
      </x:c>
      <x:c r="D28" s="3" t="str">
        <x:v>§4.3 (변경관리 산출물 3번째)</x:v>
      </x:c>
      <x:c r="E28" s="3" t="str">
        <x:v>Initiation of risk assessment in response to significant proposed or occurring changes; and</x:v>
      </x:c>
      <x:c r="F28" s="3" t="str">
        <x:v>중대한 제안·발생 변경에 대응한 리스크평가의 개시.</x:v>
      </x:c>
      <x:c r="G28" s="3" t="str">
        <x:v>L21</x:v>
      </x:c>
      <x:c r="H28" s="3" t="str">
        <x:v>문자 대조 일치 2026-10-09</x:v>
      </x:c>
    </x:row>
    <x:row r="29" ht="31.5" customHeight="1">
      <x:c r="A29" s="6" t="str">
        <x:v>A28</x:v>
      </x:c>
      <x:c r="B29" s="6" t="str">
        <x:v>Arias</x:v>
      </x:c>
      <x:c r="C29" s="6" t="str">
        <x:v>16</x:v>
      </x:c>
      <x:c r="D29" s="6" t="str">
        <x:v>§4.3 (변경관리 산출물 1번째)</x:v>
      </x:c>
      <x:c r="E29" s="6" t="str">
        <x:v>Necessary changes (for the process of controlling documented information);</x:v>
      </x:c>
      <x:c r="F29" s="6" t="str">
        <x:v>필요한 변경(문서화된 정보 통제 프로세스를 위한 것).</x:v>
      </x:c>
      <x:c r="G29" s="6" t="str">
        <x:v>L22</x:v>
      </x:c>
      <x:c r="H29" s="6" t="str">
        <x:v>문자 대조 일치 2026-10-09</x:v>
      </x:c>
    </x:row>
    <x:row r="30" ht="39" customHeight="1">
      <x:c r="A30" s="3" t="str">
        <x:v>A29</x:v>
      </x:c>
      <x:c r="B30" s="3" t="str">
        <x:v>Arias</x:v>
      </x:c>
      <x:c r="C30" s="3" t="str">
        <x:v>16</x:v>
      </x:c>
      <x:c r="D30" s="3" t="str">
        <x:v>§4.3 (변경관리 산출물 4번째)</x:v>
      </x:c>
      <x:c r="E30" s="3" t="str">
        <x:v>The results of changes to the incident and emergency handling process or the process of exercising BC plans and procedures—as those processes initiated them.</x:v>
      </x:c>
      <x:c r="F30" s="3" t="str">
        <x:v>사고·비상 대응 프로세스 또는 BC 계획·절차 훈련·연습 프로세스에 대한 변경의 결과 — 해당 프로세스들이 변경을 개시한 경우.</x:v>
      </x:c>
      <x:c r="G30" s="3" t="str">
        <x:v>L23, L24, L25, L26</x:v>
      </x:c>
      <x:c r="H30" s="3" t="str">
        <x:v>문자 대조 일치 2026-10-09</x:v>
      </x:c>
    </x:row>
    <x:row r="31" ht="39" customHeight="1">
      <x:c r="A31" s="6" t="str">
        <x:v>A30</x:v>
      </x:c>
      <x:c r="B31" s="6" t="str">
        <x:v>Arias</x:v>
      </x:c>
      <x:c r="C31" s="6" t="str">
        <x:v>16</x:v>
      </x:c>
      <x:c r="D31" s="6" t="str">
        <x:v>§4.3</x:v>
      </x:c>
      <x:c r="E31" s="6" t="str">
        <x:v>The outcomes of nearly all BCMS processes are communicated centrally to stakeholders external to the BCMS as part of the consultation and communication process.</x:v>
      </x:c>
      <x:c r="F31" s="6" t="str">
        <x:v>거의 모든 BCMS 프로세스의 결과는 협의·커뮤니케이션 프로세스의 일부로서 BCMS 외부의 이해관계자에게 중앙에서 전달된다.</x:v>
      </x:c>
      <x:c r="G31" s="6" t="str">
        <x:v>L27</x:v>
      </x:c>
      <x:c r="H31" s="6" t="str">
        <x:v>문자 대조 일치 2026-10-09</x:v>
      </x:c>
    </x:row>
    <x:row r="32" ht="31.5" customHeight="1">
      <x:c r="A32" s="3" t="str">
        <x:v>A31</x:v>
      </x:c>
      <x:c r="B32" s="3" t="str">
        <x:v>Arias</x:v>
      </x:c>
      <x:c r="C32" s="3" t="str">
        <x:v>16</x:v>
      </x:c>
      <x:c r="D32" s="3" t="str">
        <x:v>§4.3</x:v>
      </x:c>
      <x:c r="E32" s="3" t="str">
        <x:v>These reports and identified requirements serve as inputs for the BC governance process.</x:v>
      </x:c>
      <x:c r="F32" s="3" t="str">
        <x:v>이 보고와 식별된 요구사항은 BC 거버넌스 프로세스의 입력으로 쓰인다.</x:v>
      </x:c>
      <x:c r="G32" s="3" t="str">
        <x:v>L28</x:v>
      </x:c>
      <x:c r="H32" s="3" t="str">
        <x:v>문자 대조 일치 2026-10-09</x:v>
      </x:c>
    </x:row>
    <x:row r="33" ht="39" customHeight="1">
      <x:c r="A33" s="6" t="str">
        <x:v>A32</x:v>
      </x:c>
      <x:c r="B33" s="6" t="str">
        <x:v>Arias</x:v>
      </x:c>
      <x:c r="C33" s="6" t="str">
        <x:v>16</x:v>
      </x:c>
      <x:c r="D33" s="6" t="str">
        <x:v>§4.3</x:v>
      </x:c>
      <x:c r="E33" s="6" t="str">
        <x:v>operational management of customer satisfaction levels and continuous demonstration of the added value of investments in business continuity need to be realized</x:v>
      </x:c>
      <x:c r="F33" s="6" t="str">
        <x:v>고객 만족 수준의 운영적 관리와 업무연속성 투자의 부가가치에 대한 지속적 입증이 실현되어야 한다(고객관계관리 프로세스에서 수행).</x:v>
      </x:c>
      <x:c r="G33" s="6" t="str">
        <x:v>L31</x:v>
      </x:c>
      <x:c r="H33" s="6" t="str">
        <x:v>문자 대조 일치 2026-10-09</x:v>
      </x:c>
    </x:row>
    <x:row r="34" ht="39" customHeight="1">
      <x:c r="A34" s="3" t="str">
        <x:v>A33</x:v>
      </x:c>
      <x:c r="B34" s="3" t="str">
        <x:v>Arias</x:v>
      </x:c>
      <x:c r="C34" s="3" t="str">
        <x:v>14</x:v>
      </x:c>
      <x:c r="D34" s="3" t="str">
        <x:v>§4.3</x:v>
      </x:c>
      <x:c r="E34" s="3" t="str">
        <x:v>The business continuity governance process, in particular, ensures that the BCMS matches the goals and requirements of the stakeholders responsible for oversight.</x:v>
      </x:c>
      <x:c r="F34" s="3" t="str">
        <x:v>BC 거버넌스 프로세스는 특히 BCMS가 감독 책임이 있는 이해관계자의 목표와 요구사항에 부합하도록 보장한다.</x:v>
      </x:c>
      <x:c r="G34" s="3" t="str">
        <x:v>L29</x:v>
      </x:c>
      <x:c r="H34" s="3" t="str">
        <x:v>문자 대조 일치 2026-10-09</x:v>
      </x:c>
    </x:row>
    <x:row r="35" ht="39" customHeight="1">
      <x:c r="A35" s="6" t="str">
        <x:v>A34</x:v>
      </x:c>
      <x:c r="B35" s="6" t="str">
        <x:v>Arias</x:v>
      </x:c>
      <x:c r="C35" s="6" t="str">
        <x:v>14</x:v>
      </x:c>
      <x:c r="D35" s="6" t="str">
        <x:v>§4.3</x:v>
      </x:c>
      <x:c r="E35" s="6" t="str">
        <x:v>The business continuity policy management process facilitates the systematic development, maintenance, and preservation of business continuity policies</x:v>
      </x:c>
      <x:c r="F35" s="6" t="str">
        <x:v>BC 정책관리 프로세스는 업무연속성 정책의 체계적인 개발·유지·보존을 촉진한다.</x:v>
      </x:c>
      <x:c r="G35" s="6" t="str">
        <x:v>L29</x:v>
      </x:c>
      <x:c r="H35" s="6" t="str">
        <x:v>문자 대조 일치 2026-10-09</x:v>
      </x:c>
    </x:row>
    <x:row r="36" ht="31.5" customHeight="1">
      <x:c r="A36" s="3" t="str">
        <x:v>A35</x:v>
      </x:c>
      <x:c r="B36" s="3" t="str">
        <x:v>Arias</x:v>
      </x:c>
      <x:c r="C36" s="3" t="str">
        <x:v>15</x:v>
      </x:c>
      <x:c r="D36" s="3" t="str">
        <x:v>§4.3</x:v>
      </x:c>
      <x:c r="E36" s="3" t="str">
        <x:v>This process also ensures that BC policies are accessible to, and clearly understood by, the intended audience.</x:v>
      </x:c>
      <x:c r="F36" s="3" t="str">
        <x:v>이 프로세스는 또한 BC 정책이 대상자에게 접근 가능하고 명확히 이해되도록 보장한다.</x:v>
      </x:c>
      <x:c r="G36" s="3" t="str">
        <x:v>L29</x:v>
      </x:c>
      <x:c r="H36" s="3" t="str">
        <x:v>문자 대조 일치 2026-10-09</x:v>
      </x:c>
    </x:row>
    <x:row r="37" ht="39" customHeight="1">
      <x:c r="A37" s="6" t="str">
        <x:v>A36</x:v>
      </x:c>
      <x:c r="B37" s="6" t="str">
        <x:v>Arias</x:v>
      </x:c>
      <x:c r="C37" s="6" t="str">
        <x:v>15</x:v>
      </x:c>
      <x:c r="D37" s="6" t="str">
        <x:v>§4.3</x:v>
      </x:c>
      <x:c r="E37" s="6" t="str">
        <x:v>The solution implementation management process involves initiating and verifying BC strategies, solutions, and changes that may result thereof.</x:v>
      </x:c>
      <x:c r="F37" s="6" t="str">
        <x:v>솔루션 이행관리 프로세스는 BC 전략·솔루션 및 그로부터 발생할 수 있는 변경을 개시하고 검증하는 것을 포함한다.</x:v>
      </x:c>
      <x:c r="G37" s="6" t="str">
        <x:v>L07 (확인 상태 근거)</x:v>
      </x:c>
      <x:c r="H37" s="6" t="str">
        <x:v>문자 대조 일치 2026-10-09</x:v>
      </x:c>
    </x:row>
    <x:row r="38" ht="39" customHeight="1">
      <x:c r="A38" s="3" t="str">
        <x:v>A37</x:v>
      </x:c>
      <x:c r="B38" s="3" t="str">
        <x:v>Arias</x:v>
      </x:c>
      <x:c r="C38" s="3" t="str">
        <x:v>15</x:v>
      </x:c>
      <x:c r="D38" s="3" t="str">
        <x:v>§4.3</x:v>
      </x:c>
      <x:c r="E38" s="3" t="str">
        <x:v>This procedure involves systematic prioritization of products, services, processes, and activities, followed by comprehensive analysis, consolidation, and securing of executive approval of the BIA findings.</x:v>
      </x:c>
      <x:c r="F38" s="3" t="str">
        <x:v>이 절차는 제품·서비스·프로세스·활동의 체계적 우선순위화, 이어지는 종합 분석·통합, 그리고 BIA 결과에 대한 경영진 승인 확보를 포함한다.</x:v>
      </x:c>
      <x:c r="G38" s="3" t="str">
        <x:v>L06 (BIA 결과의 "승인")</x:v>
      </x:c>
      <x:c r="H38" s="3" t="str">
        <x:v>문자 대조 일치 2026-10-09</x:v>
      </x:c>
    </x:row>
    <x:row r="39" ht="39" customHeight="1">
      <x:c r="A39" s="6" t="str">
        <x:v>A38</x:v>
      </x:c>
      <x:c r="B39" s="6" t="str">
        <x:v>Arias</x:v>
      </x:c>
      <x:c r="C39" s="6" t="str">
        <x:v>16</x:v>
      </x:c>
      <x:c r="D39" s="6" t="str">
        <x:v>§4.3</x:v>
      </x:c>
      <x:c r="E39" s="6" t="str">
        <x:v>Resources necessary for executing strategies and BCMS processes are identified, allocated, and monitored within the resource management process.</x:v>
      </x:c>
      <x:c r="F39" s="6" t="str">
        <x:v>전략과 BCMS 프로세스를 실행하는 데 필요한 자원은 자원관리 프로세스 안에서 식별·배정·모니터링된다.</x:v>
      </x:c>
      <x:c r="G39" s="6" t="str">
        <x:v>L10, L30</x:v>
      </x:c>
      <x:c r="H39" s="6" t="str">
        <x:v>문자 대조 일치 2026-10-09</x:v>
      </x:c>
    </x:row>
    <x:row r="40" ht="31.5" customHeight="1">
      <x:c r="A40" s="3" t="str">
        <x:v>A39</x:v>
      </x:c>
      <x:c r="B40" s="3" t="str">
        <x:v>Arias</x:v>
      </x:c>
      <x:c r="C40" s="3" t="str">
        <x:v>16</x:v>
      </x:c>
      <x:c r="D40" s="3" t="str">
        <x:v>§4.3</x:v>
      </x:c>
      <x:c r="E40" s="3" t="str">
        <x:v>outsourced services must be assessed, analyzed, and controlled regarding business continuity considerations</x:v>
      </x:c>
      <x:c r="F40" s="3" t="str">
        <x:v>외주 서비스는 업무연속성 관점에서 평가·분석·통제되어야 한다.</x:v>
      </x:c>
      <x:c r="G40" s="3" t="str">
        <x:v>L05 (측정 지표화 근거)</x:v>
      </x:c>
      <x:c r="H40" s="3" t="str">
        <x:v>문자 대조 일치 2026-10-09</x:v>
      </x:c>
    </x:row>
    <x:row r="41" ht="39" customHeight="1">
      <x:c r="A41" s="6" t="str">
        <x:v>A40</x:v>
      </x:c>
      <x:c r="B41" s="6" t="str">
        <x:v>Arias</x:v>
      </x:c>
      <x:c r="C41" s="6" t="str">
        <x:v>16</x:v>
      </x:c>
      <x:c r="D41" s="6" t="str">
        <x:v>§4.3</x:v>
      </x:c>
      <x:c r="E41" s="6" t="str">
        <x:v>the consultation and communication process represents the general mode of communication even in the absence of such an event</x:v>
      </x:c>
      <x:c r="F41" s="6" t="str">
        <x:v>협의·커뮤니케이션 프로세스는 그러한 사건이 없을 때에도 일반적인 커뮤니케이션 방식을 나타낸다.</x:v>
      </x:c>
      <x:c r="G41" s="6" t="str">
        <x:v>L27</x:v>
      </x:c>
      <x:c r="H41" s="6" t="str">
        <x:v>문자 대조 일치 2026-10-09</x:v>
      </x:c>
    </x:row>
    <x:row r="42" ht="39" customHeight="1">
      <x:c r="A42" s="3" t="str">
        <x:v>A41</x:v>
      </x:c>
      <x:c r="B42" s="3" t="str">
        <x:v>Arias</x:v>
      </x:c>
      <x:c r="C42" s="3" t="str">
        <x:v>16</x:v>
      </x:c>
      <x:c r="D42" s="3" t="str">
        <x:v>§4.3</x:v>
      </x:c>
      <x:c r="E42" s="3" t="str">
        <x:v>The process of controlling documented information involves identifying, creating, updating, and controlling information essential for the effectiveness of the BCMS.</x:v>
      </x:c>
      <x:c r="F42" s="3" t="str">
        <x:v>문서화된 정보 통제 프로세스는 BCMS의 효과성에 필수적인 정보를 식별·작성·갱신·통제하는 것을 포함한다.</x:v>
      </x:c>
      <x:c r="G42" s="3" t="str">
        <x:v>"갱신" 상태 정의의 근거 / L22</x:v>
      </x:c>
      <x:c r="H42" s="3" t="str">
        <x:v>문자 대조 일치 2026-10-09</x:v>
      </x:c>
    </x:row>
    <x:row r="43" ht="39" customHeight="1">
      <x:c r="A43" s="6" t="str">
        <x:v>A42</x:v>
      </x:c>
      <x:c r="B43" s="6" t="str">
        <x:v>Arias</x:v>
      </x:c>
      <x:c r="C43" s="6" t="str">
        <x:v>4</x:v>
      </x:c>
      <x:c r="D43" s="6" t="str">
        <x:v>§2.1</x:v>
      </x:c>
      <x:c r="E43" s="6" t="str">
        <x:v>In essence, a process represents a cohesive set of interrelated or interacting activities to transform inputs into outputs</x:v>
      </x:c>
      <x:c r="F43" s="6" t="str">
        <x:v>본질적으로 프로세스는 입력을 출력으로 전환하는, 상호 관련되거나 상호작용하는 활동의 응집된 집합이다.</x:v>
      </x:c>
      <x:c r="G43" s="6" t="str">
        <x:v>"프로세스(객체)" 정의</x:v>
      </x:c>
      <x:c r="H43" s="6" t="str">
        <x:v>문자 대조 일치 2026-10-09</x:v>
      </x:c>
    </x:row>
    <x:row r="44" ht="31.5" customHeight="1">
      <x:c r="A44" s="3" t="str">
        <x:v>A43</x:v>
      </x:c>
      <x:c r="B44" s="3" t="str">
        <x:v>Arias</x:v>
      </x:c>
      <x:c r="C44" s="3" t="str">
        <x:v>11</x:v>
      </x:c>
      <x:c r="D44" s="3" t="str">
        <x:v>§4.2</x:v>
      </x:c>
      <x:c r="E44" s="3" t="str">
        <x:v>According to [32,33], the 80% threshold for consensus is commonly used and generally perceived as fair.</x:v>
      </x:c>
      <x:c r="F44" s="3" t="str">
        <x:v>[32,33]에 따르면 합의의 80% 기준은 흔히 사용되며 일반적으로 공정하다고 인식된다.</x:v>
      </x:c>
      <x:c r="G44" s="3" t="str">
        <x:v>검증 계획의 80% 합의 기준</x:v>
      </x:c>
      <x:c r="H44" s="3" t="str">
        <x:v>문자 대조 일치 2026-10-09</x:v>
      </x:c>
    </x:row>
    <x:row r="45" ht="53.25" customHeight="1">
      <x:c r="A45" s="6" t="str">
        <x:v>A44</x:v>
      </x:c>
      <x:c r="B45" s="6" t="str">
        <x:v>Arias</x:v>
      </x:c>
      <x:c r="C45" s="6" t="str">
        <x:v>11</x:v>
      </x:c>
      <x:c r="D45" s="6" t="str">
        <x:v>§4.2</x:v>
      </x:c>
      <x:c r="E45" s="6" t="str">
        <x:v>Category 1 processes represent those clearly identified as BCMS core processes by 80% or more of the experts. Category 2 processes were not clearly identified as BCMS core processes, recognized by 20% to 80% of the experts. Category 3 processes were identified as not being BCMS core processes, recognized by less than 20% of the experts.</x:v>
      </x:c>
      <x:c r="F45" s="6" t="str">
        <x:v>범주 1은 전문가 80% 이상이 BCMS 핵심 프로세스로 명확히 식별한 것, 범주 2는 20~80%가 인식한 것, 범주 3은 20% 미만이 인식한 것이다.</x:v>
      </x:c>
      <x:c r="G45" s="6" t="str">
        <x:v>검증 계획의 채택/토론/삭제 3단계 판정 틀</x:v>
      </x:c>
      <x:c r="H45" s="6" t="str">
        <x:v>문자 대조 일치 2026-10-09</x:v>
      </x:c>
    </x:row>
    <x:row r="46" ht="39" customHeight="1">
      <x:c r="A46" s="3" t="str">
        <x:v>A45</x:v>
      </x:c>
      <x:c r="B46" s="3" t="str">
        <x:v>Arias</x:v>
      </x:c>
      <x:c r="C46" s="3" t="str">
        <x:v>12</x:v>
      </x:c>
      <x:c r="D46" s="3" t="str">
        <x:v>§4.2</x:v>
      </x:c>
      <x:c r="E46" s="3" t="str">
        <x:v>even if no consensus was reached within the interviewed experts, the authors assert the presence of both processes as core components of the BCMS, based on their explicit definition in [2,21].</x:v>
      </x:c>
      <x:c r="F46" s="3" t="str">
        <x:v>전문가 합의에 이르지 못했더라도, 저자들은 ISO 22301 등의 명시적 정의에 근거해 두 프로세스를 BCMS의 핵심 구성요소로 본다.</x:v>
      </x:c>
      <x:c r="G46" s="3" t="str">
        <x:v>합의 미달 프로세스도 표준 근거로 유지한 선례</x:v>
      </x:c>
      <x:c r="H46" s="3" t="str">
        <x:v>문자 대조 일치 2026-10-09</x:v>
      </x:c>
    </x:row>
    <x:row r="47" ht="31.5" customHeight="1">
      <x:c r="A47" s="6" t="str">
        <x:v>A46</x:v>
      </x:c>
      <x:c r="B47" s="6" t="str">
        <x:v>Arias</x:v>
      </x:c>
      <x:c r="C47" s="6" t="str">
        <x:v>16</x:v>
      </x:c>
      <x:c r="D47" s="6" t="str">
        <x:v>§4.3</x:v>
      </x:c>
      <x:c r="E47" s="6" t="str">
        <x:v>This is realized within the continual improvement process.</x:v>
      </x:c>
      <x:c r="F47" s="6" t="str">
        <x:v>이는 지속적 개선 프로세스 안에서 실현된다.</x:v>
      </x:c>
      <x:c r="G47" s="6" t="str">
        <x:v>L18, L19, L20 (도착 프로세스)</x:v>
      </x:c>
      <x:c r="H47" s="6" t="str">
        <x:v>문자 대조 일치 2026-10-09</x:v>
      </x:c>
    </x:row>
    <x:row r="48" ht="31.5" customHeight="1">
      <x:c r="A48" s="3" t="str">
        <x:v>A47</x:v>
      </x:c>
      <x:c r="B48" s="3" t="str">
        <x:v>Arias</x:v>
      </x:c>
      <x:c r="C48" s="3" t="str">
        <x:v>16</x:v>
      </x:c>
      <x:c r="D48" s="3" t="str">
        <x:v>§4.3</x:v>
      </x:c>
      <x:c r="E48" s="3" t="str">
        <x:v>It encompasses the communication of risks and reports concerning BC management.</x:v>
      </x:c>
      <x:c r="F48" s="3" t="str">
        <x:v>(협의·커뮤니케이션 프로세스는) 리스크와 BC 관리에 관한 보고의 커뮤니케이션을 포함한다.</x:v>
      </x:c>
      <x:c r="G48" s="3" t="str">
        <x:v>L28 ("These reports"의 지시 대상)</x:v>
      </x:c>
      <x:c r="H48" s="3" t="str">
        <x:v>문자 대조 일치 2026-10-09</x:v>
      </x:c>
    </x:row>
    <x:row r="49" ht="31.5" customHeight="1">
      <x:c r="A49" s="6" t="str">
        <x:v>A48</x:v>
      </x:c>
      <x:c r="B49" s="6" t="str">
        <x:v>Arias</x:v>
      </x:c>
      <x:c r="C49" s="6" t="str">
        <x:v>10</x:v>
      </x:c>
      <x:c r="D49" s="6" t="str">
        <x:v>§4.1</x:v>
      </x:c>
      <x:c r="E49" s="6" t="str">
        <x:v>Therefore, the BCMS planning process is categorized as a project.</x:v>
      </x:c>
      <x:c r="F49" s="6" t="str">
        <x:v>따라서 BCMS 계획 프로세스는 프로젝트로 분류된다.</x:v>
      </x:c>
      <x:c r="G49" s="6" t="str">
        <x:v>객체 22개에서 BCMS 계획을 제외한 근거</x:v>
      </x:c>
      <x:c r="H49" s="6" t="str">
        <x:v>문자 대조 일치 2026-10-09</x:v>
      </x:c>
    </x:row>
    <x:row r="50" ht="31.5" customHeight="1">
      <x:c r="A50" s="3" t="str">
        <x:v>B01</x:v>
      </x:c>
      <x:c r="B50" s="3" t="str">
        <x:v>Białas</x:v>
      </x:c>
      <x:c r="C50" s="3" t="str">
        <x:v>1</x:v>
      </x:c>
      <x:c r="D50" s="3" t="str">
        <x:v>§1</x:v>
      </x:c>
      <x:c r="E50" s="3" t="str">
        <x:v>BCMS encompasses many different processes of different character, interrelated in a complex way.</x:v>
      </x:c>
      <x:c r="F50" s="3" t="str">
        <x:v>BCMS는 서로 다른 성격의, 복잡하게 상호 관련된 많은 프로세스를 포괄한다.</x:v>
      </x:c>
      <x:c r="G50" s="3" t="str">
        <x:v>연계성 정의의 근거</x:v>
      </x:c>
      <x:c r="H50" s="3" t="str">
        <x:v>문자 대조 일치 2026-10-09</x:v>
      </x:c>
    </x:row>
    <x:row r="51" ht="39" customHeight="1">
      <x:c r="A51" s="6" t="str">
        <x:v>B02</x:v>
      </x:c>
      <x:c r="B51" s="6" t="str">
        <x:v>Białas</x:v>
      </x:c>
      <x:c r="C51" s="6" t="str">
        <x:v>2</x:v>
      </x:c>
      <x:c r="D51" s="6" t="str">
        <x:v>§2.1</x:v>
      </x:c>
      <x:c r="E51" s="6" t="str">
        <x:v>The ontology domain questions that the ontology related knowledge base is able to answer are called competency questions</x:v>
      </x:c>
      <x:c r="F51" s="6" t="str">
        <x:v>온톨로지 관련 지식베이스가 답할 수 있는 온톨로지 영역의 질문을 competency question이라 한다.</x:v>
      </x:c>
      <x:c r="G51" s="6" t="str">
        <x:v>competency question 정의(연결 시트 CQ 열)</x:v>
      </x:c>
      <x:c r="H51" s="6" t="str">
        <x:v>문자 대조 일치 2026-10-09</x:v>
      </x:c>
    </x:row>
    <x:row r="52" ht="31.5" customHeight="1">
      <x:c r="A52" s="3" t="str">
        <x:v>B03</x:v>
      </x:c>
      <x:c r="B52" s="3" t="str">
        <x:v>Białas</x:v>
      </x:c>
      <x:c r="C52" s="3" t="str">
        <x:v>2</x:v>
      </x:c>
      <x:c r="D52" s="3" t="str">
        <x:v>§2.1</x:v>
      </x:c>
      <x:c r="E52" s="3" t="str">
        <x:v>The answers define the scope of the ontology.</x:v>
      </x:c>
      <x:c r="F52" s="3" t="str">
        <x:v>그 답이 온톨로지의 범위를 정의한다.</x:v>
      </x:c>
      <x:c r="G52" s="3" t="str">
        <x:v>CQ로 측정 범위를 정하는 방식</x:v>
      </x:c>
      <x:c r="H52" s="3" t="str">
        <x:v>문자 대조 일치 2026-10-09</x:v>
      </x:c>
    </x:row>
    <x:row r="53" ht="31.5" customHeight="1">
      <x:c r="A53" s="6" t="str">
        <x:v>B04</x:v>
      </x:c>
      <x:c r="B53" s="6" t="str">
        <x:v>Białas</x:v>
      </x:c>
      <x:c r="C53" s="6" t="str">
        <x:v>3</x:v>
      </x:c>
      <x:c r="D53" s="6" t="str">
        <x:v>§2.5</x:v>
      </x:c>
      <x:c r="E53" s="6" t="str">
        <x:v>i.e. relationships between an individual member of the given class (the object) and other individuals</x:v>
      </x:c>
      <x:c r="F53" s="6" t="str">
        <x:v>즉, 해당 클래스의 개체(객체)와 다른 개체들 사이의 관계.</x:v>
      </x:c>
      <x:c r="G53" s="6" t="str">
        <x:v>object-type slot 정의(연결 = 관계)</x:v>
      </x:c>
      <x:c r="H53" s="6" t="str">
        <x:v>문자 대조 일치 2026-10-09</x:v>
      </x:c>
    </x:row>
    <x:row r="54" ht="39" customHeight="1">
      <x:c r="A54" s="3" t="str">
        <x:v>B05</x:v>
      </x:c>
      <x:c r="B54" s="3" t="str">
        <x:v>Białas</x:v>
      </x:c>
      <x:c r="C54" s="3" t="str">
        <x:v>3</x:v>
      </x:c>
      <x:c r="D54" s="3" t="str">
        <x:v>§2.5</x:v>
      </x:c>
      <x:c r="E54" s="3" t="str">
        <x:v>An instance-type slot is attached to the classes which are called a domain. The classes indicated by this slot are called a range.</x:v>
      </x:c>
      <x:c r="F54" s="3" t="str">
        <x:v>instance-type slot이 부착되는 클래스를 domain이라 하고, 이 slot이 가리키는 클래스를 range라 한다.</x:v>
      </x:c>
      <x:c r="G54" s="3" t="str">
        <x:v>연결의 출발(domain)과 도착(range) 정의</x:v>
      </x:c>
      <x:c r="H54" s="3" t="str">
        <x:v>문자 대조 일치 2026-10-09</x:v>
      </x:c>
    </x:row>
    <x:row r="55" ht="39" customHeight="1">
      <x:c r="A55" s="6" t="str">
        <x:v>B06</x:v>
      </x:c>
      <x:c r="B55" s="6" t="str">
        <x:v>Białas</x:v>
      </x:c>
      <x:c r="C55" s="6" t="str">
        <x:v>3</x:v>
      </x:c>
      <x:c r="D55" s="6" t="str">
        <x:v>§2.5</x:v>
      </x:c>
      <x:c r="E55" s="6" t="str">
        <x:v>i.e. intrinsic or extrinsic properties of the individuals of the most elementary classes</x:v>
      </x:c>
      <x:c r="F55" s="6" t="str">
        <x:v>즉, 가장 기초적인 클래스의 개체가 지니는 내재적·외재적 속성.</x:v>
      </x:c>
      <x:c r="G55" s="6" t="str">
        <x:v>data-type slot 정의(반영·확인·갱신을 연결의 속성으로 두는 근거)</x:v>
      </x:c>
      <x:c r="H55" s="6" t="str">
        <x:v>문자 대조 일치 2026-10-09</x:v>
      </x:c>
    </x:row>
    <x:row r="56" ht="39" customHeight="1">
      <x:c r="A56" s="3" t="str">
        <x:v>B07</x:v>
      </x:c>
      <x:c r="B56" s="3" t="str">
        <x:v>Białas</x:v>
      </x:c>
      <x:c r="C56" s="3" t="str">
        <x:v>3</x:v>
      </x:c>
      <x:c r="D56" s="3" t="str">
        <x:v>§2.6</x:v>
      </x:c>
      <x:c r="E56" s="3" t="str">
        <x:v>The individuals with filled-in slots represent the key BCM artefacts, mostly documents, of the BCMO related knowledge base.</x:v>
      </x:c>
      <x:c r="F56" s="3" t="str">
        <x:v>slot이 채워진 개체는 BCMO 지식베이스의 핵심 BCM 산출물(주로 문서)을 나타낸다.</x:v>
      </x:c>
      <x:c r="G56" s="3" t="str">
        <x:v>산출물(artefact) 개념</x:v>
      </x:c>
      <x:c r="H56" s="3" t="str">
        <x:v>문자 대조 일치 2026-10-09</x:v>
      </x:c>
    </x:row>
    <x:row r="57" ht="53.25" customHeight="1">
      <x:c r="A57" s="6" t="str">
        <x:v>B08</x:v>
      </x:c>
      <x:c r="B57" s="6" t="str">
        <x:v>Białas</x:v>
      </x:c>
      <x:c r="C57" s="6" t="str">
        <x:v>3</x:v>
      </x:c>
      <x:c r="D57" s="6" t="str">
        <x:v>§2.7</x:v>
      </x:c>
      <x:c r="E57" s="6" t="str">
        <x:v>During the validation process the user checks if the right structures of individuals are composed, if they have assumed properties, if the needed information can be retrieved properly by queries from the knowledge database, and if the forms are properly defined.</x:v>
      </x:c>
      <x:c r="F57" s="6" t="str">
        <x:v>검증 과정에서 사용자는 개체의 올바른 구조가 구성되었는지, 가정된 속성을 갖는지, 필요한 정보가 질의로 올바르게 검색되는지, 입력 양식이 적절히 정의되었는지를 확인한다.</x:v>
      </x:c>
      <x:c r="G57" s="6" t="str">
        <x:v>검증 계획 6.1·6.5 방법의 근거</x:v>
      </x:c>
      <x:c r="H57" s="6" t="str">
        <x:v>문자 대조 일치 2026-10-09</x:v>
      </x:c>
    </x:row>
    <x:row r="58" ht="31.5" customHeight="1">
      <x:c r="A58" s="3" t="str">
        <x:v>B09</x:v>
      </x:c>
      <x:c r="B58" s="3" t="str">
        <x:v>Białas</x:v>
      </x:c>
      <x:c r="C58" s="3" t="str">
        <x:v>2</x:v>
      </x:c>
      <x:c r="D58" s="3" t="str">
        <x:v>§2.3</x:v>
      </x:c>
      <x:c r="E58" s="3" t="str">
        <x:v>The terms are grouped around four phases of the PDCA (Plan-Do-Check-Act) management model</x:v>
      </x:c>
      <x:c r="F58" s="3" t="str">
        <x:v>용어는 PDCA 관리 모델의 네 단계를 중심으로 묶인다.</x:v>
      </x:c>
      <x:c r="G58" s="3" t="str">
        <x:v>Białas의 분류 방식(참고)</x:v>
      </x:c>
      <x:c r="H58" s="3" t="str">
        <x:v>문자 대조 일치 2026-10-09</x:v>
      </x:c>
    </x:row>
    <x:row r="59" ht="31.5" customHeight="1">
      <x:c r="A59" s="6" t="str">
        <x:v>B10</x:v>
      </x:c>
      <x:c r="B59" s="6" t="str">
        <x:v>Białas</x:v>
      </x:c>
      <x:c r="C59" s="6" t="str">
        <x:v>6</x:v>
      </x:c>
      <x:c r="D59" s="6" t="str">
        <x:v>§2.8 (Fig.4 설명)</x:v>
      </x:c>
      <x:c r="E59" s="6" t="str">
        <x:v>resources required for these services resumption</x:v>
      </x:c>
      <x:c r="F59" s="6" t="str">
        <x:v>이들 서비스 재개에 필요한 자원</x:v>
      </x:c>
      <x:c r="G59" s="6" t="str">
        <x:v>L11(BIA 보고서와 복구 자원의 질의 연결)</x:v>
      </x:c>
      <x:c r="H59" s="6" t="str">
        <x:v>문자 대조 일치 2026-10-09</x:v>
      </x:c>
    </x:row>
    <x:row r="60" ht="31.5" customHeight="1">
      <x:c r="A60" s="3" t="str">
        <x:v>B11</x:v>
      </x:c>
      <x:c r="B60" s="3" t="str">
        <x:v>Białas</x:v>
      </x:c>
      <x:c r="C60" s="3" t="str">
        <x:v>6</x:v>
      </x:c>
      <x:c r="D60" s="3" t="str">
        <x:v>§2.8 (Fig.4 설명)</x:v>
      </x:c>
      <x:c r="E60" s="3" t="str">
        <x:v>looks for business impact analysis (BIA) reports related to the two following issues</x:v>
      </x:c>
      <x:c r="F60" s="3" t="str">
        <x:v>(업무연속성 관리자가) 다음 두 가지 사안과 관련된 BIA 보고서를 찾는다.</x:v>
      </x:c>
      <x:c r="G60" s="3" t="str">
        <x:v>L11</x:v>
      </x:c>
      <x:c r="H60" s="3" t="str">
        <x:v>문자 대조 일치 2026-10-09</x:v>
      </x:c>
    </x:row>
    <x:row r="61" ht="39" customHeight="1">
      <x:c r="A61" s="6" t="str">
        <x:v>B12</x:v>
      </x:c>
      <x:c r="B61" s="6" t="str">
        <x:v>Białas</x:v>
      </x:c>
      <x:c r="C61" s="6" t="str">
        <x:v>5</x:v>
      </x:c>
      <x:c r="D61" s="6" t="str">
        <x:v>§2.8 (Fig.3 설명)</x:v>
      </x:c>
      <x:c r="E61" s="6" t="str">
        <x:v>Please note the person responsible for trainings, expressed by a certain role, engaged resources for trainings, needs, programs, detailed activities, results and records</x:v>
      </x:c>
      <x:c r="F61" s="6" t="str">
        <x:v>훈련 책임자(역할로 표현), 훈련에 투입된 자원, 필요, 프로그램, 세부 활동, 결과, 기록에 유의하라.</x:v>
      </x:c>
      <x:c r="G61" s="6" t="str">
        <x:v>L17(교육의 "필요"가 별도 항목으로 존재)</x:v>
      </x:c>
      <x:c r="H61" s="6" t="str">
        <x:v>문자 대조 일치 2026-10-09</x:v>
      </x:c>
    </x:row>
    <x:row r="62" ht="53.25" customHeight="1">
      <x:c r="A62" s="3" t="str">
        <x:v>B13</x:v>
      </x:c>
      <x:c r="B62" s="3" t="str">
        <x:v>Białas</x:v>
      </x:c>
      <x:c r="C62" s="3" t="str">
        <x:v>4-5</x:v>
      </x:c>
      <x:c r="D62" s="3" t="str">
        <x:v>§2.8 (Fig.2 설명)</x:v>
      </x:c>
      <x:c r="E62" s="3" t="str">
        <x:v>Individuals included in slots represent particular issues from the phase “Plan” specified by standard: general requirements, business continuity scope, objectives, policy and plan, suppliers and outsourced activities, provision of resources, training, awareness, embedding BCM in the organization’s culture, documentation and records.</x:v>
      </x:c>
      <x:c r="F62" s="3" t="str">
        <x:v>slot에 포함된 개체는 표준이 규정한 "Plan" 단계의 개별 사안(일반 요구사항, 범위, 목표, 정책과 계획, 공급자·외주, 자원 제공, 교육, 인식, 조직문화 내재화, 문서·기록)을 나타낸다.</x:v>
      </x:c>
      <x:c r="G62" s="3" t="str">
        <x:v>L29(정책과 목표가 같은 단계의 병렬 항목)</x:v>
      </x:c>
      <x:c r="H62" s="3" t="str">
        <x:v>문자 대조 일치 2026-10-09</x:v>
      </x:c>
    </x:row>
    <x:row r="63" ht="39" customHeight="1">
      <x:c r="A63" s="6" t="str">
        <x:v>B14</x:v>
      </x:c>
      <x:c r="B63" s="6" t="str">
        <x:v>Białas</x:v>
      </x:c>
      <x:c r="C63" s="6" t="str">
        <x:v>6</x:v>
      </x:c>
      <x:c r="D63" s="6" t="str">
        <x:v>§3</x:v>
      </x:c>
      <x:c r="E63" s="6" t="str">
        <x:v>it is still a prototype which requires: knowledge base extension, further development, introducing more sophisticated competency questions, and more validation on real data</x:v>
      </x:c>
      <x:c r="F63" s="6" t="str">
        <x:v>(BCMO는) 여전히 프로토타입이며 지식베이스 확장, 추가 개발, 더 정교한 competency question 도입, 실제 데이터에 대한 추가 검증이 필요하다.</x:v>
      </x:c>
      <x:c r="G63" s="6" t="str">
        <x:v>Białas의 한계(본 연구가 방법만 차용하는 이유)</x:v>
      </x:c>
      <x:c r="H63" s="6" t="str">
        <x:v>문자 대조 일치 2026-10-09</x:v>
      </x:c>
    </x:row>
    <x:row r="64" ht="31.5" customHeight="1">
      <x:c r="A64" s="3" t="str">
        <x:v>B15</x:v>
      </x:c>
      <x:c r="B64" s="3" t="str">
        <x:v>Białas</x:v>
      </x:c>
      <x:c r="C64" s="3" t="str">
        <x:v>1</x:v>
      </x:c>
      <x:c r="D64" s="3" t="str">
        <x:v>초록</x:v>
      </x:c>
      <x:c r="E64" s="3" t="str">
        <x:v>compliant with the BS 25999 standard</x:v>
      </x:c>
      <x:c r="F64" s="3" t="str">
        <x:v>BS 25999 표준에 부합하는</x:v>
      </x:c>
      <x:c r="G64" s="3" t="str">
        <x:v>Białas가 BS 25999 기반임</x:v>
      </x:c>
      <x:c r="H64" s="3" t="str">
        <x:v>문자 대조 일치 2026-10-09</x:v>
      </x:c>
    </x:row>
    <x:row r="65" ht="39" customHeight="1">
      <x:c r="A65" s="6" t="str">
        <x:v>B16</x:v>
      </x:c>
      <x:c r="B65" s="6" t="str">
        <x:v>Białas</x:v>
      </x:c>
      <x:c r="C65" s="6" t="str">
        <x:v>4</x:v>
      </x:c>
      <x:c r="D65" s="6" t="str">
        <x:v>§2.8 (Fig.1 설명)</x:v>
      </x:c>
      <x:c r="E65" s="6" t="str">
        <x:v>supportedByResource slot contains three individuals of resources used to manage and maintain BCMS within this organization</x:v>
      </x:c>
      <x:c r="F65" s="6" t="str">
        <x:v>supportedByResource slot은 이 조직 안에서 BCMS를 관리·유지하는 데 쓰이는 세 개의 자원 개체를 담는다.</x:v>
      </x:c>
      <x:c r="G65" s="6" t="str">
        <x:v>L10(자원이 BCMS를 지원한다는 구조)</x:v>
      </x:c>
      <x:c r="H65" s="6" t="str">
        <x:v>문자 대조 일치 2026-10-09</x:v>
      </x:c>
    </x:row>
    <x:row r="66" ht="31.5" customHeight="1">
      <x:c r="A66" s="3" t="str">
        <x:v>A49</x:v>
      </x:c>
      <x:c r="B66" s="3" t="str">
        <x:v>Arias</x:v>
      </x:c>
      <x:c r="C66" s="3" t="str">
        <x:v>9</x:v>
      </x:c>
      <x:c r="D66" s="3" t="str">
        <x:v>§4.1</x:v>
      </x:c>
      <x:c r="E66" s="3" t="str">
        <x:v>This means that the business continuity manager is accountable for the whole process.</x:v>
      </x:c>
      <x:c r="F66" s="3" t="str">
        <x:v>이는 업무연속성 관리자가 프로세스 전체에 대해 책임(accountable)을 진다는 뜻이다.</x:v>
      </x:c>
      <x:c r="G66" s="3" t="str">
        <x:v>책임성 차원(프로세스 책임자)</x:v>
      </x:c>
      <x:c r="H66" s="3" t="str">
        <x:v>문자 대조 일치 2026-10-09</x:v>
      </x:c>
    </x:row>
    <x:row r="67" ht="31.5" customHeight="1">
      <x:c r="A67" s="6" t="str">
        <x:v>A50</x:v>
      </x:c>
      <x:c r="B67" s="6" t="str">
        <x:v>Arias</x:v>
      </x:c>
      <x:c r="C67" s="6" t="str">
        <x:v>9</x:v>
      </x:c>
      <x:c r="D67" s="6" t="str">
        <x:v>§4.1</x:v>
      </x:c>
      <x:c r="E67" s="6" t="str">
        <x:v>The business continuity manager is also responsible for the process design</x:v>
      </x:c>
      <x:c r="F67" s="6" t="str">
        <x:v>업무연속성 관리자는 프로세스 설계에 대한 책임(responsible)도 진다.</x:v>
      </x:c>
      <x:c r="G67" s="6" t="str">
        <x:v>책임성 차원</x:v>
      </x:c>
      <x:c r="H67" s="6" t="str">
        <x:v>문자 대조 일치 2026-10-09</x:v>
      </x:c>
    </x:row>
    <x:row r="68" ht="39" customHeight="1">
      <x:c r="A68" s="3" t="str">
        <x:v>A51</x:v>
      </x:c>
      <x:c r="B68" s="3" t="str">
        <x:v>Arias</x:v>
      </x:c>
      <x:c r="C68" s="3" t="str">
        <x:v>16-17</x:v>
      </x:c>
      <x:c r="D68" s="3" t="str">
        <x:v>§4.3</x:v>
      </x:c>
      <x:c r="E68" s="3" t="str">
        <x:v>Specific outputs, such as management approval and scope definition, necessitate regular scrutiny for relevance and appropriateness.</x:v>
      </x:c>
      <x:c r="F68" s="3" t="str">
        <x:v>경영진 승인과 범위 정의 같은 특정 산출물은 적합성과 적절성에 대한 정기적 점검을 필요로 한다.</x:v>
      </x:c>
      <x:c r="G68" s="3" t="str">
        <x:v>최신성 차원(정기 점검)</x:v>
      </x:c>
      <x:c r="H68" s="3" t="str">
        <x:v>문자 대조 일치 2026-10-09</x:v>
      </x:c>
    </x:row>
    <x:row r="69" ht="39" customHeight="1">
      <x:c r="A69" s="6" t="str">
        <x:v>A52</x:v>
      </x:c>
      <x:c r="B69" s="6" t="str">
        <x:v>Arias</x:v>
      </x:c>
      <x:c r="C69" s="6" t="str">
        <x:v>17</x:v>
      </x:c>
      <x:c r="D69" s="6" t="str">
        <x:v>§4.3</x:v>
      </x:c>
      <x:c r="E69" s="6" t="str">
        <x:v>Regular activities like renewing the management approval are also integrated into the business continuity governance processes.</x:v>
      </x:c>
      <x:c r="F69" s="6" t="str">
        <x:v>경영진 승인의 갱신 같은 정기 활동도 BC 거버넌스 프로세스에 통합되어 있다.</x:v>
      </x:c>
      <x:c r="G69" s="6" t="str">
        <x:v>최신성 차원(승인 갱신)</x:v>
      </x:c>
      <x:c r="H69" s="6" t="str">
        <x:v>문자 대조 일치 2026-10-09</x:v>
      </x:c>
    </x:row>
    <x:row r="70" ht="39" customHeight="1">
      <x:c r="A70" s="3" t="str">
        <x:v>A53</x:v>
      </x:c>
      <x:c r="B70" s="3" t="str">
        <x:v>Arias</x:v>
      </x:c>
      <x:c r="C70" s="3" t="str">
        <x:v>18</x:v>
      </x:c>
      <x:c r="D70" s="3" t="str">
        <x:v>§5</x:v>
      </x:c>
      <x:c r="E70" s="3" t="str">
        <x:v>Regular reviews of BC plans and procedures and a process-oriented approach with continuous improvements are essential.</x:v>
      </x:c>
      <x:c r="F70" s="3" t="str">
        <x:v>BC 계획·절차의 정기 검토와 지속적 개선을 동반한 프로세스 중심 접근이 필수적이다.</x:v>
      </x:c>
      <x:c r="G70" s="3" t="str">
        <x:v>환류폐쇄성·최신성 차원</x:v>
      </x:c>
      <x:c r="H70" s="3" t="str">
        <x:v>문자 대조 일치 2026-10-09</x:v>
      </x:c>
    </x:row>
    <x:row r="71" ht="39" customHeight="1">
      <x:c r="A71" s="6" t="str">
        <x:v>A54</x:v>
      </x:c>
      <x:c r="B71" s="6" t="str">
        <x:v>Arias</x:v>
      </x:c>
      <x:c r="C71" s="6" t="str">
        <x:v>18</x:v>
      </x:c>
      <x:c r="D71" s="6" t="str">
        <x:v>§5</x:v>
      </x:c>
      <x:c r="E71" s="6" t="str">
        <x:v>The core processes of the BCMS are regularly evaluated and adjusted to ensure the effectiveness and efficiency of the system.</x:v>
      </x:c>
      <x:c r="F71" s="6" t="str">
        <x:v>BCMS의 핵심 프로세스는 시스템의 효과성과 효율성을 보장하기 위해 정기적으로 평가·조정된다.</x:v>
      </x:c>
      <x:c r="G71" s="6" t="str">
        <x:v>환류폐쇄성 차원</x:v>
      </x:c>
      <x:c r="H71" s="6" t="str">
        <x:v>문자 대조 일치 2026-10-09</x:v>
      </x:c>
    </x:row>
    <x:row r="72" ht="31.5" customHeight="1">
      <x:c r="A72" s="3" t="str">
        <x:v>B17</x:v>
      </x:c>
      <x:c r="B72" s="3" t="str">
        <x:v>Białas</x:v>
      </x:c>
      <x:c r="C72" s="3" t="str">
        <x:v>5</x:v>
      </x:c>
      <x:c r="D72" s="3" t="str">
        <x:v>§2.8 (Fig.3 설명)</x:v>
      </x:c>
      <x:c r="E72" s="3" t="str">
        <x:v>results and records (used as evidences during BCMS certification)</x:v>
      </x:c>
      <x:c r="F72" s="3" t="str">
        <x:v>결과와 기록(BCMS 인증 과정에서 증거로 사용됨)</x:v>
      </x:c>
      <x:c r="G72" s="3" t="str">
        <x:v>증빙성 차원(기록=증거)</x:v>
      </x:c>
      <x:c r="H72" s="3" t="str">
        <x:v>문자 대조 일치 2026-10-09</x:v>
      </x:c>
    </x:row>
    <x:row r="73" ht="39" customHeight="1">
      <x:c r="A73" s="6" t="str">
        <x:v>B18</x:v>
      </x:c>
      <x:c r="B73" s="6" t="str">
        <x:v>Białas</x:v>
      </x:c>
      <x:c r="C73" s="6" t="str">
        <x:v>4</x:v>
      </x:c>
      <x:c r="D73" s="6" t="str">
        <x:v>§2.8 (Fig.1 설명)</x:v>
      </x:c>
      <x:c r="E73" s="6" t="str">
        <x:v>the monitorReview_C slot filled with BCMS_3Check_4 individual, and the maintImprove_A slot filled with BCMS_4Act_1 individual</x:v>
      </x:c>
      <x:c r="F73" s="6" t="str">
        <x:v>monitorReview_C slot은 BCMS_3Check_4 개체로, maintImprove_A slot은 BCMS_4Act_1 개체로 채워진다.</x:v>
      </x:c>
      <x:c r="G73" s="6" t="str">
        <x:v>환류폐쇄성 차원(점검→개선 구조)</x:v>
      </x:c>
      <x:c r="H73" s="6" t="str">
        <x:v>문자 대조 일치 2026-10-09</x:v>
      </x:c>
    </x:row>
  </x:sheetData>
  <x:pageMargins left="0.7" right="0.7" top="0.75" bottom="0.75" header="0.3" footer="0.3"/>
  <x:tableParts count="1">
    <x:tablePart xmlns:r="http://schemas.openxmlformats.org/officeDocument/2006/relationships" r:id="R8cf61ed74f5e4bd8"/>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890000343322754" hidden="0" customWidth="1"/>
    <x:col min="2" max="2" width="94.44000244140625" hidden="0" customWidth="1"/>
    <x:col min="3" max="3" width="24.440000534057617" hidden="0" customWidth="1"/>
    <x:col min="4" max="4" width="35.560001373291016" hidden="0" customWidth="1"/>
    <x:col min="5" max="5" width="78.88999938964844" hidden="0" customWidth="1"/>
    <x:col min="6" max="6" width="86.66999816894531" hidden="0" customWidth="1"/>
  </x:cols>
  <x:sheetData>
    <x:row r="1" ht="37.5" customHeight="1">
      <x:c r="A1" s="5" t="str">
        <x:v>ID</x:v>
      </x:c>
      <x:c r="B1" s="5" t="str">
        <x:v>참고문헌</x:v>
      </x:c>
      <x:c r="C1" s="5" t="str">
        <x:v>확인 수준</x:v>
      </x:c>
      <x:c r="D1" s="5" t="str">
        <x:v>확인 위치</x:v>
      </x:c>
      <x:c r="E1" s="5" t="str">
        <x:v>사용 범위·한계</x:v>
      </x:c>
      <x:c r="F1" s="5" t="str">
        <x:v>원문 또는 출판사 URL</x:v>
      </x:c>
    </x:row>
    <x:row r="2" ht="39" customHeight="1">
      <x:c r="A2" s="3" t="str">
        <x:v>S01</x:v>
      </x:c>
      <x:c r="B2" s="3" t="str">
        <x:v>Gotel, O. C. Z., &amp; Finkelstein, A. C. W. (1994). An analysis of the requirements traceability problem. In Proc. 1st Int. Conf. on Requirements Engineering (ICRE), pp. 94–101. IEEE Computer Society Press.</x:v>
      </x:c>
      <x:c r="C2" s="3" t="str">
        <x:v>원문 본문 확인</x:v>
      </x:c>
      <x:c r="D2" s="3" t="str">
        <x:v>§5.1 PDF p.4; 첫 정의 PDF p.1</x:v>
      </x:c>
      <x:c r="E2" s="3" t="str">
        <x:v>요구사항의 생애를 전방·후방으로 추적하는 개념. 후방 근거 추적의 부분 차용을 명시.</x:v>
      </x:c>
      <x:c r="F2" s="3" t="str">
        <x:v>https://discovery.ucl.ac.uk/749/1/2.2_rtprob.pdf</x:v>
      </x:c>
    </x:row>
    <x:row r="3" ht="39" customHeight="1">
      <x:c r="A3" s="6" t="str">
        <x:v>S02</x:v>
      </x:c>
      <x:c r="B3" s="6" t="str">
        <x:v>Cleland-Huang, J., Gotel, O. C. Z., Huffman Hayes, J., Mäder, P., &amp; Zisman, A. (2014). Software traceability: Trends and future directions. In Proc. Future of Software Engineering (FOSE 2014), pp. 55–69. ACM.</x:v>
      </x:c>
      <x:c r="C3" s="6" t="str">
        <x:v>추가 원문 확인 필요</x:v>
      </x:c>
      <x:c r="D3" s="6" t="str">
        <x:v>확정 위치 없음</x:v>
      </x:c>
      <x:c r="E3" s="6" t="str">
        <x:v>현재 직접 근거로 사용하지 않음. 원문·정의·적용 한계를 보강해야 함.</x:v>
      </x:c>
      <x:c r="F3" s="6" t="str">
        <x:v>doi:10.1145/2593882.2593891</x:v>
      </x:c>
    </x:row>
    <x:row r="4" ht="39" customHeight="1">
      <x:c r="A4" s="3" t="str">
        <x:v>S03</x:v>
      </x:c>
      <x:c r="B4" s="3" t="str">
        <x:v>Wang, R. Y., &amp; Strong, D. M. (1996). Beyond accuracy: What data quality means to data consumers. Journal of Management Information Systems, 12(4), 5–33.</x:v>
      </x:c>
      <x:c r="C4" s="3" t="str">
        <x:v>원문 본문 확인</x:v>
      </x:c>
      <x:c r="D4" s="3" t="str">
        <x:v>Appendix D1; DQ 분류 본문</x:v>
      </x:c>
      <x:c r="E4" s="3" t="str">
        <x:v>표현 일관성은 형식과 이전 데이터와의 표현 호환성을 다룸. 의미적 모순 없음의 동일 정의로 사용 불가.</x:v>
      </x:c>
      <x:c r="F4" s="3" t="str">
        <x:v>https://web.mit.edu/tdqm/www/tdqmpub/beyondaccuracy_files/beyondaccuracy.html</x:v>
      </x:c>
    </x:row>
    <x:row r="5" ht="31.5" customHeight="1">
      <x:c r="A5" s="6" t="str">
        <x:v>S04</x:v>
      </x:c>
      <x:c r="B5" s="6" t="str">
        <x:v>Pipino, L. L., Lee, Y. W., &amp; Wang, R. Y. (2002). Data quality assessment. Communications of the ACM, 45(4), 211–218.</x:v>
      </x:c>
      <x:c r="C5" s="6" t="str">
        <x:v>원문 본문 확인</x:v>
      </x:c>
      <x:c r="D5" s="6" t="str">
        <x:v>PDF pp.4–5; 저널 pp.214–215</x:v>
      </x:c>
      <x:c r="E5" s="6" t="str">
        <x:v>과업 맥락의 적시성 및 currency·volatility를 논의. 변경전파 적시성 문항은 도메인 확장.</x:v>
      </x:c>
      <x:c r="F5" s="6" t="str">
        <x:v>https://web.mit.edu/tdqm/www/tdqmpub/PipinoLeeWangCACMApr02.pdf</x:v>
      </x:c>
    </x:row>
    <x:row r="6" ht="39" customHeight="1">
      <x:c r="A6" s="3" t="str">
        <x:v>S05</x:v>
      </x:c>
      <x:c r="B6" s="3" t="str">
        <x:v>Batini, C., Cappiello, C., Francalanci, C., &amp; Maurino, A. (2009). Methodologies for data quality assessment and improvement. ACM Computing Surveys, 41(3), Article 16, 1–52.</x:v>
      </x:c>
      <x:c r="C6" s="3" t="str">
        <x:v>추가 원문 확인 필요</x:v>
      </x:c>
      <x:c r="D6" s="3" t="str">
        <x:v>확정 위치 없음</x:v>
      </x:c>
      <x:c r="E6" s="3" t="str">
        <x:v>현재 직접 근거로 사용하지 않음. 원문·정의·적용 한계를 보강해야 함.</x:v>
      </x:c>
      <x:c r="F6" s="3" t="str">
        <x:v>https://doi.org/10.1145/1541880.1541883</x:v>
      </x:c>
    </x:row>
    <x:row r="7" ht="39" customHeight="1">
      <x:c r="A7" s="6" t="str">
        <x:v>S06</x:v>
      </x:c>
      <x:c r="B7" s="6" t="str">
        <x:v>Zowghi, D., &amp; Gervasi, V. (2003). On the interplay between consistency, completeness, and correctness in requirements evolution. Information and Software Technology, 45(14), 993–1009.</x:v>
      </x:c>
      <x:c r="C7" s="6" t="str">
        <x:v>저자기관 초록 확인 본문 미확인</x:v>
      </x:c>
      <x:c r="D7" s="6" t="str">
        <x:v>UTS 저장소 초록; 저널 pp.993–1009</x:v>
      </x:c>
      <x:c r="E7" s="6" t="str">
        <x:v>요구사항 일관성·완전성·정확성과 진화·검증을 다룸. BCMS 정합성 정의의 직접 본문 보강 필요.</x:v>
      </x:c>
      <x:c r="F7" s="6" t="str">
        <x:v>https://opus.lib.uts.edu.au/handle/10453/4025</x:v>
      </x:c>
    </x:row>
    <x:row r="8" ht="39" customHeight="1">
      <x:c r="A8" s="3" t="str">
        <x:v>S07</x:v>
      </x:c>
      <x:c r="B8" s="3" t="str">
        <x:v>Bovens, M. (2007). Analysing and assessing accountability: A conceptual framework. European Law Journal, 13(4), 447–468.</x:v>
      </x:c>
      <x:c r="C8" s="3" t="str">
        <x:v>출판사 초록 확인 본문 미확인</x:v>
      </x:c>
      <x:c r="D8" s="3" t="str">
        <x:v>Wiley Abstract</x:v>
      </x:c>
      <x:c r="E8" s="3" t="str">
        <x:v>책임성은 담당 지정 이상으로 설명·정당화 및 포럼의 질문·판단·결과를 포함. AC는 이 척도의 차용 아님.</x:v>
      </x:c>
      <x:c r="F8" s="3" t="str">
        <x:v>https://doi.org/10.1111/j.1468-0386.2007.00378.x</x:v>
      </x:c>
    </x:row>
    <x:row r="9" ht="39" customHeight="1">
      <x:c r="A9" s="6" t="str">
        <x:v>S08</x:v>
      </x:c>
      <x:c r="B9" s="6" t="str">
        <x:v>Argyris, C. (1977). Double loop learning in organizations. Harvard Business Review, 55(5), 115–125.</x:v>
      </x:c>
      <x:c r="C9" s="6" t="str">
        <x:v>출판사 소개 확인 전체 본문 미확인</x:v>
      </x:c>
      <x:c r="D9" s="6" t="str">
        <x:v>직접 차원 근거 제외</x:v>
      </x:c>
      <x:c r="E9" s="6" t="str">
        <x:v>Double-loop는 지배 규칙·가정 재검토를 다룸. 개선조치 종결과 등치하지 않음.</x:v>
      </x:c>
      <x:c r="F9" s="6" t="str">
        <x:v>https://hbr.org/1977/09/double-loop-learning-in-organizations</x:v>
      </x:c>
    </x:row>
    <x:row r="10" ht="39" customHeight="1">
      <x:c r="A10" s="3" t="str">
        <x:v>S09</x:v>
      </x:c>
      <x:c r="B10" s="3" t="str">
        <x:v>Diamantopoulos, A., &amp; Winklhofer, H. M. (2001). Index construction with formative indicators: An alternative to scale development. Journal of Marketing Research, 38(2), 269–277.</x:v>
      </x:c>
      <x:c r="C10" s="3" t="str">
        <x:v>추가 원문 확인 필요</x:v>
      </x:c>
      <x:c r="D10" s="3" t="str">
        <x:v>확정 위치 없음</x:v>
      </x:c>
      <x:c r="E10" s="3" t="str">
        <x:v>현재 직접 근거로 사용하지 않음. 원문·정의·적용 한계를 보강해야 함.</x:v>
      </x:c>
      <x:c r="F10" s="3" t="str">
        <x:v>doi:10.1509/jmkr.38.2.269.18845</x:v>
      </x:c>
    </x:row>
    <x:row r="11" ht="39" customHeight="1">
      <x:c r="A11" s="6" t="str">
        <x:v>S10</x:v>
      </x:c>
      <x:c r="B11" s="6" t="str">
        <x:v>MacKenzie, S. B., Podsakoff, P. M., &amp; Podsakoff, N. P. (2011). Construct measurement and validation procedures in MIS and behavioral research: Integrating new and existing techniques. MIS Quarterly, 35(2), 293–334.</x:v>
      </x:c>
      <x:c r="C11" s="6" t="str">
        <x:v>원문 본문 확인</x:v>
      </x:c>
      <x:c r="D11" s="6" t="str">
        <x:v>저널 pp.302–303; PDF pp.10–11</x:v>
      </x:c>
      <x:c r="E11" s="6" t="str">
        <x:v>형성적·반영적은 지표와 구성개념 사이 관계. 개념 정의를 바탕으로 선택하며 6차원 평균을 보증하지 않음.</x:v>
      </x:c>
      <x:c r="F11" s="6" t="str">
        <x:v>https://temme.wiwi.uni-wuppertal.de/fileadmin/_migrated/content_uploads/mackenzie_et_al_2011_kapitel_3_02.pdf</x:v>
      </x:c>
    </x:row>
    <x:row r="12" ht="31.5" customHeight="1">
      <x:c r="A12" s="3" t="str">
        <x:v>S11</x:v>
      </x:c>
      <x:c r="B12" s="3" t="str">
        <x:v>ISO 19011:2018. Guidelines for auditing management systems. International Organization for Standardization.</x:v>
      </x:c>
      <x:c r="C12" s="3" t="str">
        <x:v>표준 원문 및 판본 확인 필요</x:v>
      </x:c>
      <x:c r="D12" s="3" t="str">
        <x:v>정의·조항 직접 인용 보류</x:v>
      </x:c>
      <x:c r="E12" s="3" t="str">
        <x:v>표준의 정의·조항을 직접 확인하기 전 본문처럼 인용하지 않음. 최신 판본 여부도 별도 확인.</x:v>
      </x:c>
      <x:c r="F12" s="3" t="str">
        <x:v>(서지만)</x:v>
      </x:c>
    </x:row>
    <x:row r="13" ht="39" customHeight="1">
      <x:c r="A13" s="6" t="str">
        <x:v>S12</x:v>
      </x:c>
      <x:c r="B13" s="6" t="str">
        <x:v>ISO 22301:2019. Security and resilience — Business continuity management systems — Requirements. International Organization for Standardization.</x:v>
      </x:c>
      <x:c r="C13" s="6" t="str">
        <x:v>표준 원문 및 판본 확인 필요</x:v>
      </x:c>
      <x:c r="D13" s="6" t="str">
        <x:v>정의·조항 직접 인용 보류</x:v>
      </x:c>
      <x:c r="E13" s="6" t="str">
        <x:v>표준의 정의·조항을 직접 확인하기 전 본문처럼 인용하지 않음. 최신 판본 여부도 별도 확인.</x:v>
      </x:c>
      <x:c r="F13" s="6" t="str">
        <x:v>(서지만)</x:v>
      </x:c>
    </x:row>
    <x:row r="14" ht="39" customHeight="1">
      <x:c r="A14" s="3" t="str">
        <x:v>S13</x:v>
      </x:c>
      <x:c r="B14" s="3" t="str">
        <x:v>Boateng et al. (2018). Best Practices for Developing and Validating Scales for Health, Social, and Behavioral Research: A Primer. Frontiers in Public Health, 6, 149.</x:v>
      </x:c>
      <x:c r="C14" s="3" t="str">
        <x:v>원문 본문 확인</x:v>
      </x:c>
      <x:c r="D14" s="3" t="str">
        <x:v>Table 1; domain·item generation 및 content validity</x:v>
      </x:c>
      <x:c r="E14" s="3" t="str">
        <x:v>개념 영역·문항 후보·내용타당화·인지면접·측정 검증 절차. 고정 문항 수나 6요인을 보증하지 않음.</x:v>
      </x:c>
      <x:c r="F14" s="3" t="str">
        <x:v>https://doi.org/10.3389/fpubh.2018.00149</x:v>
      </x:c>
    </x:row>
    <x:row r="15" ht="39" customHeight="1">
      <x:c r="A15" s="6" t="str">
        <x:v>S14</x:v>
      </x:c>
      <x:c r="B15" s="6" t="str">
        <x:v>Polit, D. F., Beck, C. T., &amp; Owen, S. V. (2007). Is the CVI an acceptable indicator of content validity? Appraisal and recommendations. Research in Nursing &amp; Health, 30(4), 459–467.</x:v>
      </x:c>
      <x:c r="C15" s="6" t="str">
        <x:v>출판사 초록 확인 본문 미확인</x:v>
      </x:c>
      <x:c r="D15" s="6" t="str">
        <x:v>Wiley Abstract</x:v>
      </x:c>
      <x:c r="E15" s="6" t="str">
        <x:v>I-CVI .78 이상 권고와 우연 합의 보정 필요. 6인에서는 5/6=.833이 최소 충족. 수치만으로 채택 확정하지 않음.</x:v>
      </x:c>
      <x:c r="F15" s="6" t="str">
        <x:v>https://doi.org/10.1002/nur.20199</x:v>
      </x:c>
    </x:row>
    <x:row r="16" ht="39" customHeight="1">
      <x:c r="A16" s="3" t="str">
        <x:v>S15</x:v>
      </x:c>
      <x:c r="B16" s="3" t="str">
        <x:v>Noy, N. F., &amp; McGuinness, D. L. (2001). Ontology Development 101: A Guide to Creating Your First Ontology. Stanford University.</x:v>
      </x:c>
      <x:c r="C16" s="3" t="str">
        <x:v>원문 본문 확인</x:v>
      </x:c>
      <x:c r="D16" s="3" t="str">
        <x:v>PDF pp.4–5 §3 Step 1; HTML Step 1</x:v>
      </x:c>
      <x:c r="E16" s="3" t="str">
        <x:v>영역·사용 목적·질의로 범위를 정하고 반복적으로 수정하는 방법. 본 연구의 문항 개발용 범위 설정에 차용하며 미완성 모델의 타당성을 자동 보증하지 않음.</x:v>
      </x:c>
      <x:c r="F16" s="3" t="str">
        <x:v>https://protege.stanford.edu/publications/ontology_development/ontology101.pdf</x:v>
      </x:c>
    </x:row>
  </x:sheetData>
  <x:pageMargins left="0.7" right="0.7" top="0.75" bottom="0.75" header="0.3" footer="0.3"/>
  <x:tableParts count="1">
    <x:tablePart xmlns:r="http://schemas.openxmlformats.org/officeDocument/2006/relationships" r:id="R78392184dda442e5"/>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329999923706055" hidden="0" customWidth="1"/>
    <x:col min="2" max="2" width="32.220001220703125" hidden="0" customWidth="1"/>
    <x:col min="3" max="3" width="100" hidden="0" customWidth="1"/>
    <x:col min="4" max="4" width="72.22000122070312" hidden="0" customWidth="1"/>
  </x:cols>
  <x:sheetData>
    <x:row r="1" ht="37.5" customHeight="1">
      <x:c r="A1" s="5" t="str">
        <x:v>요소</x:v>
      </x:c>
      <x:c r="B1" s="5" t="str">
        <x:v>유형·질의</x:v>
      </x:c>
      <x:c r="C1" s="5" t="str">
        <x:v>정의·규칙</x:v>
      </x:c>
      <x:c r="D1" s="5" t="str">
        <x:v>예시·검증 조건</x:v>
      </x:c>
    </x:row>
    <x:row r="2" ht="31.5" customHeight="1">
      <x:c r="A2" s="3" t="str">
        <x:v>범위</x:v>
      </x:c>
      <x:c r="B2" s="3" t="str">
        <x:v>ProcessType</x:v>
      </x:c>
      <x:c r="C2" s="3" t="str">
        <x:v>Arias Table 5의 22개 프로세스 유형. 실제 조직에서 수행되는 ProcessInstance와 구별.</x:v>
      </x:c>
      <x:c r="D2" s="3" t="str">
        <x:v>GOV·POL·REQ 등 22개</x:v>
      </x:c>
    </x:row>
    <x:row r="3" ht="31.5" customHeight="1">
      <x:c r="A3" s="6" t="str">
        <x:v>산출물</x:v>
      </x:c>
      <x:c r="B3" s="6" t="str">
        <x:v>Artifact</x:v>
      </x:c>
      <x:c r="C3" s="6" t="str">
        <x:v>보고서·승인 요구사항·기록·자원 사용 보고. 프로세스와 산출물을 혼합하지 않음.</x:v>
      </x:c>
      <x:c r="D3" s="6" t="str">
        <x:v>BIA 보고서 ≠ BIA 프로세스</x:v>
      </x:c>
    </x:row>
    <x:row r="4" ht="31.5" customHeight="1">
      <x:c r="A4" s="3" t="str">
        <x:v>관계</x:v>
      </x:c>
      <x:c r="B4" s="3" t="str">
        <x:v>ProcessLink</x:v>
      </x:c>
      <x:c r="C4" s="3" t="str">
        <x:v>sourceProcess·targetProcess·predicate·매개 산출물·원문 출처·문헌 직접성을 기록.</x:v>
      </x:c>
      <x:c r="D4" s="3" t="str">
        <x:v>L06: BIA 승인 요구사항→전략 선정 기준</x:v>
      </x:c>
    </x:row>
    <x:row r="5" ht="31.5" customHeight="1">
      <x:c r="A5" s="6" t="str">
        <x:v>방향</x:v>
      </x:c>
      <x:c r="B5" s="6" t="str">
        <x:v>의미 방향</x:v>
      </x:c>
      <x:c r="C5" s="6" t="str">
        <x:v>testedBy는 시험 대상→시험 활동. 관계 방향이 실제 문서 이동 방향과 항상 같지는 않음.</x:v>
      </x:c>
      <x:c r="D5" s="6" t="str">
        <x:v>L15 PLAN testedBy EXE</x:v>
      </x:c>
    </x:row>
    <x:row r="6" ht="31.5" customHeight="1">
      <x:c r="A6" s="3" t="str">
        <x:v>관측</x:v>
      </x:c>
      <x:c r="B6" s="3" t="str">
        <x:v>LinkObservation</x:v>
      </x:c>
      <x:c r="C6" s="3" t="str">
        <x:v>조직·응답자·관측 기간·관계 인스턴스·문항 ID·응답 코드가 있어야 품질 상태 관측이 성립.</x:v>
      </x:c>
      <x:c r="D6" s="3" t="str">
        <x:v>같은 L06도 조직·시점별 상태가 다름</x:v>
      </x:c>
    </x:row>
    <x:row r="7" ht="31.5" customHeight="1">
      <x:c r="A7" s="6" t="str">
        <x:v>경로</x:v>
      </x:c>
      <x:c r="B7" s="6" t="str">
        <x:v>ImprovementPathObservation</x:v>
      </x:c>
      <x:c r="C7" s="6" t="str">
        <x:v>개선 시작 사건·조치·관련 연결·종료 기준·종결 결과를 별도 기록.</x:v>
      </x:c>
      <x:c r="D7" s="6" t="str">
        <x:v>FC는 단일 엣지 점수로 자동 귀속하지 않음</x:v>
      </x:c>
    </x:row>
    <x:row r="8" ht="31.5" customHeight="1">
      <x:c r="A8" s="3" t="str">
        <x:v>위계</x:v>
      </x:c>
      <x:c r="B8" s="3" t="str">
        <x:v>contains</x:v>
      </x:c>
      <x:c r="C8" s="3" t="str">
        <x:v>L13·L14는 하위 프로세스 포함 관계. 산출물 전달 품질 문항 대상에서 제외.</x:v>
      </x:c>
      <x:c r="D8" s="3" t="str">
        <x:v>INC contains WARN·REC</x:v>
      </x:c>
    </x:row>
    <x:row r="9" ht="31.5" customHeight="1">
      <x:c r="A9" s="6" t="str">
        <x:v>집단</x:v>
      </x:c>
      <x:c r="B9" s="6" t="str">
        <x:v>CollectionStatement</x:v>
      </x:c>
      <x:c r="C9" s="6" t="str">
        <x:v>L27·L30은 집단 대상 진술로 주석 보존. CORE는 23번째 프로세스가 아님.</x:v>
      </x:c>
      <x:c r="D9" s="6" t="str">
        <x:v>nearly all과 core의 집합을 구별</x:v>
      </x:c>
    </x:row>
    <x:row r="10" ht="31.5" customHeight="1">
      <x:c r="A10" s="3" t="str">
        <x:v>근거</x:v>
      </x:c>
      <x:c r="B10" s="3" t="str">
        <x:v>E1 E2 E3</x:v>
      </x:c>
      <x:c r="C10" s="3" t="str">
        <x:v>E1 끝점·의미 직접 서술 / E2 끝점·방향·대상 정규화 / E3 직접 관계 근거 부족. 전문가 판단과 구별.</x:v>
      </x:c>
      <x:c r="D10" s="3" t="str">
        <x:v>19·9·3개 관계 기록</x:v>
      </x:c>
    </x:row>
    <x:row r="11" ht="31.5" customHeight="1">
      <x:c r="A11" s="6" t="str">
        <x:v>품질 문항</x:v>
      </x:c>
      <x:c r="B11" s="6" t="str">
        <x:v>적합성 선별</x:v>
      </x:c>
      <x:c r="C11" s="6" t="str">
        <x:v>운영 후보 관계에서 측정 개념이 의미 있고 응답 가능한 경우만 생성. 전 관계×전 차원 강제 금지.</x:v>
      </x:c>
      <x:c r="D11" s="6" t="str">
        <x:v>24쌍×5는 V3 기록 수이며 생성의 학술 규칙 아님</x:v>
      </x:c>
    </x:row>
    <x:row r="12" ht="31.5" customHeight="1">
      <x:c r="A12" s="3" t="str">
        <x:v>질의 CQ01</x:v>
      </x:c>
      <x:c r="B12" s="3" t="str">
        <x:v>STR의 기준 근거</x:v>
      </x:c>
      <x:c r="C12" s="3" t="str">
        <x:v>질의 결과는 BIA의 승인된 업무연속성 요구사항과 L06. 설문 응답을 기대 답으로 쓰지 않음.</x:v>
      </x:c>
      <x:c r="D12" s="3" t="str">
        <x:v>원문·관계표로 수동 점검</x:v>
      </x:c>
    </x:row>
    <x:row r="13" ht="31.5" customHeight="1">
      <x:c r="A13" s="6" t="str">
        <x:v>질의 CQ02</x:v>
      </x:c>
      <x:c r="B13" s="6" t="str">
        <x:v>INC의 포함 구조</x:v>
      </x:c>
      <x:c r="C13" s="6" t="str">
        <x:v>WARN·REC의 포함 관계 L13·L14를 조회. 시간 순서나 인과 전달을 추가하지 않음.</x:v>
      </x:c>
      <x:c r="D13" s="6" t="str">
        <x:v>위계 오류 점검</x:v>
      </x:c>
    </x:row>
    <x:row r="14" ht="31.5" customHeight="1">
      <x:c r="A14" s="3" t="str">
        <x:v>질의 CQ03</x:v>
      </x:c>
      <x:c r="B14" s="3" t="str">
        <x:v>미측정 범위</x:v>
      </x:c>
      <x:c r="C14" s="3" t="str">
        <x:v>POL·AWR·WARN·REC의 운영 연결 공백 및 미등록 관계를 조회.</x:v>
      </x:c>
      <x:c r="D14" s="3" t="str">
        <x:v>빈 셀은 관계 부재의 증거가 아님</x:v>
      </x:c>
    </x:row>
    <x:row r="15" ht="31.5" customHeight="1">
      <x:c r="A15" s="6" t="str">
        <x:v>형식화</x:v>
      </x:c>
      <x:c r="B15" s="6" t="str">
        <x:v>개념 온톨로지 상태</x:v>
      </x:c>
      <x:c r="C15" s="6" t="str">
        <x:v>현재는 객체·관계·출처가 있는 개념 스키마와 MAP. OWL 작성·추론·질의 테스트 완료로 표현하지 않음.</x:v>
      </x:c>
      <x:c r="D15" s="6" t="str">
        <x:v>완전 운영 온톨로지 구축은 현 논문의 필수 목표로 가정하지 않음</x:v>
      </x:c>
    </x:row>
  </x:sheetData>
  <x:pageMargins left="0.7" right="0.7" top="0.75" bottom="0.75" header="0.3" footer="0.3"/>
  <x:tableParts count="1">
    <x:tablePart xmlns:r="http://schemas.openxmlformats.org/officeDocument/2006/relationships" r:id="R46b3106055954c91"/>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109999656677246" hidden="0" customWidth="1"/>
    <x:col min="2" max="2" width="30" hidden="0" customWidth="1"/>
    <x:col min="3" max="3" width="43.33000183105469" hidden="0" customWidth="1"/>
    <x:col min="4" max="4" width="94.44000244140625" hidden="0" customWidth="1"/>
    <x:col min="5" max="5" width="35.560001373291016" hidden="0" customWidth="1"/>
  </x:cols>
  <x:sheetData>
    <x:row r="1" ht="37.5" customHeight="1">
      <x:c r="A1" s="5" t="str">
        <x:v>ID</x:v>
      </x:c>
      <x:c r="B1" s="5" t="str">
        <x:v>관계 후보</x:v>
      </x:c>
      <x:c r="C1" s="5" t="str">
        <x:v>관계 내용</x:v>
      </x:c>
      <x:c r="D1" s="5" t="str">
        <x:v>근거·보류 사유</x:v>
      </x:c>
      <x:c r="E1" s="5" t="str">
        <x:v>다음 처리</x:v>
      </x:c>
    </x:row>
    <x:row r="2" ht="31.5" customHeight="1">
      <x:c r="A2" s="3" t="str">
        <x:v>H01</x:v>
      </x:c>
      <x:c r="B2" s="3" t="str">
        <x:v>INC→PLAN</x:v>
      </x:c>
      <x:c r="C2" s="3" t="str">
        <x:v>사고 경험을 계획 개정에 사용</x:v>
      </x:c>
      <x:c r="D2" s="3" t="str">
        <x:v>독립 관계 직접 근거 보강 필요. 변경관리 경유 경로와 구별.</x:v>
      </x:c>
      <x:c r="E2" s="3" t="str">
        <x:v>보류</x:v>
      </x:c>
    </x:row>
    <x:row r="3" ht="31.5" customHeight="1">
      <x:c r="A3" s="6" t="str">
        <x:v>H02</x:v>
      </x:c>
      <x:c r="B3" s="6" t="str">
        <x:v>RA→CHG</x:v>
      </x:c>
      <x:c r="C3" s="6" t="str">
        <x:v>위험평가와 변경관리의 양방향 관계</x:v>
      </x:c>
      <x:c r="D3" s="6" t="str">
        <x:v>A26 for and from은 추가 추출 후보. direction·artifact를 특정한 뒤 판단.</x:v>
      </x:c>
      <x:c r="E3" s="6" t="str">
        <x:v>추출 검토</x:v>
      </x:c>
    </x:row>
    <x:row r="4" ht="31.5" customHeight="1">
      <x:c r="A4" s="3" t="str">
        <x:v>H03</x:v>
      </x:c>
      <x:c r="B4" s="3" t="str">
        <x:v>EXE→AWR</x:v>
      </x:c>
      <x:c r="C4" s="3" t="str">
        <x:v>연습 결과를 교육에 사용</x:v>
      </x:c>
      <x:c r="D4" s="3" t="str">
        <x:v>두 논문의 개별 교육·연습 설명을 직접 전달 관계로 단정하지 않음.</x:v>
      </x:c>
      <x:c r="E4" s="3" t="str">
        <x:v>보류</x:v>
      </x:c>
    </x:row>
    <x:row r="5" ht="31.5" customHeight="1">
      <x:c r="A5" s="6" t="str">
        <x:v>H04</x:v>
      </x:c>
      <x:c r="B5" s="6" t="str">
        <x:v>GOV→CRM</x:v>
      </x:c>
      <x:c r="C5" s="6" t="str">
        <x:v>거버넌스와 고객관계관리</x:v>
      </x:c>
      <x:c r="D5" s="6" t="str">
        <x:v>In addition to는 병렬 설명이며 직접 연결을 확립하지 않음.</x:v>
      </x:c>
      <x:c r="E5" s="6" t="str">
        <x:v>보류</x:v>
      </x:c>
    </x:row>
    <x:row r="6" ht="31.5" customHeight="1">
      <x:c r="A6" s="3" t="str">
        <x:v>M01</x:v>
      </x:c>
      <x:c r="B6" s="3" t="str">
        <x:v>STR→EXE</x:v>
      </x:c>
      <x:c r="C6" s="3" t="str">
        <x:v>전략·솔루션의 시험</x:v>
      </x:c>
      <x:c r="D6" s="3" t="str">
        <x:v>A23 p.15에서 시험 대상을 명시. 현 31개에는 PLAN→EXE만 등록.</x:v>
      </x:c>
      <x:c r="E6" s="3" t="str">
        <x:v>추가 후보 문항 미생성</x:v>
      </x:c>
    </x:row>
    <x:row r="7" ht="31.5" customHeight="1">
      <x:c r="A7" s="6" t="str">
        <x:v>M02</x:v>
      </x:c>
      <x:c r="B7" s="6" t="str">
        <x:v>WARN→EXE</x:v>
      </x:c>
      <x:c r="C7" s="6" t="str">
        <x:v>경보·의사소통 절차의 시험</x:v>
      </x:c>
      <x:c r="D7" s="6" t="str">
        <x:v>A23 p.15의 명시 대상. WARN 프로세스와 절차 간 정규화 필요.</x:v>
      </x:c>
      <x:c r="E7" s="6" t="str">
        <x:v>추가 후보 문항 미생성</x:v>
      </x:c>
    </x:row>
    <x:row r="8" ht="31.5" customHeight="1">
      <x:c r="A8" s="3" t="str">
        <x:v>M03</x:v>
      </x:c>
      <x:c r="B8" s="3" t="str">
        <x:v>CI→STR 또는 PLAN</x:v>
      </x:c>
      <x:c r="C8" s="3" t="str">
        <x:v>개선 결과의 도착 대상</x:v>
      </x:c>
      <x:c r="D8" s="3" t="str">
        <x:v>A25 p.16은 전략·계획·절차 개선을 언급. 대상별 중복·방향 검토 필요.</x:v>
      </x:c>
      <x:c r="E8" s="3" t="str">
        <x:v>추가 후보 문항 미생성</x:v>
      </x:c>
    </x:row>
    <x:row r="9" ht="31.5" customHeight="1">
      <x:c r="A9" s="6" t="str">
        <x:v>M04</x:v>
      </x:c>
      <x:c r="B9" s="6" t="str">
        <x:v>RA→COM</x:v>
      </x:c>
      <x:c r="C9" s="6" t="str">
        <x:v>위험 정보의 의사소통</x:v>
      </x:c>
      <x:c r="D9" s="6" t="str">
        <x:v>Arias p.15은 위험 결과의 communication activities 입력을 언급. COM인지 WARN인지 대상 특정 필요.</x:v>
      </x:c>
      <x:c r="E9" s="6" t="str">
        <x:v>추가 후보 문항 미생성</x:v>
      </x:c>
    </x:row>
    <x:row r="10" ht="31.5" customHeight="1">
      <x:c r="A10" s="3" t="str">
        <x:v>M05</x:v>
      </x:c>
      <x:c r="B10" s="3" t="str">
        <x:v>POL·AWR·REC</x:v>
      </x:c>
      <x:c r="C10" s="3" t="str">
        <x:v>운영 연결 공백</x:v>
      </x:c>
      <x:c r="D10" s="3" t="str">
        <x:v>22개 유형 목록에는 존재하나 운영 후보 쌍의 직접 근거가 부족. 임의로 연결을 채우지 않음.</x:v>
      </x:c>
      <x:c r="E10" s="3" t="str">
        <x:v>범위 제한 표시</x:v>
      </x:c>
    </x:row>
  </x:sheetData>
  <x:pageMargins left="0.7" right="0.7" top="0.75" bottom="0.75" header="0.3" footer="0.3"/>
  <x:tableParts count="1">
    <x:tablePart xmlns:r="http://schemas.openxmlformats.org/officeDocument/2006/relationships" r:id="Ra2340850b91a4654"/>
  </x:tableParts>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30" hidden="0" customWidth="1"/>
    <x:col min="3" max="3" width="127.77999877929688" hidden="0" customWidth="1"/>
  </x:cols>
  <x:sheetData>
    <x:row r="1" ht="37.5" customHeight="1">
      <x:c r="A1" s="5" t="str">
        <x:v>항목</x:v>
      </x:c>
      <x:c r="B1" s="5" t="str">
        <x:v>후보 규칙</x:v>
      </x:c>
      <x:c r="C1" s="5" t="str">
        <x:v>운영·해석 조건</x:v>
      </x:c>
    </x:row>
    <x:row r="2" ht="31.5" customHeight="1">
      <x:c r="A2" s="3" t="str">
        <x:v>단위</x:v>
      </x:c>
      <x:c r="B2" s="3" t="str">
        <x:v>한 조직의 BCMS</x:v>
      </x:c>
      <x:c r="C2" s="3" t="str">
        <x:v>동일 조직·동일 기간을 기준으로 해당 관계의 실무를 아는 담당자가 응답. 조직당 1인이면 조직에 대한 핵심정보제공자 보고임을 명시.</x:v>
      </x:c>
    </x:row>
    <x:row r="3" ht="31.5" customHeight="1">
      <x:c r="A3" s="6" t="str">
        <x:v>기간</x:v>
      </x:c>
      <x:c r="B3" s="6" t="str">
        <x:v>최근 12개월 후보</x:v>
      </x:c>
      <x:c r="C3" s="6" t="str">
        <x:v>회상·평가 주기를 고려한 연구자 제안. 전문가·인지면접에서 확정.</x:v>
      </x:c>
    </x:row>
    <x:row r="4" ht="31.5" customHeight="1">
      <x:c r="A4" s="3" t="str">
        <x:v>척도</x:v>
      </x:c>
      <x:c r="B4" s="3" t="str">
        <x:v>1~5 후보</x:v>
      </x:c>
      <x:c r="C4" s="3" t="str">
        <x:v>문항 의미에 맞는 정도 척도 앵커를 인지면접 후 확정. 현재 일반 설문용 확정본 아님.</x:v>
      </x:c>
    </x:row>
    <x:row r="5" ht="31.5" customHeight="1">
      <x:c r="A5" s="6" t="str">
        <x:v>모름</x:v>
      </x:c>
      <x:c r="B5" s="6" t="str">
        <x:v>DK 별도 코드</x:v>
      </x:c>
      <x:c r="C5" s="6" t="str">
        <x:v>응답자 지식 부족. 낮은 품질이나 해당 없음으로 변환하지 않음.</x:v>
      </x:c>
    </x:row>
    <x:row r="6" ht="31.5" customHeight="1">
      <x:c r="A6" s="3" t="str">
        <x:v>범위 밖</x:v>
      </x:c>
      <x:c r="B6" s="3" t="str">
        <x:v>NA 별도 코드</x:v>
      </x:c>
      <x:c r="C6" s="3" t="str">
        <x:v>연구 범위상 정당하게 적용되지 않는 관계. 사유를 수집하며 프로세스 미운영과 구별.</x:v>
      </x:c>
    </x:row>
    <x:row r="7" ht="31.5" customHeight="1">
      <x:c r="A7" s="6" t="str">
        <x:v>변경 없음</x:v>
      </x:c>
      <x:c r="B7" s="6" t="str">
        <x:v>NC 별도 코드</x:v>
      </x:c>
      <x:c r="C7" s="6" t="str">
        <x:v>TM에 필요한 변경 사건이 없었던 경우. 우수 점수·일반 결측으로 대체하지 않음.</x:v>
      </x:c>
    </x:row>
    <x:row r="8" ht="31.5" customHeight="1">
      <x:c r="A8" s="3" t="str">
        <x:v>프로세스 미운영</x:v>
      </x:c>
      <x:c r="B8" s="3" t="str">
        <x:v>NO 별도 상태</x:v>
      </x:c>
      <x:c r="C8" s="3" t="str">
        <x:v>범위상 필요한 프로세스가 미운영이면 구조 결손 정보로 기록. 모든 관련 문항을 일괄 NA 처리하지 않음.</x:v>
      </x:c>
    </x:row>
    <x:row r="9" ht="31.5" customHeight="1">
      <x:c r="A9" s="6" t="str">
        <x:v>점수</x:v>
      </x:c>
      <x:c r="B9" s="6" t="str">
        <x:v>확정 전 산출 중단</x:v>
      </x:c>
      <x:c r="C9" s="6" t="str">
        <x:v>차원 평균·전체 지수·역채점·조직 집계는 측정모형과 결측 규칙 결정 후 구현.</x:v>
      </x:c>
    </x:row>
    <x:row r="10" ht="31.5" customHeight="1">
      <x:c r="A10" s="3" t="str">
        <x:v>응답자 여럿</x:v>
      </x:c>
      <x:c r="B10" s="3" t="str">
        <x:v>조직 내 군집</x:v>
      </x:c>
      <x:c r="C10" s="3" t="str">
        <x:v>조직별 집계 시 합의도·신뢰도와 다층 구조 검토. 개인 수를 독립 조직 표본 수로 대체하지 않음.</x:v>
      </x:c>
    </x:row>
  </x:sheetData>
  <x:pageMargins left="0.7" right="0.7" top="0.75" bottom="0.75" header="0.3" footer="0.3"/>
  <x:tableParts count="1">
    <x:tablePart xmlns:r="http://schemas.openxmlformats.org/officeDocument/2006/relationships" r:id="R549a2686d9624564"/>
  </x:tableParts>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220000267028809" hidden="0" customWidth="1"/>
    <x:col min="2" max="2" width="30" hidden="0" customWidth="1"/>
    <x:col min="3" max="3" width="94.44000244140625" hidden="0" customWidth="1"/>
    <x:col min="4" max="4" width="85.55999755859375" hidden="0" customWidth="1"/>
  </x:cols>
  <x:sheetData>
    <x:row r="1" ht="37.5" customHeight="1">
      <x:c r="A1" s="5" t="str">
        <x:v>Gate</x:v>
      </x:c>
      <x:c r="B1" s="5" t="str">
        <x:v>목적</x:v>
      </x:c>
      <x:c r="C1" s="5" t="str">
        <x:v>다음 검토</x:v>
      </x:c>
      <x:c r="D1" s="5" t="str">
        <x:v>완료 조건·주의</x:v>
      </x:c>
    </x:row>
    <x:row r="2" ht="31.5" customHeight="1">
      <x:c r="A2" s="3" t="str">
        <x:v>Gate 1</x:v>
      </x:c>
      <x:c r="B2" s="3" t="str">
        <x:v>연구 범위 고정</x:v>
      </x:c>
      <x:c r="C2" s="3" t="str">
        <x:v>Arias 22개 객체 유형·V4 수정안·이전 세 관점 폐기</x:v>
      </x:c>
      <x:c r="D2" s="3" t="str">
        <x:v>사용자 확정. 품질 차원 수는 미확정.</x:v>
      </x:c>
    </x:row>
    <x:row r="3" ht="31.5" customHeight="1">
      <x:c r="A3" s="6" t="str">
        <x:v>Gate 2</x:v>
      </x:c>
      <x:c r="B3" s="6" t="str">
        <x:v>관계 의미 및 품질 영역</x:v>
      </x:c>
      <x:c r="C3" s="6" t="str">
        <x:v>24개 운영 후보의 산출물·도착 사용 목적·필수성·대표성; 관리조건과 경로 구별</x:v>
      </x:c>
      <x:c r="D3" s="6" t="str">
        <x:v>이번 수정 다음 작업. 관계 공백과 후보 누락을 전문가 평가 전에 정리.</x:v>
      </x:c>
    </x:row>
    <x:row r="4" ht="31.5" customHeight="1">
      <x:c r="A4" s="3" t="str">
        <x:v>Gate 3</x:v>
      </x:c>
      <x:c r="B4" s="3" t="str">
        <x:v>문항 후보와 내용타당화</x:v>
      </x:c>
      <x:c r="C4" s="3" t="str">
        <x:v>관계 타당성 평가와 문항 적합성·명료성·응답 가능성 평가를 별도 실시</x:v>
      </x:c>
      <x:c r="D4" s="3" t="str">
        <x:v>I-CVI는 보조 지표. 6인 기준 5/6 이상이 .78을 충족. 의견·개념 누락을 함께 판단.</x:v>
      </x:c>
    </x:row>
    <x:row r="5" ht="31.5" customHeight="1">
      <x:c r="A5" s="6" t="str">
        <x:v>Gate 4</x:v>
      </x:c>
      <x:c r="B5" s="6" t="str">
        <x:v>인지면접과 후보 축소</x:v>
      </x:c>
      <x:c r="C5" s="6" t="str">
        <x:v>담당자의 이해·근거 검색·응답 가능성·TR/EV 중복·TM 조건을 확인</x:v>
      </x:c>
      <x:c r="D5" s="6" t="str">
        <x:v>179개 전부를 설문으로 배포하지 않음. 보류 35와 경로 후보를 구별하고 심사 후 축소.</x:v>
      </x:c>
    </x:row>
    <x:row r="6" ht="31.5" customHeight="1">
      <x:c r="A6" s="3" t="str">
        <x:v>Gate 5</x:v>
      </x:c>
      <x:c r="B6" s="3" t="str">
        <x:v>예비조사 및 측정모형</x:v>
      </x:c>
      <x:c r="C6" s="3" t="str">
        <x:v>반영적 후보는 EFA/CFA, 형성적·복합 지표는 다른 모형 평가 절차</x:v>
      </x:c>
      <x:c r="D6" s="3" t="str">
        <x:v>요인분석 결과만으로 형성/반영을 결정하지 않음. 최종 항목·모형·효과·결측에 맞춰 표본 설계.</x:v>
      </x:c>
    </x:row>
    <x:row r="7" ht="31.5" customHeight="1">
      <x:c r="A7" s="6" t="str">
        <x:v>Gate 6</x:v>
      </x:c>
      <x:c r="B7" s="6" t="str">
        <x:v>ORAS 판별타당도</x:v>
      </x:c>
      <x:c r="C7" s="6" t="str">
        <x:v>ORAS 원저·판본·문항·사용 조건·한국어 적용 근거를 확보</x:v>
      </x:c>
      <x:c r="D7" s="6" t="str">
        <x:v>현재 파일에는 ORAS 척도 확정 근거가 없음. 상관 .85 단독 기준으로 판별타당도 판정 금지.</x:v>
      </x:c>
    </x:row>
    <x:row r="8" ht="31.5" customHeight="1">
      <x:c r="A8" s="3" t="str">
        <x:v>Gate 7</x:v>
      </x:c>
      <x:c r="B8" s="3" t="str">
        <x:v>구조적 관계 SEM</x:v>
      </x:c>
      <x:c r="C8" s="3" t="str">
        <x:v>측정모형 검증 후 연계성→조직회복탄력성의 구조적 관계 검증</x:v>
      </x:c>
      <x:c r="D8" s="3" t="str">
        <x:v>횡단 자기보고 SEM은 인과 효과 입증으로 표현하지 않음. 공통방법편의·통제·집계 수준 검토.</x:v>
      </x:c>
    </x:row>
    <x:row r="9" ht="31.5" customHeight="1">
      <x:c r="A9" s="6" t="str">
        <x:v>Gate 8</x:v>
      </x:c>
      <x:c r="B9" s="6" t="str">
        <x:v>제3장 연구방법</x:v>
      </x:c>
      <x:c r="C9" s="6" t="str">
        <x:v>출처→객체→관계→개념→문항→제외 사유→검증 절차</x:v>
      </x:c>
      <x:c r="D9" s="6" t="str">
        <x:v>완료된 작업과 예정된 검증을 분리하여 서술.</x:v>
      </x:c>
    </x:row>
  </x:sheetData>
  <x:pageMargins left="0.7" right="0.7" top="0.75" bottom="0.75" header="0.3" footer="0.3"/>
  <x:tableParts count="1">
    <x:tablePart xmlns:r="http://schemas.openxmlformats.org/officeDocument/2006/relationships" r:id="Rd56cad65eeac49d4"/>
  </x:tableParts>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890000343322754" hidden="0" customWidth="1"/>
    <x:col min="2" max="2" width="11.109999656677246" hidden="0" customWidth="1"/>
    <x:col min="3" max="3" width="20" hidden="0" customWidth="1"/>
    <x:col min="4" max="4" width="66.66999816894531" hidden="0" customWidth="1"/>
    <x:col min="5" max="5" width="86.66999816894531" hidden="0" customWidth="1"/>
    <x:col min="6" max="6" width="40" hidden="0" customWidth="1"/>
  </x:cols>
  <x:sheetData>
    <x:row r="1" ht="37.5" customHeight="1">
      <x:c r="A1" s="5" t="str">
        <x:v>ID</x:v>
      </x:c>
      <x:c r="B1" s="5" t="str">
        <x:v>중요도</x:v>
      </x:c>
      <x:c r="C1" s="5" t="str">
        <x:v>대상</x:v>
      </x:c>
      <x:c r="D1" s="5" t="str">
        <x:v>V3 문제</x:v>
      </x:c>
      <x:c r="E1" s="5" t="str">
        <x:v>V4 수정</x:v>
      </x:c>
      <x:c r="F1" s="5" t="str">
        <x:v>근거</x:v>
      </x:c>
    </x:row>
    <x:row r="2" ht="31.5" customHeight="1">
      <x:c r="A2" s="3" t="str">
        <x:v>R01</x:v>
      </x:c>
      <x:c r="B2" s="3" t="str">
        <x:v>최우선</x:v>
      </x:c>
      <x:c r="C2" s="3" t="str">
        <x:v>새 시작점</x:v>
      </x:c>
      <x:c r="D2" s="3" t="str">
        <x:v>Arias 22개 프로세스와 이전 세 관점 폐기가 명확하지 않음</x:v>
      </x:c>
      <x:c r="E2" s="3" t="str">
        <x:v>22개 프로세스 유지. 이전 세 관점은 측정 틀로 사용하지 않음. V3에서 수정한 V4가 다음 대화 기준.</x:v>
      </x:c>
      <x:c r="F2" s="3" t="str">
        <x:v>사용자 지시 2026-10-09</x:v>
      </x:c>
    </x:row>
    <x:row r="3" ht="31.5" customHeight="1">
      <x:c r="A3" s="6" t="str">
        <x:v>R02</x:v>
      </x:c>
      <x:c r="B3" s="6" t="str">
        <x:v>최우선</x:v>
      </x:c>
      <x:c r="C3" s="6" t="str">
        <x:v>6개 차원의 지위</x:v>
      </x:c>
      <x:c r="D3" s="6" t="str">
        <x:v>초기 가설인데 정의·점수표에서는 6차원 확정처럼 서술</x:v>
      </x:c>
      <x:c r="E3" s="6" t="str">
        <x:v>품질 후보 4, 관리조건 후보 1, 경로 후보 1로 역할을 구분한 검토안을 제시. 요인 수는 미확정.</x:v>
      </x:c>
      <x:c r="F3" s="6" t="str">
        <x:v>S10 저널 pp.302–303</x:v>
      </x:c>
    </x:row>
    <x:row r="4" ht="31.5" customHeight="1">
      <x:c r="A4" s="3" t="str">
        <x:v>R03</x:v>
      </x:c>
      <x:c r="B4" s="3" t="str">
        <x:v>중요</x:v>
      </x:c>
      <x:c r="C4" s="3" t="str">
        <x:v>정합성 인용</x:v>
      </x:c>
      <x:c r="D4" s="3" t="str">
        <x:v>Wang·Strong의 표현 일관성과 내용 간 모순 없음을 동일시할 위험</x:v>
      </x:c>
      <x:c r="E4" s="3" t="str">
        <x:v>표현 형식의 일관성과 의미적 정합성을 분리. S06은 현재 저자기관 초록 확인 수준. 직접 정의 보강 필요.</x:v>
      </x:c>
      <x:c r="F4" s="3" t="str">
        <x:v>S03 Appendix D; S06 초록</x:v>
      </x:c>
    </x:row>
    <x:row r="5" ht="31.5" customHeight="1">
      <x:c r="A5" s="6" t="str">
        <x:v>R04</x:v>
      </x:c>
      <x:c r="B5" s="6" t="str">
        <x:v>중요</x:v>
      </x:c>
      <x:c r="C5" s="6" t="str">
        <x:v>추적성 범위</x:v>
      </x:c>
      <x:c r="D5" s="6" t="str">
        <x:v>전방·후방 추적 개념에 후방 문항만 배정</x:v>
      </x:c>
      <x:c r="E5" s="6" t="str">
        <x:v>현재 정의를 후방 근거 추적가능성으로 한정. 전방 추적 포함 여부는 Gate 2에서 판단.</x:v>
      </x:c>
      <x:c r="F5" s="6" t="str">
        <x:v>S01 §5.1 PDF p.4</x:v>
      </x:c>
    </x:row>
    <x:row r="6" ht="31.5" customHeight="1">
      <x:c r="A6" s="3" t="str">
        <x:v>R05</x:v>
      </x:c>
      <x:c r="B6" s="3" t="str">
        <x:v>중요</x:v>
      </x:c>
      <x:c r="C6" s="3" t="str">
        <x:v>증빙성 인용</x:v>
      </x:c>
      <x:c r="D6" s="3" t="str">
        <x:v>훈련 기록의 증거 역할을 모든 연결의 품질 차원으로 확정</x:v>
      </x:c>
      <x:c r="E6" s="3" t="str">
        <x:v>연결 증빙가능성은 연구자 확장. 실제 사용 기록으로 문항을 수정하고 TR 중복을 검토.</x:v>
      </x:c>
      <x:c r="F6" s="3" t="str">
        <x:v>B17 PDF p.6</x:v>
      </x:c>
    </x:row>
    <x:row r="7" ht="31.5" customHeight="1">
      <x:c r="A7" s="6" t="str">
        <x:v>R06</x:v>
      </x:c>
      <x:c r="B7" s="6" t="str">
        <x:v>최우선</x:v>
      </x:c>
      <x:c r="C7" s="6" t="str">
        <x:v>책임성 개념</x:v>
      </x:c>
      <x:c r="D7" s="6" t="str">
        <x:v>담당 지정 문항을 Bovens Accountability로 설명</x:v>
      </x:c>
      <x:c r="E7" s="6" t="str">
        <x:v>연결 책임명확성으로 변경. 관리조건 후보로 분리. 설명 의무·판단·결과 부담을 측정했다고 주장하지 않음.</x:v>
      </x:c>
      <x:c r="F7" s="6" t="str">
        <x:v>S07 출판사 초록; A49·A50</x:v>
      </x:c>
    </x:row>
    <x:row r="8" ht="31.5" customHeight="1">
      <x:c r="A8" s="3" t="str">
        <x:v>R07</x:v>
      </x:c>
      <x:c r="B8" s="3" t="str">
        <x:v>중요</x:v>
      </x:c>
      <x:c r="C8" s="3" t="str">
        <x:v>시간 개념</x:v>
      </x:c>
      <x:c r="D8" s="3" t="str">
        <x:v>최신성과 적시성을 혼용</x:v>
      </x:c>
      <x:c r="E8" s="3" t="str">
        <x:v>변경전파 적시성으로 변경. 과업 필요 시점 기준으로 문항 수정. 변경 없음 분리.</x:v>
      </x:c>
      <x:c r="F8" s="3" t="str">
        <x:v>S04 저널 pp.214–215</x:v>
      </x:c>
    </x:row>
    <x:row r="9" ht="31.5" customHeight="1">
      <x:c r="A9" s="6" t="str">
        <x:v>R08</x:v>
      </x:c>
      <x:c r="B9" s="6" t="str">
        <x:v>최우선</x:v>
      </x:c>
      <x:c r="C9" s="6" t="str">
        <x:v>환류와 완결성</x:v>
      </x:c>
      <x:c r="D9" s="6" t="str">
        <x:v>개선 결과 사용을 닫힌 순환 완료로 확장; Double-loop를 직접 근거로 사용</x:v>
      </x:c>
      <x:c r="E9" s="6" t="str">
        <x:v>개선조치 완결성은 경로 후보로 보류. 경로·종료 기준 및 직접 근거를 추가 확보. S08을 직접 정의 근거에서 제외.</x:v>
      </x:c>
      <x:c r="F9" s="6" t="str">
        <x:v>A23·A25·A29; 본 연구 판단</x:v>
      </x:c>
    </x:row>
    <x:row r="10" ht="31.5" customHeight="1">
      <x:c r="A10" s="3" t="str">
        <x:v>R09</x:v>
      </x:c>
      <x:c r="B10" s="3" t="str">
        <x:v>최우선</x:v>
      </x:c>
      <x:c r="C10" s="3" t="str">
        <x:v>31개 관계 혼합</x:v>
      </x:c>
      <x:c r="D10" s="3" t="str">
        <x:v>위계 2·집단 2·가설 3에 동일하게 문항 생성</x:v>
      </x:c>
      <x:c r="E10" s="3" t="str">
        <x:v>운영 후보 24·위계 2·집단 2·근거 보류 3으로 구분. 관련 35문항은 기록 보존용 보류.</x:v>
      </x:c>
      <x:c r="F10" s="3" t="str">
        <x:v>A18·A21·A30; 관계근거31</x:v>
      </x:c>
    </x:row>
    <x:row r="11" ht="31.5" customHeight="1">
      <x:c r="A11" s="6" t="str">
        <x:v>R10</x:v>
      </x:c>
      <x:c r="B11" s="6" t="str">
        <x:v>중요</x:v>
      </x:c>
      <x:c r="C11" s="6" t="str">
        <x:v>관계 근거 등급</x:v>
      </x:c>
      <x:c r="D11" s="6" t="str">
        <x:v>L16·L23–L27·L31을 E1로 처리</x:v>
      </x:c>
      <x:c r="E11" s="6" t="str">
        <x:v>끝점·방향·집단의 정규화가 필요하므로 E2로 변경. E1 19·E2 9·E3 3. 문헌 직접성 분류이며 전문가 합의 아님.</x:v>
      </x:c>
      <x:c r="F11" s="6" t="str">
        <x:v>A23·A29·A30·A18</x:v>
      </x:c>
    </x:row>
    <x:row r="12" ht="31.5" customHeight="1">
      <x:c r="A12" s="3" t="str">
        <x:v>R11</x:v>
      </x:c>
      <x:c r="B12" s="3" t="str">
        <x:v>최우선</x:v>
      </x:c>
      <x:c r="C12" s="3" t="str">
        <x:v>ProcessLink와 CQ</x:v>
      </x:c>
      <x:c r="D12" s="3" t="str">
        <x:v>프로세스 유형에 품질 점수를 고정; CQ와 설문을 동일시</x:v>
      </x:c>
      <x:c r="E12" s="3" t="str">
        <x:v>LinkObservation에 조직·기간·응답자·문항 응답을 귀속. CQ는 지식구조 질의, 문항은 경험적 상태 관측으로 분리.</x:v>
      </x:c>
      <x:c r="F12" s="3" t="str">
        <x:v>B02·B04–B08</x:v>
      </x:c>
    </x:row>
    <x:row r="13" ht="31.5" customHeight="1">
      <x:c r="A13" s="6" t="str">
        <x:v>R12</x:v>
      </x:c>
      <x:c r="B13" s="6" t="str">
        <x:v>최우선</x:v>
      </x:c>
      <x:c r="C13" s="6" t="str">
        <x:v>점수 산정</x:v>
      </x:c>
      <x:c r="D13" s="6" t="str">
        <x:v>5~6차원 평균과 동일가중 6차원 지수를 자동 산출</x:v>
      </x:c>
      <x:c r="E13" s="6" t="str">
        <x:v>확정 전 점수·자동 평균 산출 중단. 반영적/형성적/프로파일 선택과 조직 집계 근거를 먼저 검토.</x:v>
      </x:c>
      <x:c r="F13" s="6" t="str">
        <x:v>S10 저널 pp.302–303</x:v>
      </x:c>
    </x:row>
    <x:row r="14" ht="31.5" customHeight="1">
      <x:c r="A14" s="3" t="str">
        <x:v>R13</x:v>
      </x:c>
      <x:c r="B14" s="3" t="str">
        <x:v>중요</x:v>
      </x:c>
      <x:c r="C14" s="3" t="str">
        <x:v>응답·누락 처리</x:v>
      </x:c>
      <x:c r="D14" s="3" t="str">
        <x:v>9에 해당 없음과 모름을 합침; 프로세스 미보유 전부 건너뜀</x:v>
      </x:c>
      <x:c r="E14" s="3" t="str">
        <x:v>모름·범위 밖·변경 없음·미운영을 분리. 범위상 필요한 프로세스의 미운영을 해당 없음으로 은폐하지 않음.</x:v>
      </x:c>
      <x:c r="F14" s="3" t="str">
        <x:v>연구자 응답 설계 수정</x:v>
      </x:c>
    </x:row>
    <x:row r="15" ht="39" customHeight="1">
      <x:c r="A15" s="6" t="str">
        <x:v>R14</x:v>
      </x:c>
      <x:c r="B15" s="6" t="str">
        <x:v>중요</x:v>
      </x:c>
      <x:c r="C15" s="6" t="str">
        <x:v>타당화 수치</x:v>
      </x:c>
      <x:c r="D15" s="6" t="str">
        <x:v>80/20을 연결과 문항에 자동 적용; N≥150과 r&lt;.85 고정</x:v>
      </x:c>
      <x:c r="E15" s="6" t="str">
        <x:v>프로세스 지명률을 전용하지 않음. I-CVI를 근거와 함께 쓰되 자동 채택은 금지. 표본·판별타당도는 최종 모형에 따라 설계.</x:v>
      </x:c>
      <x:c r="F15" s="6" t="str">
        <x:v>S14 초록; S10; S13</x:v>
      </x:c>
    </x:row>
    <x:row r="16" ht="31.5" customHeight="1">
      <x:c r="A16" s="3" t="str">
        <x:v>R15</x:v>
      </x:c>
      <x:c r="B16" s="3" t="str">
        <x:v>중요</x:v>
      </x:c>
      <x:c r="C16" s="3" t="str">
        <x:v>외부타당도</x:v>
      </x:c>
      <x:c r="D16" s="3" t="str">
        <x:v>종합·역문항·E1/E3 응답 차이를 외부타당도로 해석</x:v>
      </x:c>
      <x:c r="E16" s="3" t="str">
        <x:v>방법효과·주의 문항과 외부준거를 구별. ORAS 출처·판본·항목을 확보하고 개념 중복과 판별타당도 검토.</x:v>
      </x:c>
      <x:c r="F16" s="3" t="str">
        <x:v>S10; 검증계획</x:v>
      </x:c>
    </x:row>
    <x:row r="17" ht="39" customHeight="1">
      <x:c r="A17" s="6" t="str">
        <x:v>R16</x:v>
      </x:c>
      <x:c r="B17" s="6" t="str">
        <x:v>중요</x:v>
      </x:c>
      <x:c r="C17" s="6" t="str">
        <x:v>범위·누락</x:v>
      </x:c>
      <x:c r="D17" s="6" t="str">
        <x:v>22개 표시를 모든 운영 관계 완성으로 간주</x:v>
      </x:c>
      <x:c r="E17" s="6" t="str">
        <x:v>운영 후보에 18개 유형 등장. POL·AWR·WARN·REC의 운영 연결 공백을 별도 표시. 전체 활동의 커버리지 %는 산출 불가.</x:v>
      </x:c>
      <x:c r="F17" s="6" t="str">
        <x:v>Arias Table 5; 관계근거31</x:v>
      </x:c>
    </x:row>
    <x:row r="18" ht="39" customHeight="1">
      <x:c r="A18" s="3" t="str">
        <x:v>R17</x:v>
      </x:c>
      <x:c r="B18" s="3" t="str">
        <x:v>중요</x:v>
      </x:c>
      <x:c r="C18" s="3" t="str">
        <x:v>문항 수 충돌</x:v>
      </x:c>
      <x:c r="D18" s="3" t="str">
        <x:v>첨부 원문 DOCX의 연구 부록은 30관계·60문항, V3는 31관계·179문항</x:v>
      </x:c>
      <x:c r="E18" s="3" t="str">
        <x:v>60문항 배정 규칙을 현 설계로 사용하지 않음. V3 179개 ID를 검토 기록으로 보존하고 최종 수는 중복·내용타당화 후 결정.</x:v>
      </x:c>
      <x:c r="F18" s="3" t="str">
        <x:v>첨부 DOCX 부록 및 V3 문항은행</x:v>
      </x:c>
    </x:row>
    <x:row r="19" ht="31.5" customHeight="1">
      <x:c r="A19" s="6" t="str">
        <x:v>R18</x:v>
      </x:c>
      <x:c r="B19" s="6" t="str">
        <x:v>중요</x:v>
      </x:c>
      <x:c r="C19" s="6" t="str">
        <x:v>원문과 연구 부록</x:v>
      </x:c>
      <x:c r="D19" s="6" t="str">
        <x:v>원문 DOCX에서 직접 인용과 연구자 연결 추론이 혼재</x:v>
      </x:c>
      <x:c r="E19" s="6" t="str">
        <x:v>인용은 발행 PDF의 쪽·절·표 기준. DOCX 후반 관계표·60문항 제안은 연구자 부록으로 다룸.</x:v>
      </x:c>
      <x:c r="F19" s="6" t="str">
        <x:v>Arias PDF §4.3; Białas 첨부 PDF</x:v>
      </x:c>
    </x:row>
    <x:row r="20" ht="31.5" customHeight="1">
      <x:c r="A20" s="3" t="str">
        <x:v>R19</x:v>
      </x:c>
      <x:c r="B20" s="3" t="str">
        <x:v>보완</x:v>
      </x:c>
      <x:c r="C20" s="3" t="str">
        <x:v>인용 문자열 대조</x:v>
      </x:c>
      <x:c r="D20" s="3" t="str">
        <x:v>72개 문자 일치가 연결·차원 타당성 확인으로 읽힐 위험</x:v>
      </x:c>
      <x:c r="E20" s="3" t="str">
        <x:v>페이지 범위와 머리말·꼬리말 제거 후 72개 문자열 대조 일치. 문자 일치는 해석·번역·측정 타당성의 증거가 아님.</x:v>
      </x:c>
      <x:c r="F20" s="3" t="str">
        <x:v>인용원문72 재대조</x:v>
      </x:c>
    </x:row>
    <x:row r="21" ht="31.5" customHeight="1">
      <x:c r="A21" s="6" t="str">
        <x:v>R20</x:v>
      </x:c>
      <x:c r="B21" s="6" t="str">
        <x:v>보완</x:v>
      </x:c>
      <x:c r="C21" s="6" t="str">
        <x:v>관계동사·품질 혼합</x:v>
      </x:c>
      <x:c r="D21" s="6" t="str">
        <x:v>동사가 차원 이름과 비슷하면 자동으로 중복이라고 판단</x:v>
      </x:c>
      <x:c r="E21" s="6" t="str">
        <x:v>관계 의미와 품질 상태는 서로 다른 층. 실제 동일 내용의 문항·기록에 한해서 중복 여부를 판단.</x:v>
      </x:c>
      <x:c r="F21" s="6" t="str">
        <x:v>본 연구의 의미 구조 설계</x:v>
      </x:c>
    </x:row>
  </x:sheetData>
  <x:pageMargins left="0.7" right="0.7" top="0.75" bottom="0.75" header="0.3" footer="0.3"/>
  <x:tableParts count="1">
    <x:tablePart xmlns:r="http://schemas.openxmlformats.org/officeDocument/2006/relationships" r:id="Rc2d90e3a8b304067"/>
  </x:tableParts>
</x:worksheet>
</file>