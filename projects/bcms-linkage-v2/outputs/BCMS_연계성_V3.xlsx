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안내" sheetId="1" state="visible" r:id="rId3"/>
    <sheet name="정의서" sheetId="2" state="visible" r:id="rId4"/>
    <sheet name="품질차원" sheetId="3" state="visible" r:id="rId5"/>
    <sheet name="학술근거" sheetId="4" state="visible" r:id="rId6"/>
    <sheet name="인용근거" sheetId="5" state="visible" r:id="rId7"/>
    <sheet name="연결" sheetId="6" state="visible" r:id="rId8"/>
    <sheet name="적용매트릭스" sheetId="7" state="visible" r:id="rId9"/>
    <sheet name="관계동사" sheetId="8" state="visible" r:id="rId10"/>
    <sheet name="보류연결" sheetId="9" state="visible" r:id="rId11"/>
    <sheet name="객체" sheetId="10" state="visible" r:id="rId12"/>
    <sheet name="트리플" sheetId="11" state="visible" r:id="rId13"/>
    <sheet name="관계매트릭스" sheetId="12" state="visible" r:id="rId14"/>
    <sheet name="온톨로지맵" sheetId="13" state="visible" r:id="rId15"/>
    <sheet name="문항" sheetId="14" state="visible" r:id="rId16"/>
    <sheet name="보유·응답자정보" sheetId="15" state="visible" r:id="rId17"/>
    <sheet name="응답입력" sheetId="16" state="visible" r:id="rId18"/>
    <sheet name="연결점수" sheetId="17" state="visible" r:id="rId19"/>
    <sheet name="차원점수" sheetId="18" state="visible" r:id="rId20"/>
    <sheet name="점수요약" sheetId="19" state="visible" r:id="rId21"/>
    <sheet name="검증" sheetId="20" state="visible" r:id="rId22"/>
  </sheets>
  <definedNames>
    <definedName function="false" hidden="true" localSheetId="13" name="_xlnm._FilterDatabase" vbProcedure="false">문항!$A$4:$U$183</definedName>
    <definedName function="false" hidden="true" localSheetId="5" name="_xlnm._FilterDatabase" vbProcedure="false">연결!$A$4:$U$35</definedName>
    <definedName function="false" hidden="true" localSheetId="4" name="_xlnm._FilterDatabase" vbProcedure="false">인용근거!$A$4:$H$76</definedName>
    <definedName function="false" hidden="true" localSheetId="10" name="_xlnm._FilterDatabase" vbProcedure="false">트리플!$A$4:$G$322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<sst xmlns="http://schemas.openxmlformats.org/spreadsheetml/2006/main" count="6431" uniqueCount="1921">
  <si>
    <r>
      <rPr>
        <b val="true"/>
        <sz val="14"/>
        <color rgb="FF101828"/>
        <rFont val="맑은 고딕"/>
        <family val="0"/>
        <charset val="1"/>
      </rPr>
      <t xml:space="preserve">BCMS </t>
    </r>
    <r>
      <rPr>
        <b val="true"/>
        <sz val="14"/>
        <color rgb="FF101828"/>
        <rFont val="WenQuanYi Zen Hei"/>
        <family val="2"/>
      </rPr>
      <t xml:space="preserve">프로세스 연결 품질 — 문항은행 </t>
    </r>
    <r>
      <rPr>
        <b val="true"/>
        <sz val="14"/>
        <color rgb="FF101828"/>
        <rFont val="맑은 고딕"/>
        <family val="0"/>
        <charset val="1"/>
      </rPr>
      <t xml:space="preserve">V3 (</t>
    </r>
    <r>
      <rPr>
        <b val="true"/>
        <sz val="14"/>
        <color rgb="FF101828"/>
        <rFont val="WenQuanYi Zen Hei"/>
        <family val="2"/>
      </rPr>
      <t xml:space="preserve">객체층</t>
    </r>
    <r>
      <rPr>
        <b val="true"/>
        <sz val="14"/>
        <color rgb="FF101828"/>
        <rFont val="맑은 고딕"/>
        <family val="0"/>
        <charset val="1"/>
      </rPr>
      <t xml:space="preserve">·</t>
    </r>
    <r>
      <rPr>
        <b val="true"/>
        <sz val="14"/>
        <color rgb="FF101828"/>
        <rFont val="WenQuanYi Zen Hei"/>
        <family val="2"/>
      </rPr>
      <t xml:space="preserve">관계층</t>
    </r>
    <r>
      <rPr>
        <b val="true"/>
        <sz val="14"/>
        <color rgb="FF101828"/>
        <rFont val="맑은 고딕"/>
        <family val="0"/>
        <charset val="1"/>
      </rPr>
      <t xml:space="preserve">·</t>
    </r>
    <r>
      <rPr>
        <b val="true"/>
        <sz val="14"/>
        <color rgb="FF101828"/>
        <rFont val="WenQuanYi Zen Hei"/>
        <family val="2"/>
      </rPr>
      <t xml:space="preserve">품질층</t>
    </r>
    <r>
      <rPr>
        <b val="true"/>
        <sz val="14"/>
        <color rgb="FF101828"/>
        <rFont val="맑은 고딕"/>
        <family val="0"/>
        <charset val="1"/>
      </rPr>
      <t xml:space="preserve">)</t>
    </r>
  </si>
  <si>
    <r>
      <rPr>
        <i val="true"/>
        <sz val="10"/>
        <color rgb="FF475467"/>
        <rFont val="WenQuanYi Zen Hei"/>
        <family val="2"/>
      </rPr>
      <t xml:space="preserve">박사논문 프로젝트 </t>
    </r>
    <r>
      <rPr>
        <i val="true"/>
        <sz val="10"/>
        <color rgb="FF475467"/>
        <rFont val="맑은 고딕"/>
        <family val="0"/>
        <charset val="1"/>
      </rPr>
      <t xml:space="preserve">· </t>
    </r>
    <r>
      <rPr>
        <i val="true"/>
        <sz val="10"/>
        <color rgb="FF475467"/>
        <rFont val="WenQuanYi Zen Hei"/>
        <family val="2"/>
      </rPr>
      <t xml:space="preserve">근거</t>
    </r>
    <r>
      <rPr>
        <i val="true"/>
        <sz val="10"/>
        <color rgb="FF475467"/>
        <rFont val="맑은 고딕"/>
        <family val="0"/>
        <charset val="1"/>
      </rPr>
      <t xml:space="preserve">: Arias-Aranda et al.(2026) / Białas(2010) + </t>
    </r>
    <r>
      <rPr>
        <i val="true"/>
        <sz val="10"/>
        <color rgb="FF475467"/>
        <rFont val="WenQuanYi Zen Hei"/>
        <family val="2"/>
      </rPr>
      <t xml:space="preserve">외부 학술 문헌 후보 </t>
    </r>
    <r>
      <rPr>
        <i val="true"/>
        <sz val="10"/>
        <color rgb="FF475467"/>
        <rFont val="맑은 고딕"/>
        <family val="0"/>
        <charset val="1"/>
      </rPr>
      <t xml:space="preserve">12</t>
    </r>
    <r>
      <rPr>
        <i val="true"/>
        <sz val="10"/>
        <color rgb="FF475467"/>
        <rFont val="WenQuanYi Zen Hei"/>
        <family val="2"/>
      </rPr>
      <t xml:space="preserve">건</t>
    </r>
    <r>
      <rPr>
        <i val="true"/>
        <sz val="10"/>
        <color rgb="FF475467"/>
        <rFont val="맑은 고딕"/>
        <family val="0"/>
        <charset val="1"/>
      </rPr>
      <t xml:space="preserve">(</t>
    </r>
    <r>
      <rPr>
        <i val="true"/>
        <sz val="10"/>
        <color rgb="FF475467"/>
        <rFont val="WenQuanYi Zen Hei"/>
        <family val="2"/>
      </rPr>
      <t xml:space="preserve">서지만 확인</t>
    </r>
    <r>
      <rPr>
        <i val="true"/>
        <sz val="10"/>
        <color rgb="FF475467"/>
        <rFont val="맑은 고딕"/>
        <family val="0"/>
        <charset val="1"/>
      </rPr>
      <t xml:space="preserve">)</t>
    </r>
  </si>
  <si>
    <r>
      <rPr>
        <b val="true"/>
        <sz val="10"/>
        <color rgb="FF000000"/>
        <rFont val="맑은 고딕"/>
        <family val="0"/>
        <charset val="1"/>
      </rPr>
      <t xml:space="preserve">V3 </t>
    </r>
    <r>
      <rPr>
        <b val="true"/>
        <sz val="10"/>
        <color rgb="FF000000"/>
        <rFont val="WenQuanYi Zen Hei"/>
        <family val="2"/>
      </rPr>
      <t xml:space="preserve">핵심 변경</t>
    </r>
  </si>
  <si>
    <r>
      <rPr>
        <sz val="10"/>
        <color rgb="FF000000"/>
        <rFont val="맑은 고딕"/>
        <family val="0"/>
        <charset val="1"/>
      </rPr>
      <t xml:space="preserve">V2</t>
    </r>
    <r>
      <rPr>
        <sz val="10"/>
        <color rgb="FF000000"/>
        <rFont val="WenQuanYi Zen Hei"/>
        <family val="2"/>
      </rPr>
      <t xml:space="preserve">의 </t>
    </r>
    <r>
      <rPr>
        <sz val="10"/>
        <color rgb="FF000000"/>
        <rFont val="맑은 고딕"/>
        <family val="0"/>
        <charset val="1"/>
      </rPr>
      <t xml:space="preserve">"</t>
    </r>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을 폐기하고</t>
    </r>
    <r>
      <rPr>
        <sz val="10"/>
        <color rgb="FF000000"/>
        <rFont val="맑은 고딕"/>
        <family val="0"/>
        <charset val="1"/>
      </rPr>
      <t xml:space="preserve">, </t>
    </r>
    <r>
      <rPr>
        <sz val="10"/>
        <color rgb="FF000000"/>
        <rFont val="WenQuanYi Zen Hei"/>
        <family val="2"/>
      </rPr>
      <t xml:space="preserve">첨부 문서</t>
    </r>
    <r>
      <rPr>
        <sz val="10"/>
        <color rgb="FF000000"/>
        <rFont val="맑은 고딕"/>
        <family val="0"/>
        <charset val="1"/>
      </rPr>
      <t xml:space="preserve">(</t>
    </r>
    <r>
      <rPr>
        <sz val="10"/>
        <color rgb="FF000000"/>
        <rFont val="WenQuanYi Zen Hei"/>
        <family val="2"/>
      </rPr>
      <t xml:space="preserve">연구자 제시</t>
    </r>
    <r>
      <rPr>
        <sz val="10"/>
        <color rgb="FF000000"/>
        <rFont val="맑은 고딕"/>
        <family val="0"/>
        <charset val="1"/>
      </rPr>
      <t xml:space="preserve">)</t>
    </r>
    <r>
      <rPr>
        <sz val="10"/>
        <color rgb="FF000000"/>
        <rFont val="WenQuanYi Zen Hei"/>
        <family val="2"/>
      </rPr>
      <t xml:space="preserve">의 </t>
    </r>
    <r>
      <rPr>
        <sz val="10"/>
        <color rgb="FF000000"/>
        <rFont val="맑은 고딕"/>
        <family val="0"/>
        <charset val="1"/>
      </rPr>
      <t xml:space="preserve">3</t>
    </r>
    <r>
      <rPr>
        <sz val="10"/>
        <color rgb="FF000000"/>
        <rFont val="WenQuanYi Zen Hei"/>
        <family val="2"/>
      </rPr>
      <t xml:space="preserve">층 모형을 따랐다</t>
    </r>
    <r>
      <rPr>
        <sz val="10"/>
        <color rgb="FF000000"/>
        <rFont val="맑은 고딕"/>
        <family val="0"/>
        <charset val="1"/>
      </rPr>
      <t xml:space="preserve">. </t>
    </r>
    <r>
      <rPr>
        <sz val="10"/>
        <color rgb="FF000000"/>
        <rFont val="WenQuanYi Zen Hei"/>
        <family val="2"/>
      </rPr>
      <t xml:space="preserve">객체층</t>
    </r>
    <r>
      <rPr>
        <sz val="10"/>
        <color rgb="FF000000"/>
        <rFont val="맑은 고딕"/>
        <family val="0"/>
        <charset val="1"/>
      </rPr>
      <t xml:space="preserve">(</t>
    </r>
    <r>
      <rPr>
        <sz val="10"/>
        <color rgb="FF000000"/>
        <rFont val="WenQuanYi Zen Hei"/>
        <family val="2"/>
      </rPr>
      <t xml:space="preserve">프로세스 </t>
    </r>
    <r>
      <rPr>
        <sz val="10"/>
        <color rgb="FF000000"/>
        <rFont val="맑은 고딕"/>
        <family val="0"/>
        <charset val="1"/>
      </rPr>
      <t xml:space="preserve">22</t>
    </r>
    <r>
      <rPr>
        <sz val="10"/>
        <color rgb="FF000000"/>
        <rFont val="WenQuanYi Zen Hei"/>
        <family val="2"/>
      </rPr>
      <t xml:space="preserve">개</t>
    </r>
    <r>
      <rPr>
        <sz val="10"/>
        <color rgb="FF000000"/>
        <rFont val="맑은 고딕"/>
        <family val="0"/>
        <charset val="1"/>
      </rPr>
      <t xml:space="preserve">) → </t>
    </r>
    <r>
      <rPr>
        <sz val="10"/>
        <color rgb="FF000000"/>
        <rFont val="WenQuanYi Zen Hei"/>
        <family val="2"/>
      </rPr>
      <t xml:space="preserve">관계층</t>
    </r>
    <r>
      <rPr>
        <sz val="10"/>
        <color rgb="FF000000"/>
        <rFont val="맑은 고딕"/>
        <family val="0"/>
        <charset val="1"/>
      </rPr>
      <t xml:space="preserve">(</t>
    </r>
    <r>
      <rPr>
        <sz val="10"/>
        <color rgb="FF000000"/>
        <rFont val="WenQuanYi Zen Hei"/>
        <family val="2"/>
      </rPr>
      <t xml:space="preserve">관계동사 </t>
    </r>
    <r>
      <rPr>
        <sz val="10"/>
        <color rgb="FF000000"/>
        <rFont val="맑은 고딕"/>
        <family val="0"/>
        <charset val="1"/>
      </rPr>
      <t xml:space="preserve">11</t>
    </r>
    <r>
      <rPr>
        <sz val="10"/>
        <color rgb="FF000000"/>
        <rFont val="WenQuanYi Zen Hei"/>
        <family val="2"/>
      </rPr>
      <t xml:space="preserve">개</t>
    </r>
    <r>
      <rPr>
        <sz val="10"/>
        <color rgb="FF000000"/>
        <rFont val="맑은 고딕"/>
        <family val="0"/>
        <charset val="1"/>
      </rPr>
      <t xml:space="preserve">) → </t>
    </r>
    <r>
      <rPr>
        <sz val="10"/>
        <color rgb="FF000000"/>
        <rFont val="WenQuanYi Zen Hei"/>
        <family val="2"/>
      </rPr>
      <t xml:space="preserve">품질층</t>
    </r>
    <r>
      <rPr>
        <sz val="10"/>
        <color rgb="FF000000"/>
        <rFont val="맑은 고딕"/>
        <family val="0"/>
        <charset val="1"/>
      </rPr>
      <t xml:space="preserve">(</t>
    </r>
    <r>
      <rPr>
        <sz val="10"/>
        <color rgb="FF000000"/>
        <rFont val="WenQuanYi Zen Hei"/>
        <family val="2"/>
      </rPr>
      <t xml:space="preserve">정합성</t>
    </r>
    <r>
      <rPr>
        <sz val="10"/>
        <color rgb="FF000000"/>
        <rFont val="맑은 고딕"/>
        <family val="0"/>
        <charset val="1"/>
      </rPr>
      <t xml:space="preserve">·</t>
    </r>
    <r>
      <rPr>
        <sz val="10"/>
        <color rgb="FF000000"/>
        <rFont val="WenQuanYi Zen Hei"/>
        <family val="2"/>
      </rPr>
      <t xml:space="preserve">추적성</t>
    </r>
    <r>
      <rPr>
        <sz val="10"/>
        <color rgb="FF000000"/>
        <rFont val="맑은 고딕"/>
        <family val="0"/>
        <charset val="1"/>
      </rPr>
      <t xml:space="preserve">·</t>
    </r>
    <r>
      <rPr>
        <sz val="10"/>
        <color rgb="FF000000"/>
        <rFont val="WenQuanYi Zen Hei"/>
        <family val="2"/>
      </rPr>
      <t xml:space="preserve">증빙성</t>
    </r>
    <r>
      <rPr>
        <sz val="10"/>
        <color rgb="FF000000"/>
        <rFont val="맑은 고딕"/>
        <family val="0"/>
        <charset val="1"/>
      </rPr>
      <t xml:space="preserve">·</t>
    </r>
    <r>
      <rPr>
        <sz val="10"/>
        <color rgb="FF000000"/>
        <rFont val="WenQuanYi Zen Hei"/>
        <family val="2"/>
      </rPr>
      <t xml:space="preserve">책임성</t>
    </r>
    <r>
      <rPr>
        <sz val="10"/>
        <color rgb="FF000000"/>
        <rFont val="맑은 고딕"/>
        <family val="0"/>
        <charset val="1"/>
      </rPr>
      <t xml:space="preserve">·</t>
    </r>
    <r>
      <rPr>
        <sz val="10"/>
        <color rgb="FF000000"/>
        <rFont val="WenQuanYi Zen Hei"/>
        <family val="2"/>
      </rPr>
      <t xml:space="preserve">최신성</t>
    </r>
    <r>
      <rPr>
        <sz val="10"/>
        <color rgb="FF000000"/>
        <rFont val="맑은 고딕"/>
        <family val="0"/>
        <charset val="1"/>
      </rPr>
      <t xml:space="preserve">·</t>
    </r>
    <r>
      <rPr>
        <sz val="10"/>
        <color rgb="FF000000"/>
        <rFont val="WenQuanYi Zen Hei"/>
        <family val="2"/>
      </rPr>
      <t xml:space="preserve">환류폐쇄성 </t>
    </r>
    <r>
      <rPr>
        <sz val="10"/>
        <color rgb="FF000000"/>
        <rFont val="맑은 고딕"/>
        <family val="0"/>
        <charset val="1"/>
      </rPr>
      <t xml:space="preserve">6</t>
    </r>
    <r>
      <rPr>
        <sz val="10"/>
        <color rgb="FF000000"/>
        <rFont val="WenQuanYi Zen Hei"/>
        <family val="2"/>
      </rPr>
      <t xml:space="preserve">개 차원</t>
    </r>
    <r>
      <rPr>
        <sz val="10"/>
        <color rgb="FF000000"/>
        <rFont val="맑은 고딕"/>
        <family val="0"/>
        <charset val="1"/>
      </rPr>
      <t xml:space="preserve">). </t>
    </r>
    <r>
      <rPr>
        <sz val="10"/>
        <color rgb="FF000000"/>
        <rFont val="WenQuanYi Zen Hei"/>
        <family val="2"/>
      </rPr>
      <t xml:space="preserve">문항은 </t>
    </r>
    <r>
      <rPr>
        <sz val="10"/>
        <color rgb="FF000000"/>
        <rFont val="맑은 고딕"/>
        <family val="0"/>
        <charset val="1"/>
      </rPr>
      <t xml:space="preserve">"</t>
    </r>
    <r>
      <rPr>
        <sz val="10"/>
        <color rgb="FF000000"/>
        <rFont val="WenQuanYi Zen Hei"/>
        <family val="2"/>
      </rPr>
      <t xml:space="preserve">객체쌍 </t>
    </r>
    <r>
      <rPr>
        <sz val="10"/>
        <color rgb="FF000000"/>
        <rFont val="맑은 고딕"/>
        <family val="0"/>
        <charset val="1"/>
      </rPr>
      <t xml:space="preserve">+ </t>
    </r>
    <r>
      <rPr>
        <sz val="10"/>
        <color rgb="FF000000"/>
        <rFont val="WenQuanYi Zen Hei"/>
        <family val="2"/>
      </rPr>
      <t xml:space="preserve">관계동사 </t>
    </r>
    <r>
      <rPr>
        <sz val="10"/>
        <color rgb="FF000000"/>
        <rFont val="맑은 고딕"/>
        <family val="0"/>
        <charset val="1"/>
      </rPr>
      <t xml:space="preserve">+ </t>
    </r>
    <r>
      <rPr>
        <sz val="10"/>
        <color rgb="FF000000"/>
        <rFont val="WenQuanYi Zen Hei"/>
        <family val="2"/>
      </rPr>
      <t xml:space="preserve">품질조건</t>
    </r>
    <r>
      <rPr>
        <sz val="10"/>
        <color rgb="FF000000"/>
        <rFont val="맑은 고딕"/>
        <family val="0"/>
        <charset val="1"/>
      </rPr>
      <t xml:space="preserve">" </t>
    </r>
    <r>
      <rPr>
        <sz val="10"/>
        <color rgb="FF000000"/>
        <rFont val="WenQuanYi Zen Hei"/>
        <family val="2"/>
      </rPr>
      <t xml:space="preserve">구조다</t>
    </r>
    <r>
      <rPr>
        <sz val="10"/>
        <color rgb="FF000000"/>
        <rFont val="맑은 고딕"/>
        <family val="0"/>
        <charset val="1"/>
      </rPr>
      <t xml:space="preserve">.</t>
    </r>
  </si>
  <si>
    <t xml:space="preserve">표기 규칙</t>
  </si>
  <si>
    <r>
      <rPr>
        <sz val="10"/>
        <color rgb="FF000000"/>
        <rFont val="WenQuanYi Zen Hei"/>
        <family val="2"/>
      </rPr>
      <t xml:space="preserve">파란 열 </t>
    </r>
    <r>
      <rPr>
        <sz val="10"/>
        <color rgb="FF000000"/>
        <rFont val="맑은 고딕"/>
        <family val="0"/>
        <charset val="1"/>
      </rPr>
      <t xml:space="preserve">= </t>
    </r>
    <r>
      <rPr>
        <sz val="10"/>
        <color rgb="FF000000"/>
        <rFont val="WenQuanYi Zen Hei"/>
        <family val="2"/>
      </rPr>
      <t xml:space="preserve">논문 인용</t>
    </r>
    <r>
      <rPr>
        <sz val="10"/>
        <color rgb="FF000000"/>
        <rFont val="맑은 고딕"/>
        <family val="0"/>
        <charset val="1"/>
      </rPr>
      <t xml:space="preserve">(Arias·Białas</t>
    </r>
    <r>
      <rPr>
        <sz val="10"/>
        <color rgb="FF000000"/>
        <rFont val="WenQuanYi Zen Hei"/>
        <family val="2"/>
      </rPr>
      <t xml:space="preserve">는 </t>
    </r>
    <r>
      <rPr>
        <sz val="10"/>
        <color rgb="FF000000"/>
        <rFont val="맑은 고딕"/>
        <family val="0"/>
        <charset val="1"/>
      </rPr>
      <t xml:space="preserve">PDF </t>
    </r>
    <r>
      <rPr>
        <sz val="10"/>
        <color rgb="FF000000"/>
        <rFont val="WenQuanYi Zen Hei"/>
        <family val="2"/>
      </rPr>
      <t xml:space="preserve">원문과 자동 대조 완료</t>
    </r>
    <r>
      <rPr>
        <sz val="10"/>
        <color rgb="FF000000"/>
        <rFont val="맑은 고딕"/>
        <family val="0"/>
        <charset val="1"/>
      </rPr>
      <t xml:space="preserve">) · </t>
    </r>
    <r>
      <rPr>
        <sz val="10"/>
        <color rgb="FF000000"/>
        <rFont val="WenQuanYi Zen Hei"/>
        <family val="2"/>
      </rPr>
      <t xml:space="preserve">빨간 열 </t>
    </r>
    <r>
      <rPr>
        <sz val="10"/>
        <color rgb="FF000000"/>
        <rFont val="맑은 고딕"/>
        <family val="0"/>
        <charset val="1"/>
      </rPr>
      <t xml:space="preserve">= </t>
    </r>
    <r>
      <rPr>
        <sz val="10"/>
        <color rgb="FF000000"/>
        <rFont val="WenQuanYi Zen Hei"/>
        <family val="2"/>
      </rPr>
      <t xml:space="preserve">연구자 의견</t>
    </r>
    <r>
      <rPr>
        <sz val="10"/>
        <color rgb="FF000000"/>
        <rFont val="맑은 고딕"/>
        <family val="0"/>
        <charset val="1"/>
      </rPr>
      <t xml:space="preserve">(</t>
    </r>
    <r>
      <rPr>
        <sz val="10"/>
        <color rgb="FF000000"/>
        <rFont val="WenQuanYi Zen Hei"/>
        <family val="2"/>
      </rPr>
      <t xml:space="preserve">해석</t>
    </r>
    <r>
      <rPr>
        <sz val="10"/>
        <color rgb="FF000000"/>
        <rFont val="맑은 고딕"/>
        <family val="0"/>
        <charset val="1"/>
      </rPr>
      <t xml:space="preserve">·</t>
    </r>
    <r>
      <rPr>
        <sz val="10"/>
        <color rgb="FF000000"/>
        <rFont val="WenQuanYi Zen Hei"/>
        <family val="2"/>
      </rPr>
      <t xml:space="preserve">보완</t>
    </r>
    <r>
      <rPr>
        <sz val="10"/>
        <color rgb="FF000000"/>
        <rFont val="맑은 고딕"/>
        <family val="0"/>
        <charset val="1"/>
      </rPr>
      <t xml:space="preserve">·</t>
    </r>
    <r>
      <rPr>
        <sz val="10"/>
        <color rgb="FF000000"/>
        <rFont val="WenQuanYi Zen Hei"/>
        <family val="2"/>
      </rPr>
      <t xml:space="preserve">가정</t>
    </r>
    <r>
      <rPr>
        <sz val="10"/>
        <color rgb="FF000000"/>
        <rFont val="맑은 고딕"/>
        <family val="0"/>
        <charset val="1"/>
      </rPr>
      <t xml:space="preserve">·</t>
    </r>
    <r>
      <rPr>
        <sz val="10"/>
        <color rgb="FF000000"/>
        <rFont val="WenQuanYi Zen Hei"/>
        <family val="2"/>
      </rPr>
      <t xml:space="preserve">문항화</t>
    </r>
    <r>
      <rPr>
        <sz val="10"/>
        <color rgb="FF000000"/>
        <rFont val="맑은 고딕"/>
        <family val="0"/>
        <charset val="1"/>
      </rPr>
      <t xml:space="preserve">). </t>
    </r>
    <r>
      <rPr>
        <sz val="10"/>
        <color rgb="FF000000"/>
        <rFont val="WenQuanYi Zen Hei"/>
        <family val="2"/>
      </rPr>
      <t xml:space="preserve">외부 학술 문헌은 서지만 확인했으며 원문 문장은 확인하지 못했다</t>
    </r>
    <r>
      <rPr>
        <sz val="10"/>
        <color rgb="FF000000"/>
        <rFont val="맑은 고딕"/>
        <family val="0"/>
        <charset val="1"/>
      </rPr>
      <t xml:space="preserve">(</t>
    </r>
    <r>
      <rPr>
        <sz val="10"/>
        <color rgb="FF000000"/>
        <rFont val="WenQuanYi Zen Hei"/>
        <family val="2"/>
      </rPr>
      <t xml:space="preserve">학술근거 시트</t>
    </r>
    <r>
      <rPr>
        <sz val="10"/>
        <color rgb="FF000000"/>
        <rFont val="맑은 고딕"/>
        <family val="0"/>
        <charset val="1"/>
      </rPr>
      <t xml:space="preserve">).</t>
    </r>
  </si>
  <si>
    <t xml:space="preserve">품질 차원의 근거 강도</t>
  </si>
  <si>
    <r>
      <rPr>
        <sz val="10"/>
        <color rgb="FF000000"/>
        <rFont val="WenQuanYi Zen Hei"/>
        <family val="2"/>
      </rPr>
      <t xml:space="preserve">두 논문 안에서의 근거</t>
    </r>
    <r>
      <rPr>
        <sz val="10"/>
        <color rgb="FF000000"/>
        <rFont val="맑은 고딕"/>
        <family val="0"/>
        <charset val="1"/>
      </rPr>
      <t xml:space="preserve">(T1): </t>
    </r>
    <r>
      <rPr>
        <sz val="10"/>
        <color rgb="FF000000"/>
        <rFont val="WenQuanYi Zen Hei"/>
        <family val="2"/>
      </rPr>
      <t xml:space="preserve">환류폐쇄성 강 </t>
    </r>
    <r>
      <rPr>
        <sz val="10"/>
        <color rgb="FF000000"/>
        <rFont val="맑은 고딕"/>
        <family val="0"/>
        <charset val="1"/>
      </rPr>
      <t xml:space="preserve">· </t>
    </r>
    <r>
      <rPr>
        <sz val="10"/>
        <color rgb="FF000000"/>
        <rFont val="WenQuanYi Zen Hei"/>
        <family val="2"/>
      </rPr>
      <t xml:space="preserve">정합성</t>
    </r>
    <r>
      <rPr>
        <sz val="10"/>
        <color rgb="FF000000"/>
        <rFont val="맑은 고딕"/>
        <family val="0"/>
        <charset val="1"/>
      </rPr>
      <t xml:space="preserve">·</t>
    </r>
    <r>
      <rPr>
        <sz val="10"/>
        <color rgb="FF000000"/>
        <rFont val="WenQuanYi Zen Hei"/>
        <family val="2"/>
      </rPr>
      <t xml:space="preserve">증빙성</t>
    </r>
    <r>
      <rPr>
        <sz val="10"/>
        <color rgb="FF000000"/>
        <rFont val="맑은 고딕"/>
        <family val="0"/>
        <charset val="1"/>
      </rPr>
      <t xml:space="preserve">·</t>
    </r>
    <r>
      <rPr>
        <sz val="10"/>
        <color rgb="FF000000"/>
        <rFont val="WenQuanYi Zen Hei"/>
        <family val="2"/>
      </rPr>
      <t xml:space="preserve">책임성</t>
    </r>
    <r>
      <rPr>
        <sz val="10"/>
        <color rgb="FF000000"/>
        <rFont val="맑은 고딕"/>
        <family val="0"/>
        <charset val="1"/>
      </rPr>
      <t xml:space="preserve">·</t>
    </r>
    <r>
      <rPr>
        <sz val="10"/>
        <color rgb="FF000000"/>
        <rFont val="WenQuanYi Zen Hei"/>
        <family val="2"/>
      </rPr>
      <t xml:space="preserve">최신성 중 </t>
    </r>
    <r>
      <rPr>
        <sz val="10"/>
        <color rgb="FF000000"/>
        <rFont val="맑은 고딕"/>
        <family val="0"/>
        <charset val="1"/>
      </rPr>
      <t xml:space="preserve">· </t>
    </r>
    <r>
      <rPr>
        <sz val="10"/>
        <color rgb="FF000000"/>
        <rFont val="WenQuanYi Zen Hei"/>
        <family val="2"/>
      </rPr>
      <t xml:space="preserve">추적성 없음</t>
    </r>
    <r>
      <rPr>
        <sz val="10"/>
        <color rgb="FF000000"/>
        <rFont val="맑은 고딕"/>
        <family val="0"/>
        <charset val="1"/>
      </rPr>
      <t xml:space="preserve">. </t>
    </r>
    <r>
      <rPr>
        <sz val="10"/>
        <color rgb="FF000000"/>
        <rFont val="WenQuanYi Zen Hei"/>
        <family val="2"/>
      </rPr>
      <t xml:space="preserve">외부 문헌</t>
    </r>
    <r>
      <rPr>
        <sz val="10"/>
        <color rgb="FF000000"/>
        <rFont val="맑은 고딕"/>
        <family val="0"/>
        <charset val="1"/>
      </rPr>
      <t xml:space="preserve">(T2)</t>
    </r>
    <r>
      <rPr>
        <sz val="10"/>
        <color rgb="FF000000"/>
        <rFont val="WenQuanYi Zen Hei"/>
        <family val="2"/>
      </rPr>
      <t xml:space="preserve">은 모든 차원에 후보가 있으나 원문 확인이 필요하다</t>
    </r>
    <r>
      <rPr>
        <sz val="10"/>
        <color rgb="FF000000"/>
        <rFont val="맑은 고딕"/>
        <family val="0"/>
        <charset val="1"/>
      </rPr>
      <t xml:space="preserve">. </t>
    </r>
    <r>
      <rPr>
        <sz val="10"/>
        <color rgb="FF000000"/>
        <rFont val="WenQuanYi Zen Hei"/>
        <family val="2"/>
      </rPr>
      <t xml:space="preserve">상세는 품질차원 시트</t>
    </r>
    <r>
      <rPr>
        <sz val="10"/>
        <color rgb="FF000000"/>
        <rFont val="맑은 고딕"/>
        <family val="0"/>
        <charset val="1"/>
      </rPr>
      <t xml:space="preserve">.</t>
    </r>
  </si>
  <si>
    <t xml:space="preserve">증거유형</t>
  </si>
  <si>
    <r>
      <rPr>
        <sz val="10"/>
        <color rgb="FF000000"/>
        <rFont val="WenQuanYi Zen Hei"/>
        <family val="2"/>
      </rPr>
      <t xml:space="preserve">연결의 증거유형</t>
    </r>
    <r>
      <rPr>
        <sz val="10"/>
        <color rgb="FF000000"/>
        <rFont val="맑은 고딕"/>
        <family val="0"/>
        <charset val="1"/>
      </rPr>
      <t xml:space="preserve">: E1 </t>
    </r>
    <r>
      <rPr>
        <sz val="10"/>
        <color rgb="FF000000"/>
        <rFont val="WenQuanYi Zen Hei"/>
        <family val="2"/>
      </rPr>
      <t xml:space="preserve">직접 </t>
    </r>
    <r>
      <rPr>
        <sz val="10"/>
        <color rgb="FF000000"/>
        <rFont val="맑은 고딕"/>
        <family val="0"/>
        <charset val="1"/>
      </rPr>
      <t xml:space="preserve">26</t>
    </r>
    <r>
      <rPr>
        <sz val="10"/>
        <color rgb="FF000000"/>
        <rFont val="WenQuanYi Zen Hei"/>
        <family val="2"/>
      </rPr>
      <t xml:space="preserve">개 </t>
    </r>
    <r>
      <rPr>
        <sz val="10"/>
        <color rgb="FF000000"/>
        <rFont val="맑은 고딕"/>
        <family val="0"/>
        <charset val="1"/>
      </rPr>
      <t xml:space="preserve">/ E2 </t>
    </r>
    <r>
      <rPr>
        <sz val="10"/>
        <color rgb="FF000000"/>
        <rFont val="WenQuanYi Zen Hei"/>
        <family val="2"/>
      </rPr>
      <t xml:space="preserve">일부 보완 </t>
    </r>
    <r>
      <rPr>
        <sz val="10"/>
        <color rgb="FF000000"/>
        <rFont val="맑은 고딕"/>
        <family val="0"/>
        <charset val="1"/>
      </rPr>
      <t xml:space="preserve">2</t>
    </r>
    <r>
      <rPr>
        <sz val="10"/>
        <color rgb="FF000000"/>
        <rFont val="WenQuanYi Zen Hei"/>
        <family val="2"/>
      </rPr>
      <t xml:space="preserve">개 </t>
    </r>
    <r>
      <rPr>
        <sz val="10"/>
        <color rgb="FF000000"/>
        <rFont val="맑은 고딕"/>
        <family val="0"/>
        <charset val="1"/>
      </rPr>
      <t xml:space="preserve">/ E3 </t>
    </r>
    <r>
      <rPr>
        <sz val="10"/>
        <color rgb="FF000000"/>
        <rFont val="WenQuanYi Zen Hei"/>
        <family val="2"/>
      </rPr>
      <t xml:space="preserve">가정 </t>
    </r>
    <r>
      <rPr>
        <sz val="10"/>
        <color rgb="FF000000"/>
        <rFont val="맑은 고딕"/>
        <family val="0"/>
        <charset val="1"/>
      </rPr>
      <t xml:space="preserve">3</t>
    </r>
    <r>
      <rPr>
        <sz val="10"/>
        <color rgb="FF000000"/>
        <rFont val="WenQuanYi Zen Hei"/>
        <family val="2"/>
      </rPr>
      <t xml:space="preserve">개</t>
    </r>
    <r>
      <rPr>
        <sz val="10"/>
        <color rgb="FF000000"/>
        <rFont val="맑은 고딕"/>
        <family val="0"/>
        <charset val="1"/>
      </rPr>
      <t xml:space="preserve">. </t>
    </r>
    <r>
      <rPr>
        <sz val="10"/>
        <color rgb="FF000000"/>
        <rFont val="WenQuanYi Zen Hei"/>
        <family val="2"/>
      </rPr>
      <t xml:space="preserve">품질 차원의 근거 등급</t>
    </r>
    <r>
      <rPr>
        <sz val="10"/>
        <color rgb="FF000000"/>
        <rFont val="맑은 고딕"/>
        <family val="0"/>
        <charset val="1"/>
      </rPr>
      <t xml:space="preserve">(T1/T2/T3)</t>
    </r>
    <r>
      <rPr>
        <sz val="10"/>
        <color rgb="FF000000"/>
        <rFont val="WenQuanYi Zen Hei"/>
        <family val="2"/>
      </rPr>
      <t xml:space="preserve">과는 별개다</t>
    </r>
    <r>
      <rPr>
        <sz val="10"/>
        <color rgb="FF000000"/>
        <rFont val="맑은 고딕"/>
        <family val="0"/>
        <charset val="1"/>
      </rPr>
      <t xml:space="preserve">.</t>
    </r>
  </si>
  <si>
    <t xml:space="preserve">시트 구성</t>
  </si>
  <si>
    <r>
      <rPr>
        <sz val="10"/>
        <color rgb="FF000000"/>
        <rFont val="WenQuanYi Zen Hei"/>
        <family val="2"/>
      </rPr>
      <t xml:space="preserve">정의서 </t>
    </r>
    <r>
      <rPr>
        <sz val="10"/>
        <color rgb="FF000000"/>
        <rFont val="맑은 고딕"/>
        <family val="0"/>
        <charset val="1"/>
      </rPr>
      <t xml:space="preserve">· </t>
    </r>
    <r>
      <rPr>
        <sz val="10"/>
        <color rgb="FF000000"/>
        <rFont val="WenQuanYi Zen Hei"/>
        <family val="2"/>
      </rPr>
      <t xml:space="preserve">품질차원 </t>
    </r>
    <r>
      <rPr>
        <sz val="10"/>
        <color rgb="FF000000"/>
        <rFont val="맑은 고딕"/>
        <family val="0"/>
        <charset val="1"/>
      </rPr>
      <t xml:space="preserve">· </t>
    </r>
    <r>
      <rPr>
        <sz val="10"/>
        <color rgb="FF000000"/>
        <rFont val="WenQuanYi Zen Hei"/>
        <family val="2"/>
      </rPr>
      <t xml:space="preserve">학술근거 </t>
    </r>
    <r>
      <rPr>
        <sz val="10"/>
        <color rgb="FF000000"/>
        <rFont val="맑은 고딕"/>
        <family val="0"/>
        <charset val="1"/>
      </rPr>
      <t xml:space="preserve">· </t>
    </r>
    <r>
      <rPr>
        <sz val="10"/>
        <color rgb="FF000000"/>
        <rFont val="WenQuanYi Zen Hei"/>
        <family val="2"/>
      </rPr>
      <t xml:space="preserve">인용근거 </t>
    </r>
    <r>
      <rPr>
        <sz val="10"/>
        <color rgb="FF000000"/>
        <rFont val="맑은 고딕"/>
        <family val="0"/>
        <charset val="1"/>
      </rPr>
      <t xml:space="preserve">· </t>
    </r>
    <r>
      <rPr>
        <sz val="10"/>
        <color rgb="FF000000"/>
        <rFont val="WenQuanYi Zen Hei"/>
        <family val="2"/>
      </rPr>
      <t xml:space="preserve">연결 </t>
    </r>
    <r>
      <rPr>
        <sz val="10"/>
        <color rgb="FF000000"/>
        <rFont val="맑은 고딕"/>
        <family val="0"/>
        <charset val="1"/>
      </rPr>
      <t xml:space="preserve">· </t>
    </r>
    <r>
      <rPr>
        <sz val="10"/>
        <color rgb="FF000000"/>
        <rFont val="WenQuanYi Zen Hei"/>
        <family val="2"/>
      </rPr>
      <t xml:space="preserve">적용매트릭스 </t>
    </r>
    <r>
      <rPr>
        <sz val="10"/>
        <color rgb="FF000000"/>
        <rFont val="맑은 고딕"/>
        <family val="0"/>
        <charset val="1"/>
      </rPr>
      <t xml:space="preserve">· </t>
    </r>
    <r>
      <rPr>
        <sz val="10"/>
        <color rgb="FF000000"/>
        <rFont val="WenQuanYi Zen Hei"/>
        <family val="2"/>
      </rPr>
      <t xml:space="preserve">관계동사 </t>
    </r>
    <r>
      <rPr>
        <sz val="10"/>
        <color rgb="FF000000"/>
        <rFont val="맑은 고딕"/>
        <family val="0"/>
        <charset val="1"/>
      </rPr>
      <t xml:space="preserve">· </t>
    </r>
    <r>
      <rPr>
        <sz val="10"/>
        <color rgb="FF000000"/>
        <rFont val="WenQuanYi Zen Hei"/>
        <family val="2"/>
      </rPr>
      <t xml:space="preserve">보류연결 </t>
    </r>
    <r>
      <rPr>
        <sz val="10"/>
        <color rgb="FF000000"/>
        <rFont val="맑은 고딕"/>
        <family val="0"/>
        <charset val="1"/>
      </rPr>
      <t xml:space="preserve">· </t>
    </r>
    <r>
      <rPr>
        <sz val="10"/>
        <color rgb="FF000000"/>
        <rFont val="WenQuanYi Zen Hei"/>
        <family val="2"/>
      </rPr>
      <t xml:space="preserve">객체 </t>
    </r>
    <r>
      <rPr>
        <sz val="10"/>
        <color rgb="FF000000"/>
        <rFont val="맑은 고딕"/>
        <family val="0"/>
        <charset val="1"/>
      </rPr>
      <t xml:space="preserve">· </t>
    </r>
    <r>
      <rPr>
        <sz val="10"/>
        <color rgb="FF000000"/>
        <rFont val="WenQuanYi Zen Hei"/>
        <family val="2"/>
      </rPr>
      <t xml:space="preserve">트리플 </t>
    </r>
    <r>
      <rPr>
        <sz val="10"/>
        <color rgb="FF000000"/>
        <rFont val="맑은 고딕"/>
        <family val="0"/>
        <charset val="1"/>
      </rPr>
      <t xml:space="preserve">· </t>
    </r>
    <r>
      <rPr>
        <sz val="10"/>
        <color rgb="FF000000"/>
        <rFont val="WenQuanYi Zen Hei"/>
        <family val="2"/>
      </rPr>
      <t xml:space="preserve">관계매트릭스 </t>
    </r>
    <r>
      <rPr>
        <sz val="10"/>
        <color rgb="FF000000"/>
        <rFont val="맑은 고딕"/>
        <family val="0"/>
        <charset val="1"/>
      </rPr>
      <t xml:space="preserve">· </t>
    </r>
    <r>
      <rPr>
        <sz val="10"/>
        <color rgb="FF000000"/>
        <rFont val="WenQuanYi Zen Hei"/>
        <family val="2"/>
      </rPr>
      <t xml:space="preserve">온톨로지맵 </t>
    </r>
    <r>
      <rPr>
        <sz val="10"/>
        <color rgb="FF000000"/>
        <rFont val="맑은 고딕"/>
        <family val="0"/>
        <charset val="1"/>
      </rPr>
      <t xml:space="preserve">· </t>
    </r>
    <r>
      <rPr>
        <sz val="10"/>
        <color rgb="FF000000"/>
        <rFont val="WenQuanYi Zen Hei"/>
        <family val="2"/>
      </rPr>
      <t xml:space="preserve">문항 </t>
    </r>
    <r>
      <rPr>
        <sz val="10"/>
        <color rgb="FF000000"/>
        <rFont val="맑은 고딕"/>
        <family val="0"/>
        <charset val="1"/>
      </rPr>
      <t xml:space="preserve">· </t>
    </r>
    <r>
      <rPr>
        <sz val="10"/>
        <color rgb="FF000000"/>
        <rFont val="WenQuanYi Zen Hei"/>
        <family val="2"/>
      </rPr>
      <t xml:space="preserve">보유</t>
    </r>
    <r>
      <rPr>
        <sz val="10"/>
        <color rgb="FF000000"/>
        <rFont val="맑은 고딕"/>
        <family val="0"/>
        <charset val="1"/>
      </rPr>
      <t xml:space="preserve">·</t>
    </r>
    <r>
      <rPr>
        <sz val="10"/>
        <color rgb="FF000000"/>
        <rFont val="WenQuanYi Zen Hei"/>
        <family val="2"/>
      </rPr>
      <t xml:space="preserve">응답자정보 </t>
    </r>
    <r>
      <rPr>
        <sz val="10"/>
        <color rgb="FF000000"/>
        <rFont val="맑은 고딕"/>
        <family val="0"/>
        <charset val="1"/>
      </rPr>
      <t xml:space="preserve">· </t>
    </r>
    <r>
      <rPr>
        <sz val="10"/>
        <color rgb="FF000000"/>
        <rFont val="WenQuanYi Zen Hei"/>
        <family val="2"/>
      </rPr>
      <t xml:space="preserve">응답입력 </t>
    </r>
    <r>
      <rPr>
        <sz val="10"/>
        <color rgb="FF000000"/>
        <rFont val="맑은 고딕"/>
        <family val="0"/>
        <charset val="1"/>
      </rPr>
      <t xml:space="preserve">· </t>
    </r>
    <r>
      <rPr>
        <sz val="10"/>
        <color rgb="FF000000"/>
        <rFont val="WenQuanYi Zen Hei"/>
        <family val="2"/>
      </rPr>
      <t xml:space="preserve">연결점수 </t>
    </r>
    <r>
      <rPr>
        <sz val="10"/>
        <color rgb="FF000000"/>
        <rFont val="맑은 고딕"/>
        <family val="0"/>
        <charset val="1"/>
      </rPr>
      <t xml:space="preserve">· </t>
    </r>
    <r>
      <rPr>
        <sz val="10"/>
        <color rgb="FF000000"/>
        <rFont val="WenQuanYi Zen Hei"/>
        <family val="2"/>
      </rPr>
      <t xml:space="preserve">차원점수 </t>
    </r>
    <r>
      <rPr>
        <sz val="10"/>
        <color rgb="FF000000"/>
        <rFont val="맑은 고딕"/>
        <family val="0"/>
        <charset val="1"/>
      </rPr>
      <t xml:space="preserve">· </t>
    </r>
    <r>
      <rPr>
        <sz val="10"/>
        <color rgb="FF000000"/>
        <rFont val="WenQuanYi Zen Hei"/>
        <family val="2"/>
      </rPr>
      <t xml:space="preserve">점수요약 </t>
    </r>
    <r>
      <rPr>
        <sz val="10"/>
        <color rgb="FF000000"/>
        <rFont val="맑은 고딕"/>
        <family val="0"/>
        <charset val="1"/>
      </rPr>
      <t xml:space="preserve">· </t>
    </r>
    <r>
      <rPr>
        <sz val="10"/>
        <color rgb="FF000000"/>
        <rFont val="WenQuanYi Zen Hei"/>
        <family val="2"/>
      </rPr>
      <t xml:space="preserve">검증</t>
    </r>
  </si>
  <si>
    <t xml:space="preserve">사용 순서</t>
  </si>
  <si>
    <r>
      <rPr>
        <sz val="10"/>
        <color rgb="FF000000"/>
        <rFont val="WenQuanYi Zen Hei"/>
        <family val="2"/>
      </rPr>
      <t xml:space="preserve">① 품질차원</t>
    </r>
    <r>
      <rPr>
        <sz val="10"/>
        <color rgb="FF000000"/>
        <rFont val="맑은 고딕"/>
        <family val="0"/>
        <charset val="1"/>
      </rPr>
      <t xml:space="preserve">·</t>
    </r>
    <r>
      <rPr>
        <sz val="10"/>
        <color rgb="FF000000"/>
        <rFont val="WenQuanYi Zen Hei"/>
        <family val="2"/>
      </rPr>
      <t xml:space="preserve">학술근거 시트에서 근거 확인</t>
    </r>
    <r>
      <rPr>
        <sz val="10"/>
        <color rgb="FF000000"/>
        <rFont val="맑은 고딕"/>
        <family val="0"/>
        <charset val="1"/>
      </rPr>
      <t xml:space="preserve">(</t>
    </r>
    <r>
      <rPr>
        <sz val="10"/>
        <color rgb="FF000000"/>
        <rFont val="WenQuanYi Zen Hei"/>
        <family val="2"/>
      </rPr>
      <t xml:space="preserve">학술근거 시트 노란 칸에 원문 확인 결과 기입</t>
    </r>
    <r>
      <rPr>
        <sz val="10"/>
        <color rgb="FF000000"/>
        <rFont val="맑은 고딕"/>
        <family val="0"/>
        <charset val="1"/>
      </rPr>
      <t xml:space="preserve">) → ② </t>
    </r>
    <r>
      <rPr>
        <sz val="10"/>
        <color rgb="FF000000"/>
        <rFont val="WenQuanYi Zen Hei"/>
        <family val="2"/>
      </rPr>
      <t xml:space="preserve">연결 시트에서 연구자 의견 검토 → ③ 문항 시트에서 전문가 </t>
    </r>
    <r>
      <rPr>
        <sz val="10"/>
        <color rgb="FF000000"/>
        <rFont val="맑은 고딕"/>
        <family val="0"/>
        <charset val="1"/>
      </rPr>
      <t xml:space="preserve">6</t>
    </r>
    <r>
      <rPr>
        <sz val="10"/>
        <color rgb="FF000000"/>
        <rFont val="WenQuanYi Zen Hei"/>
        <family val="2"/>
      </rPr>
      <t xml:space="preserve">인 적합도</t>
    </r>
    <r>
      <rPr>
        <sz val="10"/>
        <color rgb="FF000000"/>
        <rFont val="맑은 고딕"/>
        <family val="0"/>
        <charset val="1"/>
      </rPr>
      <t xml:space="preserve">(1~4) </t>
    </r>
    <r>
      <rPr>
        <sz val="10"/>
        <color rgb="FF000000"/>
        <rFont val="WenQuanYi Zen Hei"/>
        <family val="2"/>
      </rPr>
      <t xml:space="preserve">입력 → ④ 응답입력 </t>
    </r>
    <r>
      <rPr>
        <sz val="10"/>
        <color rgb="FF000000"/>
        <rFont val="맑은 고딕"/>
        <family val="0"/>
        <charset val="1"/>
      </rPr>
      <t xml:space="preserve">7</t>
    </r>
    <r>
      <rPr>
        <sz val="10"/>
        <color rgb="FF000000"/>
        <rFont val="WenQuanYi Zen Hei"/>
        <family val="2"/>
      </rPr>
      <t xml:space="preserve">행부터 설문 응답 입력 → ⑤ 연결점수</t>
    </r>
    <r>
      <rPr>
        <sz val="10"/>
        <color rgb="FF000000"/>
        <rFont val="맑은 고딕"/>
        <family val="0"/>
        <charset val="1"/>
      </rPr>
      <t xml:space="preserve">·</t>
    </r>
    <r>
      <rPr>
        <sz val="10"/>
        <color rgb="FF000000"/>
        <rFont val="WenQuanYi Zen Hei"/>
        <family val="2"/>
      </rPr>
      <t xml:space="preserve">차원점수</t>
    </r>
    <r>
      <rPr>
        <sz val="10"/>
        <color rgb="FF000000"/>
        <rFont val="맑은 고딕"/>
        <family val="0"/>
        <charset val="1"/>
      </rPr>
      <t xml:space="preserve">·</t>
    </r>
    <r>
      <rPr>
        <sz val="10"/>
        <color rgb="FF000000"/>
        <rFont val="WenQuanYi Zen Hei"/>
        <family val="2"/>
      </rPr>
      <t xml:space="preserve">점수요약</t>
    </r>
    <r>
      <rPr>
        <sz val="10"/>
        <color rgb="FF000000"/>
        <rFont val="맑은 고딕"/>
        <family val="0"/>
        <charset val="1"/>
      </rPr>
      <t xml:space="preserve">·</t>
    </r>
    <r>
      <rPr>
        <sz val="10"/>
        <color rgb="FF000000"/>
        <rFont val="WenQuanYi Zen Hei"/>
        <family val="2"/>
      </rPr>
      <t xml:space="preserve">검증 확인</t>
    </r>
  </si>
  <si>
    <t xml:space="preserve">입력 칸</t>
  </si>
  <si>
    <r>
      <rPr>
        <sz val="10"/>
        <color rgb="FF000000"/>
        <rFont val="WenQuanYi Zen Hei"/>
        <family val="2"/>
      </rPr>
      <t xml:space="preserve">노란 바탕 </t>
    </r>
    <r>
      <rPr>
        <sz val="10"/>
        <color rgb="FF000000"/>
        <rFont val="맑은 고딕"/>
        <family val="0"/>
        <charset val="1"/>
      </rPr>
      <t xml:space="preserve">+ </t>
    </r>
    <r>
      <rPr>
        <sz val="10"/>
        <color rgb="FF000000"/>
        <rFont val="WenQuanYi Zen Hei"/>
        <family val="2"/>
      </rPr>
      <t xml:space="preserve">파란 글씨 </t>
    </r>
    <r>
      <rPr>
        <sz val="10"/>
        <color rgb="FF000000"/>
        <rFont val="맑은 고딕"/>
        <family val="0"/>
        <charset val="1"/>
      </rPr>
      <t xml:space="preserve">= </t>
    </r>
    <r>
      <rPr>
        <sz val="10"/>
        <color rgb="FF000000"/>
        <rFont val="WenQuanYi Zen Hei"/>
        <family val="2"/>
      </rPr>
      <t xml:space="preserve">직접 입력</t>
    </r>
    <r>
      <rPr>
        <sz val="10"/>
        <color rgb="FF000000"/>
        <rFont val="맑은 고딕"/>
        <family val="0"/>
        <charset val="1"/>
      </rPr>
      <t xml:space="preserve">. </t>
    </r>
    <r>
      <rPr>
        <sz val="10"/>
        <color rgb="FF000000"/>
        <rFont val="WenQuanYi Zen Hei"/>
        <family val="2"/>
      </rPr>
      <t xml:space="preserve">응답입력 </t>
    </r>
    <r>
      <rPr>
        <sz val="10"/>
        <color rgb="FF000000"/>
        <rFont val="맑은 고딕"/>
        <family val="0"/>
        <charset val="1"/>
      </rPr>
      <t xml:space="preserve">6</t>
    </r>
    <r>
      <rPr>
        <sz val="10"/>
        <color rgb="FF000000"/>
        <rFont val="WenQuanYi Zen Hei"/>
        <family val="2"/>
      </rPr>
      <t xml:space="preserve">행은 예시이며 집계에서 제외</t>
    </r>
    <r>
      <rPr>
        <sz val="10"/>
        <color rgb="FF000000"/>
        <rFont val="맑은 고딕"/>
        <family val="0"/>
        <charset val="1"/>
      </rPr>
      <t xml:space="preserve">(</t>
    </r>
    <r>
      <rPr>
        <sz val="10"/>
        <color rgb="FF000000"/>
        <rFont val="WenQuanYi Zen Hei"/>
        <family val="2"/>
      </rPr>
      <t xml:space="preserve">집계는 </t>
    </r>
    <r>
      <rPr>
        <sz val="10"/>
        <color rgb="FF000000"/>
        <rFont val="맑은 고딕"/>
        <family val="0"/>
        <charset val="1"/>
      </rPr>
      <t xml:space="preserve">7~56</t>
    </r>
    <r>
      <rPr>
        <sz val="10"/>
        <color rgb="FF000000"/>
        <rFont val="WenQuanYi Zen Hei"/>
        <family val="2"/>
      </rPr>
      <t xml:space="preserve">행</t>
    </r>
    <r>
      <rPr>
        <sz val="10"/>
        <color rgb="FF000000"/>
        <rFont val="맑은 고딕"/>
        <family val="0"/>
        <charset val="1"/>
      </rPr>
      <t xml:space="preserve">).</t>
    </r>
  </si>
  <si>
    <t xml:space="preserve">응답 척도</t>
  </si>
  <si>
    <r>
      <rPr>
        <sz val="10"/>
        <color rgb="FF000000"/>
        <rFont val="맑은 고딕"/>
        <family val="0"/>
        <charset val="1"/>
      </rPr>
      <t xml:space="preserve">1 </t>
    </r>
    <r>
      <rPr>
        <sz val="10"/>
        <color rgb="FF000000"/>
        <rFont val="WenQuanYi Zen Hei"/>
        <family val="2"/>
      </rPr>
      <t xml:space="preserve">전혀 그렇지 않다 </t>
    </r>
    <r>
      <rPr>
        <sz val="10"/>
        <color rgb="FF000000"/>
        <rFont val="맑은 고딕"/>
        <family val="0"/>
        <charset val="1"/>
      </rPr>
      <t xml:space="preserve">· 2 </t>
    </r>
    <r>
      <rPr>
        <sz val="10"/>
        <color rgb="FF000000"/>
        <rFont val="WenQuanYi Zen Hei"/>
        <family val="2"/>
      </rPr>
      <t xml:space="preserve">그렇지 않다 </t>
    </r>
    <r>
      <rPr>
        <sz val="10"/>
        <color rgb="FF000000"/>
        <rFont val="맑은 고딕"/>
        <family val="0"/>
        <charset val="1"/>
      </rPr>
      <t xml:space="preserve">· 3 </t>
    </r>
    <r>
      <rPr>
        <sz val="10"/>
        <color rgb="FF000000"/>
        <rFont val="WenQuanYi Zen Hei"/>
        <family val="2"/>
      </rPr>
      <t xml:space="preserve">보통이다 </t>
    </r>
    <r>
      <rPr>
        <sz val="10"/>
        <color rgb="FF000000"/>
        <rFont val="맑은 고딕"/>
        <family val="0"/>
        <charset val="1"/>
      </rPr>
      <t xml:space="preserve">· 4 </t>
    </r>
    <r>
      <rPr>
        <sz val="10"/>
        <color rgb="FF000000"/>
        <rFont val="WenQuanYi Zen Hei"/>
        <family val="2"/>
      </rPr>
      <t xml:space="preserve">그렇다 </t>
    </r>
    <r>
      <rPr>
        <sz val="10"/>
        <color rgb="FF000000"/>
        <rFont val="맑은 고딕"/>
        <family val="0"/>
        <charset val="1"/>
      </rPr>
      <t xml:space="preserve">· 5 </t>
    </r>
    <r>
      <rPr>
        <sz val="10"/>
        <color rgb="FF000000"/>
        <rFont val="WenQuanYi Zen Hei"/>
        <family val="2"/>
      </rPr>
      <t xml:space="preserve">매우 그렇다 </t>
    </r>
    <r>
      <rPr>
        <sz val="10"/>
        <color rgb="FF000000"/>
        <rFont val="맑은 고딕"/>
        <family val="0"/>
        <charset val="1"/>
      </rPr>
      <t xml:space="preserve">· 9 </t>
    </r>
    <r>
      <rPr>
        <sz val="10"/>
        <color rgb="FF000000"/>
        <rFont val="WenQuanYi Zen Hei"/>
        <family val="2"/>
      </rPr>
      <t xml:space="preserve">해당 없음</t>
    </r>
    <r>
      <rPr>
        <sz val="10"/>
        <color rgb="FF000000"/>
        <rFont val="맑은 고딕"/>
        <family val="0"/>
        <charset val="1"/>
      </rPr>
      <t xml:space="preserve">/</t>
    </r>
    <r>
      <rPr>
        <sz val="10"/>
        <color rgb="FF000000"/>
        <rFont val="WenQuanYi Zen Hei"/>
        <family val="2"/>
      </rPr>
      <t xml:space="preserve">모르겠음</t>
    </r>
    <r>
      <rPr>
        <sz val="10"/>
        <color rgb="FF000000"/>
        <rFont val="맑은 고딕"/>
        <family val="0"/>
        <charset val="1"/>
      </rPr>
      <t xml:space="preserve">(</t>
    </r>
    <r>
      <rPr>
        <sz val="10"/>
        <color rgb="FF000000"/>
        <rFont val="WenQuanYi Zen Hei"/>
        <family val="2"/>
      </rPr>
      <t xml:space="preserve">결측 처리</t>
    </r>
    <r>
      <rPr>
        <sz val="10"/>
        <color rgb="FF000000"/>
        <rFont val="맑은 고딕"/>
        <family val="0"/>
        <charset val="1"/>
      </rPr>
      <t xml:space="preserve">)</t>
    </r>
  </si>
  <si>
    <t xml:space="preserve">문항 수</t>
  </si>
  <si>
    <r>
      <rPr>
        <sz val="10"/>
        <color rgb="FF000000"/>
        <rFont val="WenQuanYi Zen Hei"/>
        <family val="2"/>
      </rPr>
      <t xml:space="preserve">연결 문항 </t>
    </r>
    <r>
      <rPr>
        <sz val="10"/>
        <color rgb="FF000000"/>
        <rFont val="맑은 고딕"/>
        <family val="0"/>
        <charset val="1"/>
      </rPr>
      <t xml:space="preserve">163</t>
    </r>
    <r>
      <rPr>
        <sz val="10"/>
        <color rgb="FF000000"/>
        <rFont val="WenQuanYi Zen Hei"/>
        <family val="2"/>
      </rPr>
      <t xml:space="preserve">개</t>
    </r>
    <r>
      <rPr>
        <sz val="10"/>
        <color rgb="FF000000"/>
        <rFont val="맑은 고딕"/>
        <family val="0"/>
        <charset val="1"/>
      </rPr>
      <t xml:space="preserve">(</t>
    </r>
    <r>
      <rPr>
        <sz val="10"/>
        <color rgb="FF000000"/>
        <rFont val="WenQuanYi Zen Hei"/>
        <family val="2"/>
      </rPr>
      <t xml:space="preserve">연결 </t>
    </r>
    <r>
      <rPr>
        <sz val="10"/>
        <color rgb="FF000000"/>
        <rFont val="맑은 고딕"/>
        <family val="0"/>
        <charset val="1"/>
      </rPr>
      <t xml:space="preserve">31</t>
    </r>
    <r>
      <rPr>
        <sz val="10"/>
        <color rgb="FF000000"/>
        <rFont val="WenQuanYi Zen Hei"/>
        <family val="2"/>
      </rPr>
      <t xml:space="preserve">개 </t>
    </r>
    <r>
      <rPr>
        <sz val="10"/>
        <color rgb="FF000000"/>
        <rFont val="맑은 고딕"/>
        <family val="0"/>
        <charset val="1"/>
      </rPr>
      <t xml:space="preserve">× </t>
    </r>
    <r>
      <rPr>
        <sz val="10"/>
        <color rgb="FF000000"/>
        <rFont val="WenQuanYi Zen Hei"/>
        <family val="2"/>
      </rPr>
      <t xml:space="preserve">정합성</t>
    </r>
    <r>
      <rPr>
        <sz val="10"/>
        <color rgb="FF000000"/>
        <rFont val="맑은 고딕"/>
        <family val="0"/>
        <charset val="1"/>
      </rPr>
      <t xml:space="preserve">·</t>
    </r>
    <r>
      <rPr>
        <sz val="10"/>
        <color rgb="FF000000"/>
        <rFont val="WenQuanYi Zen Hei"/>
        <family val="2"/>
      </rPr>
      <t xml:space="preserve">추적성</t>
    </r>
    <r>
      <rPr>
        <sz val="10"/>
        <color rgb="FF000000"/>
        <rFont val="맑은 고딕"/>
        <family val="0"/>
        <charset val="1"/>
      </rPr>
      <t xml:space="preserve">·</t>
    </r>
    <r>
      <rPr>
        <sz val="10"/>
        <color rgb="FF000000"/>
        <rFont val="WenQuanYi Zen Hei"/>
        <family val="2"/>
      </rPr>
      <t xml:space="preserve">증빙성</t>
    </r>
    <r>
      <rPr>
        <sz val="10"/>
        <color rgb="FF000000"/>
        <rFont val="맑은 고딕"/>
        <family val="0"/>
        <charset val="1"/>
      </rPr>
      <t xml:space="preserve">·</t>
    </r>
    <r>
      <rPr>
        <sz val="10"/>
        <color rgb="FF000000"/>
        <rFont val="WenQuanYi Zen Hei"/>
        <family val="2"/>
      </rPr>
      <t xml:space="preserve">책임성</t>
    </r>
    <r>
      <rPr>
        <sz val="10"/>
        <color rgb="FF000000"/>
        <rFont val="맑은 고딕"/>
        <family val="0"/>
        <charset val="1"/>
      </rPr>
      <t xml:space="preserve">·</t>
    </r>
    <r>
      <rPr>
        <sz val="10"/>
        <color rgb="FF000000"/>
        <rFont val="WenQuanYi Zen Hei"/>
        <family val="2"/>
      </rPr>
      <t xml:space="preserve">최신성 </t>
    </r>
    <r>
      <rPr>
        <sz val="10"/>
        <color rgb="FF000000"/>
        <rFont val="맑은 고딕"/>
        <family val="0"/>
        <charset val="1"/>
      </rPr>
      <t xml:space="preserve">5</t>
    </r>
    <r>
      <rPr>
        <sz val="10"/>
        <color rgb="FF000000"/>
        <rFont val="WenQuanYi Zen Hei"/>
        <family val="2"/>
      </rPr>
      <t xml:space="preserve">개 </t>
    </r>
    <r>
      <rPr>
        <sz val="10"/>
        <color rgb="FF000000"/>
        <rFont val="맑은 고딕"/>
        <family val="0"/>
        <charset val="1"/>
      </rPr>
      <t xml:space="preserve">+ </t>
    </r>
    <r>
      <rPr>
        <sz val="10"/>
        <color rgb="FF000000"/>
        <rFont val="WenQuanYi Zen Hei"/>
        <family val="2"/>
      </rPr>
      <t xml:space="preserve">환류 연결 </t>
    </r>
    <r>
      <rPr>
        <sz val="10"/>
        <color rgb="FF000000"/>
        <rFont val="맑은 고딕"/>
        <family val="0"/>
        <charset val="1"/>
      </rPr>
      <t xml:space="preserve">8</t>
    </r>
    <r>
      <rPr>
        <sz val="10"/>
        <color rgb="FF000000"/>
        <rFont val="WenQuanYi Zen Hei"/>
        <family val="2"/>
      </rPr>
      <t xml:space="preserve">개 </t>
    </r>
    <r>
      <rPr>
        <sz val="10"/>
        <color rgb="FF000000"/>
        <rFont val="맑은 고딕"/>
        <family val="0"/>
        <charset val="1"/>
      </rPr>
      <t xml:space="preserve">× </t>
    </r>
    <r>
      <rPr>
        <sz val="10"/>
        <color rgb="FF000000"/>
        <rFont val="WenQuanYi Zen Hei"/>
        <family val="2"/>
      </rPr>
      <t xml:space="preserve">환류폐쇄성 </t>
    </r>
    <r>
      <rPr>
        <sz val="10"/>
        <color rgb="FF000000"/>
        <rFont val="맑은 고딕"/>
        <family val="0"/>
        <charset val="1"/>
      </rPr>
      <t xml:space="preserve">1</t>
    </r>
    <r>
      <rPr>
        <sz val="10"/>
        <color rgb="FF000000"/>
        <rFont val="WenQuanYi Zen Hei"/>
        <family val="2"/>
      </rPr>
      <t xml:space="preserve">개</t>
    </r>
    <r>
      <rPr>
        <sz val="10"/>
        <color rgb="FF000000"/>
        <rFont val="맑은 고딕"/>
        <family val="0"/>
        <charset val="1"/>
      </rPr>
      <t xml:space="preserve">) + </t>
    </r>
    <r>
      <rPr>
        <sz val="10"/>
        <color rgb="FF000000"/>
        <rFont val="WenQuanYi Zen Hei"/>
        <family val="2"/>
      </rPr>
      <t xml:space="preserve">종합 </t>
    </r>
    <r>
      <rPr>
        <sz val="10"/>
        <color rgb="FF000000"/>
        <rFont val="맑은 고딕"/>
        <family val="0"/>
        <charset val="1"/>
      </rPr>
      <t xml:space="preserve">7 + </t>
    </r>
    <r>
      <rPr>
        <sz val="10"/>
        <color rgb="FF000000"/>
        <rFont val="WenQuanYi Zen Hei"/>
        <family val="2"/>
      </rPr>
      <t xml:space="preserve">검증 </t>
    </r>
    <r>
      <rPr>
        <sz val="10"/>
        <color rgb="FF000000"/>
        <rFont val="맑은 고딕"/>
        <family val="0"/>
        <charset val="1"/>
      </rPr>
      <t xml:space="preserve">9 = 179</t>
    </r>
    <r>
      <rPr>
        <sz val="10"/>
        <color rgb="FF000000"/>
        <rFont val="WenQuanYi Zen Hei"/>
        <family val="2"/>
      </rPr>
      <t xml:space="preserve">문항</t>
    </r>
    <r>
      <rPr>
        <sz val="10"/>
        <color rgb="FF000000"/>
        <rFont val="맑은 고딕"/>
        <family val="0"/>
        <charset val="1"/>
      </rPr>
      <t xml:space="preserve">. </t>
    </r>
    <r>
      <rPr>
        <sz val="10"/>
        <color rgb="FF000000"/>
        <rFont val="WenQuanYi Zen Hei"/>
        <family val="2"/>
      </rPr>
      <t xml:space="preserve">응답자 </t>
    </r>
    <r>
      <rPr>
        <sz val="10"/>
        <color rgb="FF000000"/>
        <rFont val="맑은 고딕"/>
        <family val="0"/>
        <charset val="1"/>
      </rPr>
      <t xml:space="preserve">1</t>
    </r>
    <r>
      <rPr>
        <sz val="10"/>
        <color rgb="FF000000"/>
        <rFont val="WenQuanYi Zen Hei"/>
        <family val="2"/>
      </rPr>
      <t xml:space="preserve">인이 모두 답하기는 어려우므로 영역별 분할 배포를 권장한다</t>
    </r>
    <r>
      <rPr>
        <sz val="10"/>
        <color rgb="FF000000"/>
        <rFont val="맑은 고딕"/>
        <family val="0"/>
        <charset val="1"/>
      </rPr>
      <t xml:space="preserve">.</t>
    </r>
  </si>
  <si>
    <t xml:space="preserve">중요한 한계</t>
  </si>
  <si>
    <r>
      <rPr>
        <sz val="10"/>
        <color rgb="FF000000"/>
        <rFont val="WenQuanYi Zen Hei"/>
        <family val="2"/>
      </rPr>
      <t xml:space="preserve">연결 </t>
    </r>
    <r>
      <rPr>
        <sz val="10"/>
        <color rgb="FF000000"/>
        <rFont val="맑은 고딕"/>
        <family val="0"/>
        <charset val="1"/>
      </rPr>
      <t xml:space="preserve">31</t>
    </r>
    <r>
      <rPr>
        <sz val="10"/>
        <color rgb="FF000000"/>
        <rFont val="WenQuanYi Zen Hei"/>
        <family val="2"/>
      </rPr>
      <t xml:space="preserve">개는 전문가 검증 전 가설이다</t>
    </r>
    <r>
      <rPr>
        <sz val="10"/>
        <color rgb="FF000000"/>
        <rFont val="맑은 고딕"/>
        <family val="0"/>
        <charset val="1"/>
      </rPr>
      <t xml:space="preserve">. 6</t>
    </r>
    <r>
      <rPr>
        <sz val="10"/>
        <color rgb="FF000000"/>
        <rFont val="WenQuanYi Zen Hei"/>
        <family val="2"/>
      </rPr>
      <t xml:space="preserve">개 차원과 </t>
    </r>
    <r>
      <rPr>
        <sz val="10"/>
        <color rgb="FF000000"/>
        <rFont val="맑은 고딕"/>
        <family val="0"/>
        <charset val="1"/>
      </rPr>
      <t xml:space="preserve">"</t>
    </r>
    <r>
      <rPr>
        <sz val="10"/>
        <color rgb="FF000000"/>
        <rFont val="WenQuanYi Zen Hei"/>
        <family val="2"/>
      </rPr>
      <t xml:space="preserve">연결 품질</t>
    </r>
    <r>
      <rPr>
        <sz val="10"/>
        <color rgb="FF000000"/>
        <rFont val="맑은 고딕"/>
        <family val="0"/>
        <charset val="1"/>
      </rPr>
      <t xml:space="preserve">" </t>
    </r>
    <r>
      <rPr>
        <sz val="10"/>
        <color rgb="FF000000"/>
        <rFont val="WenQuanYi Zen Hei"/>
        <family val="2"/>
      </rPr>
      <t xml:space="preserve">용어는 연구자가 제시한 초기 가설이며 두 논문에 없다</t>
    </r>
    <r>
      <rPr>
        <sz val="10"/>
        <color rgb="FF000000"/>
        <rFont val="맑은 고딕"/>
        <family val="0"/>
        <charset val="1"/>
      </rPr>
      <t xml:space="preserve">. </t>
    </r>
    <r>
      <rPr>
        <sz val="10"/>
        <color rgb="FF000000"/>
        <rFont val="WenQuanYi Zen Hei"/>
        <family val="2"/>
      </rPr>
      <t xml:space="preserve">외부 문헌의 원문 문장은 이 환경에서 열람할 수 없어 확인하지 못했다</t>
    </r>
    <r>
      <rPr>
        <sz val="10"/>
        <color rgb="FF000000"/>
        <rFont val="맑은 고딕"/>
        <family val="0"/>
        <charset val="1"/>
      </rPr>
      <t xml:space="preserve">.</t>
    </r>
  </si>
  <si>
    <t xml:space="preserve">검증 기록</t>
  </si>
  <si>
    <r>
      <rPr>
        <sz val="10"/>
        <color rgb="FF000000"/>
        <rFont val="맑은 고딕"/>
        <family val="0"/>
        <charset val="1"/>
      </rPr>
      <t xml:space="preserve">Arias·Białas </t>
    </r>
    <r>
      <rPr>
        <sz val="10"/>
        <color rgb="FF000000"/>
        <rFont val="WenQuanYi Zen Hei"/>
        <family val="2"/>
      </rPr>
      <t xml:space="preserve">인용문 </t>
    </r>
    <r>
      <rPr>
        <sz val="10"/>
        <color rgb="FF000000"/>
        <rFont val="맑은 고딕"/>
        <family val="0"/>
        <charset val="1"/>
      </rPr>
      <t xml:space="preserve">72/72, </t>
    </r>
    <r>
      <rPr>
        <sz val="10"/>
        <color rgb="FF000000"/>
        <rFont val="WenQuanYi Zen Hei"/>
        <family val="2"/>
      </rPr>
      <t xml:space="preserve">객체 </t>
    </r>
    <r>
      <rPr>
        <sz val="10"/>
        <color rgb="FF000000"/>
        <rFont val="맑은 고딕"/>
        <family val="0"/>
        <charset val="1"/>
      </rPr>
      <t xml:space="preserve">22/22</t>
    </r>
    <r>
      <rPr>
        <sz val="10"/>
        <color rgb="FF000000"/>
        <rFont val="WenQuanYi Zen Hei"/>
        <family val="2"/>
      </rPr>
      <t xml:space="preserve">가 </t>
    </r>
    <r>
      <rPr>
        <sz val="10"/>
        <color rgb="FF000000"/>
        <rFont val="맑은 고딕"/>
        <family val="0"/>
        <charset val="1"/>
      </rPr>
      <t xml:space="preserve">PDF </t>
    </r>
    <r>
      <rPr>
        <sz val="10"/>
        <color rgb="FF000000"/>
        <rFont val="WenQuanYi Zen Hei"/>
        <family val="2"/>
      </rPr>
      <t xml:space="preserve">원문과 일치</t>
    </r>
    <r>
      <rPr>
        <sz val="10"/>
        <color rgb="FF000000"/>
        <rFont val="맑은 고딕"/>
        <family val="0"/>
        <charset val="1"/>
      </rPr>
      <t xml:space="preserve">(</t>
    </r>
    <r>
      <rPr>
        <sz val="10"/>
        <color rgb="FF000000"/>
        <rFont val="WenQuanYi Zen Hei"/>
        <family val="2"/>
      </rPr>
      <t xml:space="preserve">검증일 </t>
    </r>
    <r>
      <rPr>
        <sz val="10"/>
        <color rgb="FF000000"/>
        <rFont val="맑은 고딕"/>
        <family val="0"/>
        <charset val="1"/>
      </rPr>
      <t xml:space="preserve">2026-10-09). </t>
    </r>
    <r>
      <rPr>
        <sz val="10"/>
        <color rgb="FF000000"/>
        <rFont val="WenQuanYi Zen Hei"/>
        <family val="2"/>
      </rPr>
      <t xml:space="preserve">외부 문헌 </t>
    </r>
    <r>
      <rPr>
        <sz val="10"/>
        <color rgb="FF000000"/>
        <rFont val="맑은 고딕"/>
        <family val="0"/>
        <charset val="1"/>
      </rPr>
      <t xml:space="preserve">12</t>
    </r>
    <r>
      <rPr>
        <sz val="10"/>
        <color rgb="FF000000"/>
        <rFont val="WenQuanYi Zen Hei"/>
        <family val="2"/>
      </rPr>
      <t xml:space="preserve">건은 서지만 확인</t>
    </r>
    <r>
      <rPr>
        <sz val="10"/>
        <color rgb="FF000000"/>
        <rFont val="맑은 고딕"/>
        <family val="0"/>
        <charset val="1"/>
      </rPr>
      <t xml:space="preserve">(</t>
    </r>
    <r>
      <rPr>
        <sz val="10"/>
        <color rgb="FF000000"/>
        <rFont val="WenQuanYi Zen Hei"/>
        <family val="2"/>
      </rPr>
      <t xml:space="preserve">원문 대조 </t>
    </r>
    <r>
      <rPr>
        <sz val="10"/>
        <color rgb="FF000000"/>
        <rFont val="맑은 고딕"/>
        <family val="0"/>
        <charset val="1"/>
      </rPr>
      <t xml:space="preserve">0</t>
    </r>
    <r>
      <rPr>
        <sz val="10"/>
        <color rgb="FF000000"/>
        <rFont val="WenQuanYi Zen Hei"/>
        <family val="2"/>
      </rPr>
      <t xml:space="preserve">건</t>
    </r>
    <r>
      <rPr>
        <sz val="10"/>
        <color rgb="FF000000"/>
        <rFont val="맑은 고딕"/>
        <family val="0"/>
        <charset val="1"/>
      </rPr>
      <t xml:space="preserve">).</t>
    </r>
  </si>
  <si>
    <r>
      <rPr>
        <b val="true"/>
        <sz val="14"/>
        <color rgb="FF101828"/>
        <rFont val="WenQuanYi Zen Hei"/>
        <family val="2"/>
      </rPr>
      <t xml:space="preserve">정의서 — 용어별 정의</t>
    </r>
    <r>
      <rPr>
        <b val="true"/>
        <sz val="14"/>
        <color rgb="FF101828"/>
        <rFont val="맑은 고딕"/>
        <family val="0"/>
        <charset val="1"/>
      </rPr>
      <t xml:space="preserve">, </t>
    </r>
    <r>
      <rPr>
        <b val="true"/>
        <sz val="14"/>
        <color rgb="FF101828"/>
        <rFont val="WenQuanYi Zen Hei"/>
        <family val="2"/>
      </rPr>
      <t xml:space="preserve">유형</t>
    </r>
    <r>
      <rPr>
        <b val="true"/>
        <sz val="14"/>
        <color rgb="FF101828"/>
        <rFont val="맑은 고딕"/>
        <family val="0"/>
        <charset val="1"/>
      </rPr>
      <t xml:space="preserve">(</t>
    </r>
    <r>
      <rPr>
        <b val="true"/>
        <sz val="14"/>
        <color rgb="FF101828"/>
        <rFont val="WenQuanYi Zen Hei"/>
        <family val="2"/>
      </rPr>
      <t xml:space="preserve">인용 정의 </t>
    </r>
    <r>
      <rPr>
        <b val="true"/>
        <sz val="14"/>
        <color rgb="FF101828"/>
        <rFont val="맑은 고딕"/>
        <family val="0"/>
        <charset val="1"/>
      </rPr>
      <t xml:space="preserve">/ </t>
    </r>
    <r>
      <rPr>
        <b val="true"/>
        <sz val="14"/>
        <color rgb="FF101828"/>
        <rFont val="WenQuanYi Zen Hei"/>
        <family val="2"/>
      </rPr>
      <t xml:space="preserve">연구자 정의</t>
    </r>
    <r>
      <rPr>
        <b val="true"/>
        <sz val="14"/>
        <color rgb="FF101828"/>
        <rFont val="맑은 고딕"/>
        <family val="0"/>
        <charset val="1"/>
      </rPr>
      <t xml:space="preserve">), </t>
    </r>
    <r>
      <rPr>
        <b val="true"/>
        <sz val="14"/>
        <color rgb="FF101828"/>
        <rFont val="WenQuanYi Zen Hei"/>
        <family val="2"/>
      </rPr>
      <t xml:space="preserve">근거 인용</t>
    </r>
  </si>
  <si>
    <r>
      <rPr>
        <i val="true"/>
        <sz val="10"/>
        <color rgb="FF475467"/>
        <rFont val="WenQuanYi Zen Hei"/>
        <family val="2"/>
      </rPr>
      <t xml:space="preserve">유형이 </t>
    </r>
    <r>
      <rPr>
        <i val="true"/>
        <sz val="10"/>
        <color rgb="FF475467"/>
        <rFont val="맑은 고딕"/>
        <family val="0"/>
        <charset val="1"/>
      </rPr>
      <t xml:space="preserve">"</t>
    </r>
    <r>
      <rPr>
        <i val="true"/>
        <sz val="10"/>
        <color rgb="FF475467"/>
        <rFont val="WenQuanYi Zen Hei"/>
        <family val="2"/>
      </rPr>
      <t xml:space="preserve">연구자 정의</t>
    </r>
    <r>
      <rPr>
        <i val="true"/>
        <sz val="10"/>
        <color rgb="FF475467"/>
        <rFont val="맑은 고딕"/>
        <family val="0"/>
        <charset val="1"/>
      </rPr>
      <t xml:space="preserve">"</t>
    </r>
    <r>
      <rPr>
        <i val="true"/>
        <sz val="10"/>
        <color rgb="FF475467"/>
        <rFont val="WenQuanYi Zen Hei"/>
        <family val="2"/>
      </rPr>
      <t xml:space="preserve">인 항목은 두 논문에 없는 연구자의 판단이며</t>
    </r>
    <r>
      <rPr>
        <i val="true"/>
        <sz val="10"/>
        <color rgb="FF475467"/>
        <rFont val="맑은 고딕"/>
        <family val="0"/>
        <charset val="1"/>
      </rPr>
      <t xml:space="preserve">, </t>
    </r>
    <r>
      <rPr>
        <i val="true"/>
        <sz val="10"/>
        <color rgb="FF475467"/>
        <rFont val="WenQuanYi Zen Hei"/>
        <family val="2"/>
      </rPr>
      <t xml:space="preserve">박사논문에서 연구자가 직접 확정해야 하는 부분</t>
    </r>
  </si>
  <si>
    <t xml:space="preserve">ID</t>
  </si>
  <si>
    <t xml:space="preserve">용어</t>
  </si>
  <si>
    <t xml:space="preserve">유형</t>
  </si>
  <si>
    <t xml:space="preserve">정의</t>
  </si>
  <si>
    <r>
      <rPr>
        <b val="true"/>
        <sz val="10"/>
        <color rgb="FFFFFFFF"/>
        <rFont val="WenQuanYi Zen Hei"/>
        <family val="2"/>
      </rPr>
      <t xml:space="preserve">근거 인용 </t>
    </r>
    <r>
      <rPr>
        <b val="true"/>
        <sz val="10"/>
        <color rgb="FFFFFFFF"/>
        <rFont val="맑은 고딕"/>
        <family val="0"/>
        <charset val="1"/>
      </rPr>
      <t xml:space="preserve">ID</t>
    </r>
  </si>
  <si>
    <r>
      <rPr>
        <b val="true"/>
        <sz val="10"/>
        <color rgb="FFFFFFFF"/>
        <rFont val="WenQuanYi Zen Hei"/>
        <family val="2"/>
      </rPr>
      <t xml:space="preserve">근거 인용 원문</t>
    </r>
    <r>
      <rPr>
        <b val="true"/>
        <sz val="10"/>
        <color rgb="FFFFFFFF"/>
        <rFont val="맑은 고딕"/>
        <family val="0"/>
        <charset val="1"/>
      </rPr>
      <t xml:space="preserve">(</t>
    </r>
    <r>
      <rPr>
        <b val="true"/>
        <sz val="10"/>
        <color rgb="FFFFFFFF"/>
        <rFont val="WenQuanYi Zen Hei"/>
        <family val="2"/>
      </rPr>
      <t xml:space="preserve">첫 번째</t>
    </r>
    <r>
      <rPr>
        <b val="true"/>
        <sz val="10"/>
        <color rgb="FFFFFFFF"/>
        <rFont val="맑은 고딕"/>
        <family val="0"/>
        <charset val="1"/>
      </rPr>
      <t xml:space="preserve">)</t>
    </r>
  </si>
  <si>
    <r>
      <rPr>
        <b val="true"/>
        <sz val="10"/>
        <color rgb="FFFFFFFF"/>
        <rFont val="WenQuanYi Zen Hei"/>
        <family val="2"/>
      </rPr>
      <t xml:space="preserve">근거</t>
    </r>
    <r>
      <rPr>
        <b val="true"/>
        <sz val="10"/>
        <color rgb="FFFFFFFF"/>
        <rFont val="맑은 고딕"/>
        <family val="0"/>
        <charset val="1"/>
      </rPr>
      <t xml:space="preserve">·</t>
    </r>
    <r>
      <rPr>
        <b val="true"/>
        <sz val="10"/>
        <color rgb="FFFFFFFF"/>
        <rFont val="WenQuanYi Zen Hei"/>
        <family val="2"/>
      </rPr>
      <t xml:space="preserve">한계 설명</t>
    </r>
  </si>
  <si>
    <t xml:space="preserve">D01</t>
  </si>
  <si>
    <r>
      <rPr>
        <b val="true"/>
        <sz val="10"/>
        <color rgb="FF000000"/>
        <rFont val="WenQuanYi Zen Hei"/>
        <family val="2"/>
      </rPr>
      <t xml:space="preserve">프로세스</t>
    </r>
    <r>
      <rPr>
        <b val="true"/>
        <sz val="10"/>
        <color rgb="FF000000"/>
        <rFont val="맑은 고딕"/>
        <family val="0"/>
        <charset val="1"/>
      </rPr>
      <t xml:space="preserve">(</t>
    </r>
    <r>
      <rPr>
        <b val="true"/>
        <sz val="10"/>
        <color rgb="FF000000"/>
        <rFont val="WenQuanYi Zen Hei"/>
        <family val="2"/>
      </rPr>
      <t xml:space="preserve">객체</t>
    </r>
    <r>
      <rPr>
        <b val="true"/>
        <sz val="10"/>
        <color rgb="FF000000"/>
        <rFont val="맑은 고딕"/>
        <family val="0"/>
        <charset val="1"/>
      </rPr>
      <t xml:space="preserve">)</t>
    </r>
  </si>
  <si>
    <r>
      <rPr>
        <sz val="10"/>
        <color rgb="FF000000"/>
        <rFont val="WenQuanYi Zen Hei"/>
        <family val="2"/>
      </rPr>
      <t xml:space="preserve">인용 정의 </t>
    </r>
    <r>
      <rPr>
        <sz val="10"/>
        <color rgb="FF000000"/>
        <rFont val="맑은 고딕"/>
        <family val="0"/>
        <charset val="1"/>
      </rPr>
      <t xml:space="preserve">+ </t>
    </r>
    <r>
      <rPr>
        <sz val="10"/>
        <color rgb="FF000000"/>
        <rFont val="WenQuanYi Zen Hei"/>
        <family val="2"/>
      </rPr>
      <t xml:space="preserve">연구자 범위 설정</t>
    </r>
  </si>
  <si>
    <r>
      <rPr>
        <sz val="10"/>
        <color rgb="FF000000"/>
        <rFont val="WenQuanYi Zen Hei"/>
        <family val="2"/>
      </rPr>
      <t xml:space="preserve">입력을 출력으로 전환하는</t>
    </r>
    <r>
      <rPr>
        <sz val="10"/>
        <color rgb="FF000000"/>
        <rFont val="맑은 고딕"/>
        <family val="0"/>
        <charset val="1"/>
      </rPr>
      <t xml:space="preserve">, </t>
    </r>
    <r>
      <rPr>
        <sz val="10"/>
        <color rgb="FF000000"/>
        <rFont val="WenQuanYi Zen Hei"/>
        <family val="2"/>
      </rPr>
      <t xml:space="preserve">상호 관련되거나 상호작용하는 활동의 응집된 집합</t>
    </r>
    <r>
      <rPr>
        <sz val="10"/>
        <color rgb="FF000000"/>
        <rFont val="맑은 고딕"/>
        <family val="0"/>
        <charset val="1"/>
      </rPr>
      <t xml:space="preserve">. </t>
    </r>
    <r>
      <rPr>
        <sz val="10"/>
        <color rgb="FF000000"/>
        <rFont val="WenQuanYi Zen Hei"/>
        <family val="2"/>
      </rPr>
      <t xml:space="preserve">본 연구의 객체는 </t>
    </r>
    <r>
      <rPr>
        <sz val="10"/>
        <color rgb="FF000000"/>
        <rFont val="맑은 고딕"/>
        <family val="0"/>
        <charset val="1"/>
      </rPr>
      <t xml:space="preserve">Arias Table 5</t>
    </r>
    <r>
      <rPr>
        <sz val="10"/>
        <color rgb="FF000000"/>
        <rFont val="WenQuanYi Zen Hei"/>
        <family val="2"/>
      </rPr>
      <t xml:space="preserve">의 </t>
    </r>
    <r>
      <rPr>
        <sz val="10"/>
        <color rgb="FF000000"/>
        <rFont val="맑은 고딕"/>
        <family val="0"/>
        <charset val="1"/>
      </rPr>
      <t xml:space="preserve">22</t>
    </r>
    <r>
      <rPr>
        <sz val="10"/>
        <color rgb="FF000000"/>
        <rFont val="WenQuanYi Zen Hei"/>
        <family val="2"/>
      </rPr>
      <t xml:space="preserve">개 </t>
    </r>
    <r>
      <rPr>
        <sz val="10"/>
        <color rgb="FF000000"/>
        <rFont val="맑은 고딕"/>
        <family val="0"/>
        <charset val="1"/>
      </rPr>
      <t xml:space="preserve">BCMS </t>
    </r>
    <r>
      <rPr>
        <sz val="10"/>
        <color rgb="FF000000"/>
        <rFont val="WenQuanYi Zen Hei"/>
        <family val="2"/>
      </rPr>
      <t xml:space="preserve">프로세스이며</t>
    </r>
    <r>
      <rPr>
        <sz val="10"/>
        <color rgb="FF000000"/>
        <rFont val="맑은 고딕"/>
        <family val="0"/>
        <charset val="1"/>
      </rPr>
      <t xml:space="preserve">, BCMS </t>
    </r>
    <r>
      <rPr>
        <sz val="10"/>
        <color rgb="FF000000"/>
        <rFont val="WenQuanYi Zen Hei"/>
        <family val="2"/>
      </rPr>
      <t xml:space="preserve">계획은 프로젝트로 분류되어 제외한다</t>
    </r>
    <r>
      <rPr>
        <sz val="10"/>
        <color rgb="FF000000"/>
        <rFont val="맑은 고딕"/>
        <family val="0"/>
        <charset val="1"/>
      </rPr>
      <t xml:space="preserve">.</t>
    </r>
  </si>
  <si>
    <t xml:space="preserve">A42 / A01 / A48</t>
  </si>
  <si>
    <r>
      <rPr>
        <sz val="10"/>
        <color rgb="FF000000"/>
        <rFont val="WenQuanYi Zen Hei"/>
        <family val="2"/>
      </rPr>
      <t xml:space="preserve">객체 </t>
    </r>
    <r>
      <rPr>
        <sz val="10"/>
        <color rgb="FF000000"/>
        <rFont val="맑은 고딕"/>
        <family val="0"/>
        <charset val="1"/>
      </rPr>
      <t xml:space="preserve">22</t>
    </r>
    <r>
      <rPr>
        <sz val="10"/>
        <color rgb="FF000000"/>
        <rFont val="WenQuanYi Zen Hei"/>
        <family val="2"/>
      </rPr>
      <t xml:space="preserve">개 선정 </t>
    </r>
    <r>
      <rPr>
        <sz val="10"/>
        <color rgb="FF000000"/>
        <rFont val="맑은 고딕"/>
        <family val="0"/>
        <charset val="1"/>
      </rPr>
      <t xml:space="preserve">= Arias Table 5(</t>
    </r>
    <r>
      <rPr>
        <sz val="10"/>
        <color rgb="FF000000"/>
        <rFont val="WenQuanYi Zen Hei"/>
        <family val="2"/>
      </rPr>
      <t xml:space="preserve">인용</t>
    </r>
    <r>
      <rPr>
        <sz val="10"/>
        <color rgb="FF000000"/>
        <rFont val="맑은 고딕"/>
        <family val="0"/>
        <charset val="1"/>
      </rPr>
      <t xml:space="preserve">). BCMS </t>
    </r>
    <r>
      <rPr>
        <sz val="10"/>
        <color rgb="FF000000"/>
        <rFont val="WenQuanYi Zen Hei"/>
        <family val="2"/>
      </rPr>
      <t xml:space="preserve">계획을 제외한 것도 </t>
    </r>
    <r>
      <rPr>
        <sz val="10"/>
        <color rgb="FF000000"/>
        <rFont val="맑은 고딕"/>
        <family val="0"/>
        <charset val="1"/>
      </rPr>
      <t xml:space="preserve">Arias</t>
    </r>
    <r>
      <rPr>
        <sz val="10"/>
        <color rgb="FF000000"/>
        <rFont val="WenQuanYi Zen Hei"/>
        <family val="2"/>
      </rPr>
      <t xml:space="preserve">의 분류</t>
    </r>
    <r>
      <rPr>
        <sz val="10"/>
        <color rgb="FF000000"/>
        <rFont val="맑은 고딕"/>
        <family val="0"/>
        <charset val="1"/>
      </rPr>
      <t xml:space="preserve">(A48)</t>
    </r>
    <r>
      <rPr>
        <sz val="10"/>
        <color rgb="FF000000"/>
        <rFont val="WenQuanYi Zen Hei"/>
        <family val="2"/>
      </rPr>
      <t xml:space="preserve">를 따른 것</t>
    </r>
    <r>
      <rPr>
        <sz val="10"/>
        <color rgb="FF000000"/>
        <rFont val="맑은 고딕"/>
        <family val="0"/>
        <charset val="1"/>
      </rPr>
      <t xml:space="preserve">.</t>
    </r>
  </si>
  <si>
    <t xml:space="preserve">D02</t>
  </si>
  <si>
    <r>
      <rPr>
        <b val="true"/>
        <sz val="10"/>
        <color rgb="FF000000"/>
        <rFont val="WenQuanYi Zen Hei"/>
        <family val="2"/>
      </rPr>
      <t xml:space="preserve">산출물</t>
    </r>
    <r>
      <rPr>
        <b val="true"/>
        <sz val="10"/>
        <color rgb="FF000000"/>
        <rFont val="맑은 고딕"/>
        <family val="0"/>
        <charset val="1"/>
      </rPr>
      <t xml:space="preserve">(artefact)</t>
    </r>
  </si>
  <si>
    <r>
      <rPr>
        <sz val="10"/>
        <color rgb="FF000000"/>
        <rFont val="WenQuanYi Zen Hei"/>
        <family val="2"/>
      </rPr>
      <t xml:space="preserve">인용 개념 </t>
    </r>
    <r>
      <rPr>
        <sz val="10"/>
        <color rgb="FF000000"/>
        <rFont val="맑은 고딕"/>
        <family val="0"/>
        <charset val="1"/>
      </rPr>
      <t xml:space="preserve">+ </t>
    </r>
    <r>
      <rPr>
        <sz val="10"/>
        <color rgb="FF000000"/>
        <rFont val="WenQuanYi Zen Hei"/>
        <family val="2"/>
      </rPr>
      <t xml:space="preserve">연구자 정의</t>
    </r>
  </si>
  <si>
    <r>
      <rPr>
        <sz val="10"/>
        <color rgb="FF000000"/>
        <rFont val="맑은 고딕"/>
        <family val="0"/>
        <charset val="1"/>
      </rPr>
      <t xml:space="preserve">[</t>
    </r>
    <r>
      <rPr>
        <sz val="10"/>
        <color rgb="FF000000"/>
        <rFont val="WenQuanYi Zen Hei"/>
        <family val="2"/>
      </rPr>
      <t xml:space="preserve">연구자 정의</t>
    </r>
    <r>
      <rPr>
        <sz val="10"/>
        <color rgb="FF000000"/>
        <rFont val="맑은 고딕"/>
        <family val="0"/>
        <charset val="1"/>
      </rPr>
      <t xml:space="preserve">] </t>
    </r>
    <r>
      <rPr>
        <sz val="10"/>
        <color rgb="FF000000"/>
        <rFont val="WenQuanYi Zen Hei"/>
        <family val="2"/>
      </rPr>
      <t xml:space="preserve">프로세스가 만들어 다른 프로세스가 사용하는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보고</t>
    </r>
    <r>
      <rPr>
        <sz val="10"/>
        <color rgb="FF000000"/>
        <rFont val="맑은 고딕"/>
        <family val="0"/>
        <charset val="1"/>
      </rPr>
      <t xml:space="preserve">·</t>
    </r>
    <r>
      <rPr>
        <sz val="10"/>
        <color rgb="FF000000"/>
        <rFont val="WenQuanYi Zen Hei"/>
        <family val="2"/>
      </rPr>
      <t xml:space="preserve">결정</t>
    </r>
    <r>
      <rPr>
        <sz val="10"/>
        <color rgb="FF000000"/>
        <rFont val="맑은 고딕"/>
        <family val="0"/>
        <charset val="1"/>
      </rPr>
      <t xml:space="preserve">. Białas</t>
    </r>
    <r>
      <rPr>
        <sz val="10"/>
        <color rgb="FF000000"/>
        <rFont val="WenQuanYi Zen Hei"/>
        <family val="2"/>
      </rPr>
      <t xml:space="preserve">는 </t>
    </r>
    <r>
      <rPr>
        <sz val="10"/>
        <color rgb="FF000000"/>
        <rFont val="맑은 고딕"/>
        <family val="0"/>
        <charset val="1"/>
      </rPr>
      <t xml:space="preserve">slot</t>
    </r>
    <r>
      <rPr>
        <sz val="10"/>
        <color rgb="FF000000"/>
        <rFont val="WenQuanYi Zen Hei"/>
        <family val="2"/>
      </rPr>
      <t xml:space="preserve">이 채워진 개체가 핵심 </t>
    </r>
    <r>
      <rPr>
        <sz val="10"/>
        <color rgb="FF000000"/>
        <rFont val="맑은 고딕"/>
        <family val="0"/>
        <charset val="1"/>
      </rPr>
      <t xml:space="preserve">BCM </t>
    </r>
    <r>
      <rPr>
        <sz val="10"/>
        <color rgb="FF000000"/>
        <rFont val="WenQuanYi Zen Hei"/>
        <family val="2"/>
      </rPr>
      <t xml:space="preserve">산출물</t>
    </r>
    <r>
      <rPr>
        <sz val="10"/>
        <color rgb="FF000000"/>
        <rFont val="맑은 고딕"/>
        <family val="0"/>
        <charset val="1"/>
      </rPr>
      <t xml:space="preserve">(</t>
    </r>
    <r>
      <rPr>
        <sz val="10"/>
        <color rgb="FF000000"/>
        <rFont val="WenQuanYi Zen Hei"/>
        <family val="2"/>
      </rPr>
      <t xml:space="preserve">주로 문서</t>
    </r>
    <r>
      <rPr>
        <sz val="10"/>
        <color rgb="FF000000"/>
        <rFont val="맑은 고딕"/>
        <family val="0"/>
        <charset val="1"/>
      </rPr>
      <t xml:space="preserve">)</t>
    </r>
    <r>
      <rPr>
        <sz val="10"/>
        <color rgb="FF000000"/>
        <rFont val="WenQuanYi Zen Hei"/>
        <family val="2"/>
      </rPr>
      <t xml:space="preserve">을 나타낸다고 쓴다</t>
    </r>
    <r>
      <rPr>
        <sz val="10"/>
        <color rgb="FF000000"/>
        <rFont val="맑은 고딕"/>
        <family val="0"/>
        <charset val="1"/>
      </rPr>
      <t xml:space="preserve">.</t>
    </r>
  </si>
  <si>
    <t xml:space="preserve">B07</t>
  </si>
  <si>
    <r>
      <rPr>
        <sz val="10"/>
        <color rgb="FF000000"/>
        <rFont val="WenQuanYi Zen Hei"/>
        <family val="2"/>
      </rPr>
      <t xml:space="preserve">용어는 </t>
    </r>
    <r>
      <rPr>
        <sz val="10"/>
        <color rgb="FF000000"/>
        <rFont val="맑은 고딕"/>
        <family val="0"/>
        <charset val="1"/>
      </rPr>
      <t xml:space="preserve">Białas</t>
    </r>
    <r>
      <rPr>
        <sz val="10"/>
        <color rgb="FF000000"/>
        <rFont val="WenQuanYi Zen Hei"/>
        <family val="2"/>
      </rPr>
      <t xml:space="preserve">에서 차용</t>
    </r>
    <r>
      <rPr>
        <sz val="10"/>
        <color rgb="FF000000"/>
        <rFont val="맑은 고딕"/>
        <family val="0"/>
        <charset val="1"/>
      </rPr>
      <t xml:space="preserve">, </t>
    </r>
    <r>
      <rPr>
        <sz val="10"/>
        <color rgb="FF000000"/>
        <rFont val="WenQuanYi Zen Hei"/>
        <family val="2"/>
      </rPr>
      <t xml:space="preserve">정의 문장은 연구자가 작성</t>
    </r>
    <r>
      <rPr>
        <sz val="10"/>
        <color rgb="FF000000"/>
        <rFont val="맑은 고딕"/>
        <family val="0"/>
        <charset val="1"/>
      </rPr>
      <t xml:space="preserve">.</t>
    </r>
  </si>
  <si>
    <t xml:space="preserve">D03</t>
  </si>
  <si>
    <r>
      <rPr>
        <b val="true"/>
        <sz val="10"/>
        <color rgb="FF000000"/>
        <rFont val="WenQuanYi Zen Hei"/>
        <family val="2"/>
      </rPr>
      <t xml:space="preserve">연결</t>
    </r>
    <r>
      <rPr>
        <b val="true"/>
        <sz val="10"/>
        <color rgb="FF000000"/>
        <rFont val="맑은 고딕"/>
        <family val="0"/>
        <charset val="1"/>
      </rPr>
      <t xml:space="preserve">(link)</t>
    </r>
  </si>
  <si>
    <t xml:space="preserve">연구자 정의</t>
  </si>
  <si>
    <r>
      <rPr>
        <sz val="10"/>
        <color rgb="FF000000"/>
        <rFont val="WenQuanYi Zen Hei"/>
        <family val="2"/>
      </rPr>
      <t xml:space="preserve">프로세스 </t>
    </r>
    <r>
      <rPr>
        <sz val="10"/>
        <color rgb="FF000000"/>
        <rFont val="맑은 고딕"/>
        <family val="0"/>
        <charset val="1"/>
      </rPr>
      <t xml:space="preserve">S</t>
    </r>
    <r>
      <rPr>
        <sz val="10"/>
        <color rgb="FF000000"/>
        <rFont val="WenQuanYi Zen Hei"/>
        <family val="2"/>
      </rPr>
      <t xml:space="preserve">의 산출물</t>
    </r>
    <r>
      <rPr>
        <sz val="10"/>
        <color rgb="FF000000"/>
        <rFont val="맑은 고딕"/>
        <family val="0"/>
        <charset val="1"/>
      </rPr>
      <t xml:space="preserve">·</t>
    </r>
    <r>
      <rPr>
        <sz val="10"/>
        <color rgb="FF000000"/>
        <rFont val="WenQuanYi Zen Hei"/>
        <family val="2"/>
      </rPr>
      <t xml:space="preserve">결과</t>
    </r>
    <r>
      <rPr>
        <sz val="10"/>
        <color rgb="FF000000"/>
        <rFont val="맑은 고딕"/>
        <family val="0"/>
        <charset val="1"/>
      </rPr>
      <t xml:space="preserve">·</t>
    </r>
    <r>
      <rPr>
        <sz val="10"/>
        <color rgb="FF000000"/>
        <rFont val="WenQuanYi Zen Hei"/>
        <family val="2"/>
      </rPr>
      <t xml:space="preserve">자원이 프로세스 </t>
    </r>
    <r>
      <rPr>
        <sz val="10"/>
        <color rgb="FF000000"/>
        <rFont val="맑은 고딕"/>
        <family val="0"/>
        <charset val="1"/>
      </rPr>
      <t xml:space="preserve">T</t>
    </r>
    <r>
      <rPr>
        <sz val="10"/>
        <color rgb="FF000000"/>
        <rFont val="WenQuanYi Zen Hei"/>
        <family val="2"/>
      </rPr>
      <t xml:space="preserve">의 입력</t>
    </r>
    <r>
      <rPr>
        <sz val="10"/>
        <color rgb="FF000000"/>
        <rFont val="맑은 고딕"/>
        <family val="0"/>
        <charset val="1"/>
      </rPr>
      <t xml:space="preserve">·</t>
    </r>
    <r>
      <rPr>
        <sz val="10"/>
        <color rgb="FF000000"/>
        <rFont val="WenQuanYi Zen Hei"/>
        <family val="2"/>
      </rPr>
      <t xml:space="preserve">기준</t>
    </r>
    <r>
      <rPr>
        <sz val="10"/>
        <color rgb="FF000000"/>
        <rFont val="맑은 고딕"/>
        <family val="0"/>
        <charset val="1"/>
      </rPr>
      <t xml:space="preserve">·</t>
    </r>
    <r>
      <rPr>
        <sz val="10"/>
        <color rgb="FF000000"/>
        <rFont val="WenQuanYi Zen Hei"/>
        <family val="2"/>
      </rPr>
      <t xml:space="preserve">실행</t>
    </r>
    <r>
      <rPr>
        <sz val="10"/>
        <color rgb="FF000000"/>
        <rFont val="맑은 고딕"/>
        <family val="0"/>
        <charset val="1"/>
      </rPr>
      <t xml:space="preserve">·</t>
    </r>
    <r>
      <rPr>
        <sz val="10"/>
        <color rgb="FF000000"/>
        <rFont val="WenQuanYi Zen Hei"/>
        <family val="2"/>
      </rPr>
      <t xml:space="preserve">개정에 쓰이도록 </t>
    </r>
    <r>
      <rPr>
        <sz val="10"/>
        <color rgb="FF000000"/>
        <rFont val="맑은 고딕"/>
        <family val="0"/>
        <charset val="1"/>
      </rPr>
      <t xml:space="preserve">Arias</t>
    </r>
    <r>
      <rPr>
        <sz val="10"/>
        <color rgb="FF000000"/>
        <rFont val="WenQuanYi Zen Hei"/>
        <family val="2"/>
      </rPr>
      <t xml:space="preserve">가 서술한 방향성 있는 프로세스 쌍</t>
    </r>
    <r>
      <rPr>
        <sz val="10"/>
        <color rgb="FF000000"/>
        <rFont val="맑은 고딕"/>
        <family val="0"/>
        <charset val="1"/>
      </rPr>
      <t xml:space="preserve">(S→T) 1</t>
    </r>
    <r>
      <rPr>
        <sz val="10"/>
        <color rgb="FF000000"/>
        <rFont val="WenQuanYi Zen Hei"/>
        <family val="2"/>
      </rPr>
      <t xml:space="preserve">개</t>
    </r>
    <r>
      <rPr>
        <sz val="10"/>
        <color rgb="FF000000"/>
        <rFont val="맑은 고딕"/>
        <family val="0"/>
        <charset val="1"/>
      </rPr>
      <t xml:space="preserve">. </t>
    </r>
    <r>
      <rPr>
        <sz val="10"/>
        <color rgb="FF000000"/>
        <rFont val="WenQuanYi Zen Hei"/>
        <family val="2"/>
      </rPr>
      <t xml:space="preserve">한 연결은 하나의 출발</t>
    </r>
    <r>
      <rPr>
        <sz val="10"/>
        <color rgb="FF000000"/>
        <rFont val="맑은 고딕"/>
        <family val="0"/>
        <charset val="1"/>
      </rPr>
      <t xml:space="preserve">(S)</t>
    </r>
    <r>
      <rPr>
        <sz val="10"/>
        <color rgb="FF000000"/>
        <rFont val="WenQuanYi Zen Hei"/>
        <family val="2"/>
      </rPr>
      <t xml:space="preserve">과 하나의 도착</t>
    </r>
    <r>
      <rPr>
        <sz val="10"/>
        <color rgb="FF000000"/>
        <rFont val="맑은 고딕"/>
        <family val="0"/>
        <charset val="1"/>
      </rPr>
      <t xml:space="preserve">(T)</t>
    </r>
    <r>
      <rPr>
        <sz val="10"/>
        <color rgb="FF000000"/>
        <rFont val="WenQuanYi Zen Hei"/>
        <family val="2"/>
      </rPr>
      <t xml:space="preserve">을 가진다</t>
    </r>
    <r>
      <rPr>
        <sz val="10"/>
        <color rgb="FF000000"/>
        <rFont val="맑은 고딕"/>
        <family val="0"/>
        <charset val="1"/>
      </rPr>
      <t xml:space="preserve">(</t>
    </r>
    <r>
      <rPr>
        <sz val="10"/>
        <color rgb="FF000000"/>
        <rFont val="WenQuanYi Zen Hei"/>
        <family val="2"/>
      </rPr>
      <t xml:space="preserve">집단 노드 </t>
    </r>
    <r>
      <rPr>
        <sz val="10"/>
        <color rgb="FF000000"/>
        <rFont val="맑은 고딕"/>
        <family val="0"/>
        <charset val="1"/>
      </rPr>
      <t xml:space="preserve">CORE </t>
    </r>
    <r>
      <rPr>
        <sz val="10"/>
        <color rgb="FF000000"/>
        <rFont val="WenQuanYi Zen Hei"/>
        <family val="2"/>
      </rPr>
      <t xml:space="preserve">제외</t>
    </r>
    <r>
      <rPr>
        <sz val="10"/>
        <color rgb="FF000000"/>
        <rFont val="맑은 고딕"/>
        <family val="0"/>
        <charset val="1"/>
      </rPr>
      <t xml:space="preserve">). </t>
    </r>
    <r>
      <rPr>
        <sz val="10"/>
        <color rgb="FF000000"/>
        <rFont val="WenQuanYi Zen Hei"/>
        <family val="2"/>
      </rPr>
      <t xml:space="preserve">연결의 의미는 관계동사로 표현한다</t>
    </r>
    <r>
      <rPr>
        <sz val="10"/>
        <color rgb="FF000000"/>
        <rFont val="맑은 고딕"/>
        <family val="0"/>
        <charset val="1"/>
      </rPr>
      <t xml:space="preserve">.</t>
    </r>
  </si>
  <si>
    <t xml:space="preserve">A02 / A03 / A04 / B04 / B05</t>
  </si>
  <si>
    <r>
      <rPr>
        <sz val="10"/>
        <color rgb="FF000000"/>
        <rFont val="WenQuanYi Zen Hei"/>
        <family val="2"/>
      </rPr>
      <t xml:space="preserve">연결이라는 단위의 정의는 연구자 정의</t>
    </r>
    <r>
      <rPr>
        <sz val="10"/>
        <color rgb="FF000000"/>
        <rFont val="맑은 고딕"/>
        <family val="0"/>
        <charset val="1"/>
      </rPr>
      <t xml:space="preserve">. </t>
    </r>
    <r>
      <rPr>
        <sz val="10"/>
        <color rgb="FF000000"/>
        <rFont val="WenQuanYi Zen Hei"/>
        <family val="2"/>
      </rPr>
      <t xml:space="preserve">입력</t>
    </r>
    <r>
      <rPr>
        <sz val="10"/>
        <color rgb="FF000000"/>
        <rFont val="맑은 고딕"/>
        <family val="0"/>
        <charset val="1"/>
      </rPr>
      <t xml:space="preserve">·</t>
    </r>
    <r>
      <rPr>
        <sz val="10"/>
        <color rgb="FF000000"/>
        <rFont val="WenQuanYi Zen Hei"/>
        <family val="2"/>
      </rPr>
      <t xml:space="preserve">출력</t>
    </r>
    <r>
      <rPr>
        <sz val="10"/>
        <color rgb="FF000000"/>
        <rFont val="맑은 고딕"/>
        <family val="0"/>
        <charset val="1"/>
      </rPr>
      <t xml:space="preserve">·</t>
    </r>
    <r>
      <rPr>
        <sz val="10"/>
        <color rgb="FF000000"/>
        <rFont val="WenQuanYi Zen Hei"/>
        <family val="2"/>
      </rPr>
      <t xml:space="preserve">상호작용</t>
    </r>
    <r>
      <rPr>
        <sz val="10"/>
        <color rgb="FF000000"/>
        <rFont val="맑은 고딕"/>
        <family val="0"/>
        <charset val="1"/>
      </rPr>
      <t xml:space="preserve">·</t>
    </r>
    <r>
      <rPr>
        <sz val="10"/>
        <color rgb="FF000000"/>
        <rFont val="WenQuanYi Zen Hei"/>
        <family val="2"/>
      </rPr>
      <t xml:space="preserve">상호 연결이 중요하다는 점은 인용</t>
    </r>
    <r>
      <rPr>
        <sz val="10"/>
        <color rgb="FF000000"/>
        <rFont val="맑은 고딕"/>
        <family val="0"/>
        <charset val="1"/>
      </rPr>
      <t xml:space="preserve">.</t>
    </r>
  </si>
  <si>
    <t xml:space="preserve">D04</t>
  </si>
  <si>
    <r>
      <rPr>
        <b val="true"/>
        <sz val="10"/>
        <color rgb="FF000000"/>
        <rFont val="WenQuanYi Zen Hei"/>
        <family val="2"/>
      </rPr>
      <t xml:space="preserve">연결 품질</t>
    </r>
    <r>
      <rPr>
        <b val="true"/>
        <sz val="10"/>
        <color rgb="FF000000"/>
        <rFont val="맑은 고딕"/>
        <family val="0"/>
        <charset val="1"/>
      </rPr>
      <t xml:space="preserve">(linkage quality)</t>
    </r>
  </si>
  <si>
    <r>
      <rPr>
        <sz val="10"/>
        <color rgb="FF000000"/>
        <rFont val="WenQuanYi Zen Hei"/>
        <family val="2"/>
      </rPr>
      <t xml:space="preserve">연구자 정의</t>
    </r>
    <r>
      <rPr>
        <sz val="10"/>
        <color rgb="FF000000"/>
        <rFont val="맑은 고딕"/>
        <family val="0"/>
        <charset val="1"/>
      </rPr>
      <t xml:space="preserve">(</t>
    </r>
    <r>
      <rPr>
        <sz val="10"/>
        <color rgb="FF000000"/>
        <rFont val="WenQuanYi Zen Hei"/>
        <family val="2"/>
      </rPr>
      <t xml:space="preserve">구성개념</t>
    </r>
    <r>
      <rPr>
        <sz val="10"/>
        <color rgb="FF000000"/>
        <rFont val="맑은 고딕"/>
        <family val="0"/>
        <charset val="1"/>
      </rPr>
      <t xml:space="preserve">)</t>
    </r>
  </si>
  <si>
    <r>
      <rPr>
        <sz val="10"/>
        <color rgb="FF000000"/>
        <rFont val="WenQuanYi Zen Hei"/>
        <family val="2"/>
      </rPr>
      <t xml:space="preserve">한 연결</t>
    </r>
    <r>
      <rPr>
        <sz val="10"/>
        <color rgb="FF000000"/>
        <rFont val="맑은 고딕"/>
        <family val="0"/>
        <charset val="1"/>
      </rPr>
      <t xml:space="preserve">(S→T)</t>
    </r>
    <r>
      <rPr>
        <sz val="10"/>
        <color rgb="FF000000"/>
        <rFont val="WenQuanYi Zen Hei"/>
        <family val="2"/>
      </rPr>
      <t xml:space="preserve">이 조직의 실제 운영에서 얼마나 잘 작동하는가</t>
    </r>
    <r>
      <rPr>
        <sz val="10"/>
        <color rgb="FF000000"/>
        <rFont val="맑은 고딕"/>
        <family val="0"/>
        <charset val="1"/>
      </rPr>
      <t xml:space="preserve">. </t>
    </r>
    <r>
      <rPr>
        <sz val="10"/>
        <color rgb="FF000000"/>
        <rFont val="WenQuanYi Zen Hei"/>
        <family val="2"/>
      </rPr>
      <t xml:space="preserve">정합성</t>
    </r>
    <r>
      <rPr>
        <sz val="10"/>
        <color rgb="FF000000"/>
        <rFont val="맑은 고딕"/>
        <family val="0"/>
        <charset val="1"/>
      </rPr>
      <t xml:space="preserve">·</t>
    </r>
    <r>
      <rPr>
        <sz val="10"/>
        <color rgb="FF000000"/>
        <rFont val="WenQuanYi Zen Hei"/>
        <family val="2"/>
      </rPr>
      <t xml:space="preserve">추적성</t>
    </r>
    <r>
      <rPr>
        <sz val="10"/>
        <color rgb="FF000000"/>
        <rFont val="맑은 고딕"/>
        <family val="0"/>
        <charset val="1"/>
      </rPr>
      <t xml:space="preserve">·</t>
    </r>
    <r>
      <rPr>
        <sz val="10"/>
        <color rgb="FF000000"/>
        <rFont val="WenQuanYi Zen Hei"/>
        <family val="2"/>
      </rPr>
      <t xml:space="preserve">증빙성</t>
    </r>
    <r>
      <rPr>
        <sz val="10"/>
        <color rgb="FF000000"/>
        <rFont val="맑은 고딕"/>
        <family val="0"/>
        <charset val="1"/>
      </rPr>
      <t xml:space="preserve">·</t>
    </r>
    <r>
      <rPr>
        <sz val="10"/>
        <color rgb="FF000000"/>
        <rFont val="WenQuanYi Zen Hei"/>
        <family val="2"/>
      </rPr>
      <t xml:space="preserve">책임성</t>
    </r>
    <r>
      <rPr>
        <sz val="10"/>
        <color rgb="FF000000"/>
        <rFont val="맑은 고딕"/>
        <family val="0"/>
        <charset val="1"/>
      </rPr>
      <t xml:space="preserve">·</t>
    </r>
    <r>
      <rPr>
        <sz val="10"/>
        <color rgb="FF000000"/>
        <rFont val="WenQuanYi Zen Hei"/>
        <family val="2"/>
      </rPr>
      <t xml:space="preserve">최신성</t>
    </r>
    <r>
      <rPr>
        <sz val="10"/>
        <color rgb="FF000000"/>
        <rFont val="맑은 고딕"/>
        <family val="0"/>
        <charset val="1"/>
      </rPr>
      <t xml:space="preserve">·</t>
    </r>
    <r>
      <rPr>
        <sz val="10"/>
        <color rgb="FF000000"/>
        <rFont val="WenQuanYi Zen Hei"/>
        <family val="2"/>
      </rPr>
      <t xml:space="preserve">환류폐쇄성 </t>
    </r>
    <r>
      <rPr>
        <sz val="10"/>
        <color rgb="FF000000"/>
        <rFont val="맑은 고딕"/>
        <family val="0"/>
        <charset val="1"/>
      </rPr>
      <t xml:space="preserve">6</t>
    </r>
    <r>
      <rPr>
        <sz val="10"/>
        <color rgb="FF000000"/>
        <rFont val="WenQuanYi Zen Hei"/>
        <family val="2"/>
      </rPr>
      <t xml:space="preserve">개 차원으로 측정한다</t>
    </r>
    <r>
      <rPr>
        <sz val="10"/>
        <color rgb="FF000000"/>
        <rFont val="맑은 고딕"/>
        <family val="0"/>
        <charset val="1"/>
      </rPr>
      <t xml:space="preserve">. </t>
    </r>
    <r>
      <rPr>
        <sz val="10"/>
        <color rgb="FF000000"/>
        <rFont val="WenQuanYi Zen Hei"/>
        <family val="2"/>
      </rPr>
      <t xml:space="preserve">환류폐쇄성은 환류 연결 </t>
    </r>
    <r>
      <rPr>
        <sz val="10"/>
        <color rgb="FF000000"/>
        <rFont val="맑은 고딕"/>
        <family val="0"/>
        <charset val="1"/>
      </rPr>
      <t xml:space="preserve">8</t>
    </r>
    <r>
      <rPr>
        <sz val="10"/>
        <color rgb="FF000000"/>
        <rFont val="WenQuanYi Zen Hei"/>
        <family val="2"/>
      </rPr>
      <t xml:space="preserve">개에만 적용한다</t>
    </r>
    <r>
      <rPr>
        <sz val="10"/>
        <color rgb="FF000000"/>
        <rFont val="맑은 고딕"/>
        <family val="0"/>
        <charset val="1"/>
      </rPr>
      <t xml:space="preserve">. </t>
    </r>
    <r>
      <rPr>
        <sz val="10"/>
        <color rgb="FF000000"/>
        <rFont val="WenQuanYi Zen Hei"/>
        <family val="2"/>
      </rPr>
      <t xml:space="preserve">연결의 점수는 적용되는 차원 문항의 평균이다</t>
    </r>
    <r>
      <rPr>
        <sz val="10"/>
        <color rgb="FF000000"/>
        <rFont val="맑은 고딕"/>
        <family val="0"/>
        <charset val="1"/>
      </rPr>
      <t xml:space="preserve">.</t>
    </r>
  </si>
  <si>
    <t xml:space="preserve">A01 / A02 / A04 / B01 / A07 / A05</t>
  </si>
  <si>
    <r>
      <rPr>
        <sz val="10"/>
        <color rgb="FF000000"/>
        <rFont val="WenQuanYi Zen Hei"/>
        <family val="2"/>
      </rPr>
      <t xml:space="preserve">용어와 </t>
    </r>
    <r>
      <rPr>
        <sz val="10"/>
        <color rgb="FF000000"/>
        <rFont val="맑은 고딕"/>
        <family val="0"/>
        <charset val="1"/>
      </rPr>
      <t xml:space="preserve">6</t>
    </r>
    <r>
      <rPr>
        <sz val="10"/>
        <color rgb="FF000000"/>
        <rFont val="WenQuanYi Zen Hei"/>
        <family val="2"/>
      </rPr>
      <t xml:space="preserve">개 차원 구성은 연구자가 제시한 초기 가설</t>
    </r>
    <r>
      <rPr>
        <sz val="10"/>
        <color rgb="FF000000"/>
        <rFont val="맑은 고딕"/>
        <family val="0"/>
        <charset val="1"/>
      </rPr>
      <t xml:space="preserve">(</t>
    </r>
    <r>
      <rPr>
        <sz val="10"/>
        <color rgb="FF000000"/>
        <rFont val="WenQuanYi Zen Hei"/>
        <family val="2"/>
      </rPr>
      <t xml:space="preserve">첨부 문서</t>
    </r>
    <r>
      <rPr>
        <sz val="10"/>
        <color rgb="FF000000"/>
        <rFont val="맑은 고딕"/>
        <family val="0"/>
        <charset val="1"/>
      </rPr>
      <t xml:space="preserve">)</t>
    </r>
    <r>
      <rPr>
        <sz val="10"/>
        <color rgb="FF000000"/>
        <rFont val="WenQuanYi Zen Hei"/>
        <family val="2"/>
      </rPr>
      <t xml:space="preserve">이며 두 논문에 없다</t>
    </r>
    <r>
      <rPr>
        <sz val="10"/>
        <color rgb="FF000000"/>
        <rFont val="맑은 고딕"/>
        <family val="0"/>
        <charset val="1"/>
      </rPr>
      <t xml:space="preserve">. </t>
    </r>
    <r>
      <rPr>
        <sz val="10"/>
        <color rgb="FF000000"/>
        <rFont val="WenQuanYi Zen Hei"/>
        <family val="2"/>
      </rPr>
      <t xml:space="preserve">프로세스 간 상호 연결</t>
    </r>
    <r>
      <rPr>
        <sz val="10"/>
        <color rgb="FF000000"/>
        <rFont val="맑은 고딕"/>
        <family val="0"/>
        <charset val="1"/>
      </rPr>
      <t xml:space="preserve">·</t>
    </r>
    <r>
      <rPr>
        <sz val="10"/>
        <color rgb="FF000000"/>
        <rFont val="WenQuanYi Zen Hei"/>
        <family val="2"/>
      </rPr>
      <t xml:space="preserve">상호작용이 </t>
    </r>
    <r>
      <rPr>
        <sz val="10"/>
        <color rgb="FF000000"/>
        <rFont val="맑은 고딕"/>
        <family val="0"/>
        <charset val="1"/>
      </rPr>
      <t xml:space="preserve">BCMS</t>
    </r>
    <r>
      <rPr>
        <sz val="10"/>
        <color rgb="FF000000"/>
        <rFont val="WenQuanYi Zen Hei"/>
        <family val="2"/>
      </rPr>
      <t xml:space="preserve">의 핵심이라는 점</t>
    </r>
    <r>
      <rPr>
        <sz val="10"/>
        <color rgb="FF000000"/>
        <rFont val="맑은 고딕"/>
        <family val="0"/>
        <charset val="1"/>
      </rPr>
      <t xml:space="preserve">(A01, A02, A04, B01, A07)</t>
    </r>
    <r>
      <rPr>
        <sz val="10"/>
        <color rgb="FF000000"/>
        <rFont val="WenQuanYi Zen Hei"/>
        <family val="2"/>
      </rPr>
      <t xml:space="preserve">과 체크리스트만으로는 지속 운영이 보장되지 않는다는 점</t>
    </r>
    <r>
      <rPr>
        <sz val="10"/>
        <color rgb="FF000000"/>
        <rFont val="맑은 고딕"/>
        <family val="0"/>
        <charset val="1"/>
      </rPr>
      <t xml:space="preserve">(A05)</t>
    </r>
    <r>
      <rPr>
        <sz val="10"/>
        <color rgb="FF000000"/>
        <rFont val="WenQuanYi Zen Hei"/>
        <family val="2"/>
      </rPr>
      <t xml:space="preserve">을 정의의 이유로 인용했다</t>
    </r>
    <r>
      <rPr>
        <sz val="10"/>
        <color rgb="FF000000"/>
        <rFont val="맑은 고딕"/>
        <family val="0"/>
        <charset val="1"/>
      </rPr>
      <t xml:space="preserve">.</t>
    </r>
  </si>
  <si>
    <t xml:space="preserve">D05</t>
  </si>
  <si>
    <r>
      <rPr>
        <b val="true"/>
        <sz val="10"/>
        <color rgb="FF000000"/>
        <rFont val="WenQuanYi Zen Hei"/>
        <family val="2"/>
      </rPr>
      <t xml:space="preserve">연계성</t>
    </r>
    <r>
      <rPr>
        <b val="true"/>
        <sz val="10"/>
        <color rgb="FF000000"/>
        <rFont val="맑은 고딕"/>
        <family val="0"/>
        <charset val="1"/>
      </rPr>
      <t xml:space="preserve">(</t>
    </r>
    <r>
      <rPr>
        <b val="true"/>
        <sz val="10"/>
        <color rgb="FF000000"/>
        <rFont val="WenQuanYi Zen Hei"/>
        <family val="2"/>
      </rPr>
      <t xml:space="preserve">조직 수준</t>
    </r>
    <r>
      <rPr>
        <b val="true"/>
        <sz val="10"/>
        <color rgb="FF000000"/>
        <rFont val="맑은 고딕"/>
        <family val="0"/>
        <charset val="1"/>
      </rPr>
      <t xml:space="preserve">)</t>
    </r>
  </si>
  <si>
    <r>
      <rPr>
        <sz val="10"/>
        <color rgb="FF000000"/>
        <rFont val="WenQuanYi Zen Hei"/>
        <family val="2"/>
      </rPr>
      <t xml:space="preserve">조직의 연결 </t>
    </r>
    <r>
      <rPr>
        <sz val="10"/>
        <color rgb="FF000000"/>
        <rFont val="맑은 고딕"/>
        <family val="0"/>
        <charset val="1"/>
      </rPr>
      <t xml:space="preserve">31</t>
    </r>
    <r>
      <rPr>
        <sz val="10"/>
        <color rgb="FF000000"/>
        <rFont val="WenQuanYi Zen Hei"/>
        <family val="2"/>
      </rPr>
      <t xml:space="preserve">개의 품질을 종합한 지수</t>
    </r>
    <r>
      <rPr>
        <sz val="10"/>
        <color rgb="FF000000"/>
        <rFont val="맑은 고딕"/>
        <family val="0"/>
        <charset val="1"/>
      </rPr>
      <t xml:space="preserve">(</t>
    </r>
    <r>
      <rPr>
        <sz val="10"/>
        <color rgb="FF000000"/>
        <rFont val="WenQuanYi Zen Hei"/>
        <family val="2"/>
      </rPr>
      <t xml:space="preserve">연결 점수의 평균</t>
    </r>
    <r>
      <rPr>
        <sz val="10"/>
        <color rgb="FF000000"/>
        <rFont val="맑은 고딕"/>
        <family val="0"/>
        <charset val="1"/>
      </rPr>
      <t xml:space="preserve">). </t>
    </r>
    <r>
      <rPr>
        <sz val="10"/>
        <color rgb="FF000000"/>
        <rFont val="WenQuanYi Zen Hei"/>
        <family val="2"/>
      </rPr>
      <t xml:space="preserve">첨부 문서가 </t>
    </r>
    <r>
      <rPr>
        <sz val="10"/>
        <color rgb="FF000000"/>
        <rFont val="맑은 고딕"/>
        <family val="0"/>
        <charset val="1"/>
      </rPr>
      <t xml:space="preserve">"</t>
    </r>
    <r>
      <rPr>
        <sz val="10"/>
        <color rgb="FF000000"/>
        <rFont val="WenQuanYi Zen Hei"/>
        <family val="2"/>
      </rPr>
      <t xml:space="preserve">연결성</t>
    </r>
    <r>
      <rPr>
        <sz val="10"/>
        <color rgb="FF000000"/>
        <rFont val="맑은 고딕"/>
        <family val="0"/>
        <charset val="1"/>
      </rPr>
      <t xml:space="preserve">"</t>
    </r>
    <r>
      <rPr>
        <sz val="10"/>
        <color rgb="FF000000"/>
        <rFont val="WenQuanYi Zen Hei"/>
        <family val="2"/>
      </rPr>
      <t xml:space="preserve">이라 부른 개념과 같은 것으로 보며</t>
    </r>
    <r>
      <rPr>
        <sz val="10"/>
        <color rgb="FF000000"/>
        <rFont val="맑은 고딕"/>
        <family val="0"/>
        <charset val="1"/>
      </rPr>
      <t xml:space="preserve">, </t>
    </r>
    <r>
      <rPr>
        <sz val="10"/>
        <color rgb="FF000000"/>
        <rFont val="WenQuanYi Zen Hei"/>
        <family val="2"/>
      </rPr>
      <t xml:space="preserve">용어</t>
    </r>
    <r>
      <rPr>
        <sz val="10"/>
        <color rgb="FF000000"/>
        <rFont val="맑은 고딕"/>
        <family val="0"/>
        <charset val="1"/>
      </rPr>
      <t xml:space="preserve">("</t>
    </r>
    <r>
      <rPr>
        <sz val="10"/>
        <color rgb="FF000000"/>
        <rFont val="WenQuanYi Zen Hei"/>
        <family val="2"/>
      </rPr>
      <t xml:space="preserve">연계성</t>
    </r>
    <r>
      <rPr>
        <sz val="10"/>
        <color rgb="FF000000"/>
        <rFont val="맑은 고딕"/>
        <family val="0"/>
        <charset val="1"/>
      </rPr>
      <t xml:space="preserve">"/"</t>
    </r>
    <r>
      <rPr>
        <sz val="10"/>
        <color rgb="FF000000"/>
        <rFont val="WenQuanYi Zen Hei"/>
        <family val="2"/>
      </rPr>
      <t xml:space="preserve">연결성</t>
    </r>
    <r>
      <rPr>
        <sz val="10"/>
        <color rgb="FF000000"/>
        <rFont val="맑은 고딕"/>
        <family val="0"/>
        <charset val="1"/>
      </rPr>
      <t xml:space="preserve">") </t>
    </r>
    <r>
      <rPr>
        <sz val="10"/>
        <color rgb="FF000000"/>
        <rFont val="WenQuanYi Zen Hei"/>
        <family val="2"/>
      </rPr>
      <t xml:space="preserve">통일은 연구자가 정한다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</si>
  <si>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없음</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</si>
  <si>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해당 인용 없음</t>
    </r>
    <r>
      <rPr>
        <sz val="10"/>
        <color rgb="FF000000"/>
        <rFont val="맑은 고딕"/>
        <family val="0"/>
        <charset val="1"/>
      </rPr>
      <t xml:space="preserve">)</t>
    </r>
  </si>
  <si>
    <r>
      <rPr>
        <sz val="10"/>
        <color rgb="FF000000"/>
        <rFont val="WenQuanYi Zen Hei"/>
        <family val="2"/>
      </rPr>
      <t xml:space="preserve">용어 선택은 연구자 결정 사항</t>
    </r>
    <r>
      <rPr>
        <sz val="10"/>
        <color rgb="FF000000"/>
        <rFont val="맑은 고딕"/>
        <family val="0"/>
        <charset val="1"/>
      </rPr>
      <t xml:space="preserve">.</t>
    </r>
  </si>
  <si>
    <t xml:space="preserve">D06</t>
  </si>
  <si>
    <r>
      <rPr>
        <b val="true"/>
        <sz val="10"/>
        <color rgb="FF000000"/>
        <rFont val="맑은 고딕"/>
        <family val="0"/>
        <charset val="1"/>
      </rPr>
      <t xml:space="preserve">3</t>
    </r>
    <r>
      <rPr>
        <b val="true"/>
        <sz val="10"/>
        <color rgb="FF000000"/>
        <rFont val="WenQuanYi Zen Hei"/>
        <family val="2"/>
      </rPr>
      <t xml:space="preserve">층 모형</t>
    </r>
    <r>
      <rPr>
        <b val="true"/>
        <sz val="10"/>
        <color rgb="FF000000"/>
        <rFont val="맑은 고딕"/>
        <family val="0"/>
        <charset val="1"/>
      </rPr>
      <t xml:space="preserve">(</t>
    </r>
    <r>
      <rPr>
        <b val="true"/>
        <sz val="10"/>
        <color rgb="FF000000"/>
        <rFont val="WenQuanYi Zen Hei"/>
        <family val="2"/>
      </rPr>
      <t xml:space="preserve">객체층</t>
    </r>
    <r>
      <rPr>
        <b val="true"/>
        <sz val="10"/>
        <color rgb="FF000000"/>
        <rFont val="맑은 고딕"/>
        <family val="0"/>
        <charset val="1"/>
      </rPr>
      <t xml:space="preserve">·</t>
    </r>
    <r>
      <rPr>
        <b val="true"/>
        <sz val="10"/>
        <color rgb="FF000000"/>
        <rFont val="WenQuanYi Zen Hei"/>
        <family val="2"/>
      </rPr>
      <t xml:space="preserve">관계층</t>
    </r>
    <r>
      <rPr>
        <b val="true"/>
        <sz val="10"/>
        <color rgb="FF000000"/>
        <rFont val="맑은 고딕"/>
        <family val="0"/>
        <charset val="1"/>
      </rPr>
      <t xml:space="preserve">·</t>
    </r>
    <r>
      <rPr>
        <b val="true"/>
        <sz val="10"/>
        <color rgb="FF000000"/>
        <rFont val="WenQuanYi Zen Hei"/>
        <family val="2"/>
      </rPr>
      <t xml:space="preserve">품질층</t>
    </r>
    <r>
      <rPr>
        <b val="true"/>
        <sz val="10"/>
        <color rgb="FF000000"/>
        <rFont val="맑은 고딕"/>
        <family val="0"/>
        <charset val="1"/>
      </rPr>
      <t xml:space="preserve">)</t>
    </r>
  </si>
  <si>
    <r>
      <rPr>
        <sz val="10"/>
        <color rgb="FF000000"/>
        <rFont val="WenQuanYi Zen Hei"/>
        <family val="2"/>
      </rPr>
      <t xml:space="preserve">연구자 설계</t>
    </r>
    <r>
      <rPr>
        <sz val="10"/>
        <color rgb="FF000000"/>
        <rFont val="맑은 고딕"/>
        <family val="0"/>
        <charset val="1"/>
      </rPr>
      <t xml:space="preserve">(</t>
    </r>
    <r>
      <rPr>
        <sz val="10"/>
        <color rgb="FF000000"/>
        <rFont val="WenQuanYi Zen Hei"/>
        <family val="2"/>
      </rPr>
      <t xml:space="preserve">첨부 문서</t>
    </r>
    <r>
      <rPr>
        <sz val="10"/>
        <color rgb="FF000000"/>
        <rFont val="맑은 고딕"/>
        <family val="0"/>
        <charset val="1"/>
      </rPr>
      <t xml:space="preserve">)</t>
    </r>
  </si>
  <si>
    <r>
      <rPr>
        <sz val="10"/>
        <color rgb="FF000000"/>
        <rFont val="WenQuanYi Zen Hei"/>
        <family val="2"/>
      </rPr>
      <t xml:space="preserve">객체층 </t>
    </r>
    <r>
      <rPr>
        <sz val="10"/>
        <color rgb="FF000000"/>
        <rFont val="맑은 고딕"/>
        <family val="0"/>
        <charset val="1"/>
      </rPr>
      <t xml:space="preserve">= </t>
    </r>
    <r>
      <rPr>
        <sz val="10"/>
        <color rgb="FF000000"/>
        <rFont val="WenQuanYi Zen Hei"/>
        <family val="2"/>
      </rPr>
      <t xml:space="preserve">무엇과 무엇을 연결하는가</t>
    </r>
    <r>
      <rPr>
        <sz val="10"/>
        <color rgb="FF000000"/>
        <rFont val="맑은 고딕"/>
        <family val="0"/>
        <charset val="1"/>
      </rPr>
      <t xml:space="preserve">(</t>
    </r>
    <r>
      <rPr>
        <sz val="10"/>
        <color rgb="FF000000"/>
        <rFont val="WenQuanYi Zen Hei"/>
        <family val="2"/>
      </rPr>
      <t xml:space="preserve">프로세스 </t>
    </r>
    <r>
      <rPr>
        <sz val="10"/>
        <color rgb="FF000000"/>
        <rFont val="맑은 고딕"/>
        <family val="0"/>
        <charset val="1"/>
      </rPr>
      <t xml:space="preserve">22</t>
    </r>
    <r>
      <rPr>
        <sz val="10"/>
        <color rgb="FF000000"/>
        <rFont val="WenQuanYi Zen Hei"/>
        <family val="2"/>
      </rPr>
      <t xml:space="preserve">개와 그 산출물</t>
    </r>
    <r>
      <rPr>
        <sz val="10"/>
        <color rgb="FF000000"/>
        <rFont val="맑은 고딕"/>
        <family val="0"/>
        <charset val="1"/>
      </rPr>
      <t xml:space="preserve">). </t>
    </r>
    <r>
      <rPr>
        <sz val="10"/>
        <color rgb="FF000000"/>
        <rFont val="WenQuanYi Zen Hei"/>
        <family val="2"/>
      </rPr>
      <t xml:space="preserve">관계층 </t>
    </r>
    <r>
      <rPr>
        <sz val="10"/>
        <color rgb="FF000000"/>
        <rFont val="맑은 고딕"/>
        <family val="0"/>
        <charset val="1"/>
      </rPr>
      <t xml:space="preserve">= </t>
    </r>
    <r>
      <rPr>
        <sz val="10"/>
        <color rgb="FF000000"/>
        <rFont val="WenQuanYi Zen Hei"/>
        <family val="2"/>
      </rPr>
      <t xml:space="preserve">어떤 방식으로 연결되는가</t>
    </r>
    <r>
      <rPr>
        <sz val="10"/>
        <color rgb="FF000000"/>
        <rFont val="맑은 고딕"/>
        <family val="0"/>
        <charset val="1"/>
      </rPr>
      <t xml:space="preserve">(</t>
    </r>
    <r>
      <rPr>
        <sz val="10"/>
        <color rgb="FF000000"/>
        <rFont val="WenQuanYi Zen Hei"/>
        <family val="2"/>
      </rPr>
      <t xml:space="preserve">관계동사 </t>
    </r>
    <r>
      <rPr>
        <sz val="10"/>
        <color rgb="FF000000"/>
        <rFont val="맑은 고딕"/>
        <family val="0"/>
        <charset val="1"/>
      </rPr>
      <t xml:space="preserve">11</t>
    </r>
    <r>
      <rPr>
        <sz val="10"/>
        <color rgb="FF000000"/>
        <rFont val="WenQuanYi Zen Hei"/>
        <family val="2"/>
      </rPr>
      <t xml:space="preserve">개</t>
    </r>
    <r>
      <rPr>
        <sz val="10"/>
        <color rgb="FF000000"/>
        <rFont val="맑은 고딕"/>
        <family val="0"/>
        <charset val="1"/>
      </rPr>
      <t xml:space="preserve">). </t>
    </r>
    <r>
      <rPr>
        <sz val="10"/>
        <color rgb="FF000000"/>
        <rFont val="WenQuanYi Zen Hei"/>
        <family val="2"/>
      </rPr>
      <t xml:space="preserve">품질층 </t>
    </r>
    <r>
      <rPr>
        <sz val="10"/>
        <color rgb="FF000000"/>
        <rFont val="맑은 고딕"/>
        <family val="0"/>
        <charset val="1"/>
      </rPr>
      <t xml:space="preserve">= </t>
    </r>
    <r>
      <rPr>
        <sz val="10"/>
        <color rgb="FF000000"/>
        <rFont val="WenQuanYi Zen Hei"/>
        <family val="2"/>
      </rPr>
      <t xml:space="preserve">그 연결이 얼마나 잘 작동하는가</t>
    </r>
    <r>
      <rPr>
        <sz val="10"/>
        <color rgb="FF000000"/>
        <rFont val="맑은 고딕"/>
        <family val="0"/>
        <charset val="1"/>
      </rPr>
      <t xml:space="preserve">(6</t>
    </r>
    <r>
      <rPr>
        <sz val="10"/>
        <color rgb="FF000000"/>
        <rFont val="WenQuanYi Zen Hei"/>
        <family val="2"/>
      </rPr>
      <t xml:space="preserve">개 차원</t>
    </r>
    <r>
      <rPr>
        <sz val="10"/>
        <color rgb="FF000000"/>
        <rFont val="맑은 고딕"/>
        <family val="0"/>
        <charset val="1"/>
      </rPr>
      <t xml:space="preserve">). </t>
    </r>
    <r>
      <rPr>
        <sz val="10"/>
        <color rgb="FF000000"/>
        <rFont val="WenQuanYi Zen Hei"/>
        <family val="2"/>
      </rPr>
      <t xml:space="preserve">문항은 </t>
    </r>
    <r>
      <rPr>
        <sz val="10"/>
        <color rgb="FF000000"/>
        <rFont val="맑은 고딕"/>
        <family val="0"/>
        <charset val="1"/>
      </rPr>
      <t xml:space="preserve">"</t>
    </r>
    <r>
      <rPr>
        <sz val="10"/>
        <color rgb="FF000000"/>
        <rFont val="WenQuanYi Zen Hei"/>
        <family val="2"/>
      </rPr>
      <t xml:space="preserve">객체쌍 </t>
    </r>
    <r>
      <rPr>
        <sz val="10"/>
        <color rgb="FF000000"/>
        <rFont val="맑은 고딕"/>
        <family val="0"/>
        <charset val="1"/>
      </rPr>
      <t xml:space="preserve">+ </t>
    </r>
    <r>
      <rPr>
        <sz val="10"/>
        <color rgb="FF000000"/>
        <rFont val="WenQuanYi Zen Hei"/>
        <family val="2"/>
      </rPr>
      <t xml:space="preserve">관계동사 </t>
    </r>
    <r>
      <rPr>
        <sz val="10"/>
        <color rgb="FF000000"/>
        <rFont val="맑은 고딕"/>
        <family val="0"/>
        <charset val="1"/>
      </rPr>
      <t xml:space="preserve">+ </t>
    </r>
    <r>
      <rPr>
        <sz val="10"/>
        <color rgb="FF000000"/>
        <rFont val="WenQuanYi Zen Hei"/>
        <family val="2"/>
      </rPr>
      <t xml:space="preserve">품질조건</t>
    </r>
    <r>
      <rPr>
        <sz val="10"/>
        <color rgb="FF000000"/>
        <rFont val="맑은 고딕"/>
        <family val="0"/>
        <charset val="1"/>
      </rPr>
      <t xml:space="preserve">" </t>
    </r>
    <r>
      <rPr>
        <sz val="10"/>
        <color rgb="FF000000"/>
        <rFont val="WenQuanYi Zen Hei"/>
        <family val="2"/>
      </rPr>
      <t xml:space="preserve">구조로 쓴다</t>
    </r>
    <r>
      <rPr>
        <sz val="10"/>
        <color rgb="FF000000"/>
        <rFont val="맑은 고딕"/>
        <family val="0"/>
        <charset val="1"/>
      </rPr>
      <t xml:space="preserve">.</t>
    </r>
  </si>
  <si>
    <t xml:space="preserve">B04 / B05 / B06</t>
  </si>
  <si>
    <r>
      <rPr>
        <sz val="10"/>
        <color rgb="FF000000"/>
        <rFont val="맑은 고딕"/>
        <family val="0"/>
        <charset val="1"/>
      </rPr>
      <t xml:space="preserve">3</t>
    </r>
    <r>
      <rPr>
        <sz val="10"/>
        <color rgb="FF000000"/>
        <rFont val="WenQuanYi Zen Hei"/>
        <family val="2"/>
      </rPr>
      <t xml:space="preserve">층 구분은 첨부 문서의 제안이다</t>
    </r>
    <r>
      <rPr>
        <sz val="10"/>
        <color rgb="FF000000"/>
        <rFont val="맑은 고딕"/>
        <family val="0"/>
        <charset val="1"/>
      </rPr>
      <t xml:space="preserve">. Białas</t>
    </r>
    <r>
      <rPr>
        <sz val="10"/>
        <color rgb="FF000000"/>
        <rFont val="WenQuanYi Zen Hei"/>
        <family val="2"/>
      </rPr>
      <t xml:space="preserve">가 </t>
    </r>
    <r>
      <rPr>
        <sz val="10"/>
        <color rgb="FF000000"/>
        <rFont val="맑은 고딕"/>
        <family val="0"/>
        <charset val="1"/>
      </rPr>
      <t xml:space="preserve">object slot(</t>
    </r>
    <r>
      <rPr>
        <sz val="10"/>
        <color rgb="FF000000"/>
        <rFont val="WenQuanYi Zen Hei"/>
        <family val="2"/>
      </rPr>
      <t xml:space="preserve">관계</t>
    </r>
    <r>
      <rPr>
        <sz val="10"/>
        <color rgb="FF000000"/>
        <rFont val="맑은 고딕"/>
        <family val="0"/>
        <charset val="1"/>
      </rPr>
      <t xml:space="preserve">)</t>
    </r>
    <r>
      <rPr>
        <sz val="10"/>
        <color rgb="FF000000"/>
        <rFont val="WenQuanYi Zen Hei"/>
        <family val="2"/>
      </rPr>
      <t xml:space="preserve">과 </t>
    </r>
    <r>
      <rPr>
        <sz val="10"/>
        <color rgb="FF000000"/>
        <rFont val="맑은 고딕"/>
        <family val="0"/>
        <charset val="1"/>
      </rPr>
      <t xml:space="preserve">data slot(</t>
    </r>
    <r>
      <rPr>
        <sz val="10"/>
        <color rgb="FF000000"/>
        <rFont val="WenQuanYi Zen Hei"/>
        <family val="2"/>
      </rPr>
      <t xml:space="preserve">속성</t>
    </r>
    <r>
      <rPr>
        <sz val="10"/>
        <color rgb="FF000000"/>
        <rFont val="맑은 고딕"/>
        <family val="0"/>
        <charset val="1"/>
      </rPr>
      <t xml:space="preserve">)</t>
    </r>
    <r>
      <rPr>
        <sz val="10"/>
        <color rgb="FF000000"/>
        <rFont val="WenQuanYi Zen Hei"/>
        <family val="2"/>
      </rPr>
      <t xml:space="preserve">을 구분한 방식이 구조적 근거다</t>
    </r>
    <r>
      <rPr>
        <sz val="10"/>
        <color rgb="FF000000"/>
        <rFont val="맑은 고딕"/>
        <family val="0"/>
        <charset val="1"/>
      </rPr>
      <t xml:space="preserve">.</t>
    </r>
  </si>
  <si>
    <t xml:space="preserve">D07</t>
  </si>
  <si>
    <t xml:space="preserve">관계동사</t>
  </si>
  <si>
    <r>
      <rPr>
        <sz val="10"/>
        <color rgb="FF000000"/>
        <rFont val="WenQuanYi Zen Hei"/>
        <family val="2"/>
      </rPr>
      <t xml:space="preserve">연결의 의미를 나타내는 동사</t>
    </r>
    <r>
      <rPr>
        <sz val="10"/>
        <color rgb="FF000000"/>
        <rFont val="맑은 고딕"/>
        <family val="0"/>
        <charset val="1"/>
      </rPr>
      <t xml:space="preserve">(</t>
    </r>
    <r>
      <rPr>
        <sz val="10"/>
        <color rgb="FF000000"/>
        <rFont val="WenQuanYi Zen Hei"/>
        <family val="2"/>
      </rPr>
      <t xml:space="preserve">입력된다</t>
    </r>
    <r>
      <rPr>
        <sz val="10"/>
        <color rgb="FF000000"/>
        <rFont val="맑은 고딕"/>
        <family val="0"/>
        <charset val="1"/>
      </rPr>
      <t xml:space="preserve">·</t>
    </r>
    <r>
      <rPr>
        <sz val="10"/>
        <color rgb="FF000000"/>
        <rFont val="WenQuanYi Zen Hei"/>
        <family val="2"/>
      </rPr>
      <t xml:space="preserve">근거가 된다</t>
    </r>
    <r>
      <rPr>
        <sz val="10"/>
        <color rgb="FF000000"/>
        <rFont val="맑은 고딕"/>
        <family val="0"/>
        <charset val="1"/>
      </rPr>
      <t xml:space="preserve">·</t>
    </r>
    <r>
      <rPr>
        <sz val="10"/>
        <color rgb="FF000000"/>
        <rFont val="WenQuanYi Zen Hei"/>
        <family val="2"/>
      </rPr>
      <t xml:space="preserve">도출</t>
    </r>
    <r>
      <rPr>
        <sz val="10"/>
        <color rgb="FF000000"/>
        <rFont val="맑은 고딕"/>
        <family val="0"/>
        <charset val="1"/>
      </rPr>
      <t xml:space="preserve">·</t>
    </r>
    <r>
      <rPr>
        <sz val="10"/>
        <color rgb="FF000000"/>
        <rFont val="WenQuanYi Zen Hei"/>
        <family val="2"/>
      </rPr>
      <t xml:space="preserve">이행된다</t>
    </r>
    <r>
      <rPr>
        <sz val="10"/>
        <color rgb="FF000000"/>
        <rFont val="맑은 고딕"/>
        <family val="0"/>
        <charset val="1"/>
      </rPr>
      <t xml:space="preserve">·</t>
    </r>
    <r>
      <rPr>
        <sz val="10"/>
        <color rgb="FF000000"/>
        <rFont val="WenQuanYi Zen Hei"/>
        <family val="2"/>
      </rPr>
      <t xml:space="preserve">시험</t>
    </r>
    <r>
      <rPr>
        <sz val="10"/>
        <color rgb="FF000000"/>
        <rFont val="맑은 고딕"/>
        <family val="0"/>
        <charset val="1"/>
      </rPr>
      <t xml:space="preserve">·</t>
    </r>
    <r>
      <rPr>
        <sz val="10"/>
        <color rgb="FF000000"/>
        <rFont val="WenQuanYi Zen Hei"/>
        <family val="2"/>
      </rPr>
      <t xml:space="preserve">검증된다</t>
    </r>
    <r>
      <rPr>
        <sz val="10"/>
        <color rgb="FF000000"/>
        <rFont val="맑은 고딕"/>
        <family val="0"/>
        <charset val="1"/>
      </rPr>
      <t xml:space="preserve">·</t>
    </r>
    <r>
      <rPr>
        <sz val="10"/>
        <color rgb="FF000000"/>
        <rFont val="WenQuanYi Zen Hei"/>
        <family val="2"/>
      </rPr>
      <t xml:space="preserve">수행을 촉발한다</t>
    </r>
    <r>
      <rPr>
        <sz val="10"/>
        <color rgb="FF000000"/>
        <rFont val="맑은 고딕"/>
        <family val="0"/>
        <charset val="1"/>
      </rPr>
      <t xml:space="preserve">·</t>
    </r>
    <r>
      <rPr>
        <sz val="10"/>
        <color rgb="FF000000"/>
        <rFont val="WenQuanYi Zen Hei"/>
        <family val="2"/>
      </rPr>
      <t xml:space="preserve">개정</t>
    </r>
    <r>
      <rPr>
        <sz val="10"/>
        <color rgb="FF000000"/>
        <rFont val="맑은 고딕"/>
        <family val="0"/>
        <charset val="1"/>
      </rPr>
      <t xml:space="preserve">·</t>
    </r>
    <r>
      <rPr>
        <sz val="10"/>
        <color rgb="FF000000"/>
        <rFont val="WenQuanYi Zen Hei"/>
        <family val="2"/>
      </rPr>
      <t xml:space="preserve">갱신한다</t>
    </r>
    <r>
      <rPr>
        <sz val="10"/>
        <color rgb="FF000000"/>
        <rFont val="맑은 고딕"/>
        <family val="0"/>
        <charset val="1"/>
      </rPr>
      <t xml:space="preserve">·</t>
    </r>
    <r>
      <rPr>
        <sz val="10"/>
        <color rgb="FF000000"/>
        <rFont val="WenQuanYi Zen Hei"/>
        <family val="2"/>
      </rPr>
      <t xml:space="preserve">환류된다</t>
    </r>
    <r>
      <rPr>
        <sz val="10"/>
        <color rgb="FF000000"/>
        <rFont val="맑은 고딕"/>
        <family val="0"/>
        <charset val="1"/>
      </rPr>
      <t xml:space="preserve">·</t>
    </r>
    <r>
      <rPr>
        <sz val="10"/>
        <color rgb="FF000000"/>
        <rFont val="WenQuanYi Zen Hei"/>
        <family val="2"/>
      </rPr>
      <t xml:space="preserve">포함한다</t>
    </r>
    <r>
      <rPr>
        <sz val="10"/>
        <color rgb="FF000000"/>
        <rFont val="맑은 고딕"/>
        <family val="0"/>
        <charset val="1"/>
      </rPr>
      <t xml:space="preserve">·</t>
    </r>
    <r>
      <rPr>
        <sz val="10"/>
        <color rgb="FF000000"/>
        <rFont val="WenQuanYi Zen Hei"/>
        <family val="2"/>
      </rPr>
      <t xml:space="preserve">제공한다</t>
    </r>
    <r>
      <rPr>
        <sz val="10"/>
        <color rgb="FF000000"/>
        <rFont val="맑은 고딕"/>
        <family val="0"/>
        <charset val="1"/>
      </rPr>
      <t xml:space="preserve">·</t>
    </r>
    <r>
      <rPr>
        <sz val="10"/>
        <color rgb="FF000000"/>
        <rFont val="WenQuanYi Zen Hei"/>
        <family val="2"/>
      </rPr>
      <t xml:space="preserve">승인한다</t>
    </r>
    <r>
      <rPr>
        <sz val="10"/>
        <color rgb="FF000000"/>
        <rFont val="맑은 고딕"/>
        <family val="0"/>
        <charset val="1"/>
      </rPr>
      <t xml:space="preserve">·</t>
    </r>
    <r>
      <rPr>
        <sz val="10"/>
        <color rgb="FF000000"/>
        <rFont val="WenQuanYi Zen Hei"/>
        <family val="2"/>
      </rPr>
      <t xml:space="preserve">전달된다</t>
    </r>
    <r>
      <rPr>
        <sz val="10"/>
        <color rgb="FF000000"/>
        <rFont val="맑은 고딕"/>
        <family val="0"/>
        <charset val="1"/>
      </rPr>
      <t xml:space="preserve">). Arias</t>
    </r>
    <r>
      <rPr>
        <sz val="10"/>
        <color rgb="FF000000"/>
        <rFont val="WenQuanYi Zen Hei"/>
        <family val="2"/>
      </rPr>
      <t xml:space="preserve">의 서술문에서 동사를 추출했다</t>
    </r>
    <r>
      <rPr>
        <sz val="10"/>
        <color rgb="FF000000"/>
        <rFont val="맑은 고딕"/>
        <family val="0"/>
        <charset val="1"/>
      </rPr>
      <t xml:space="preserve">. </t>
    </r>
    <r>
      <rPr>
        <sz val="10"/>
        <color rgb="FF000000"/>
        <rFont val="WenQuanYi Zen Hei"/>
        <family val="2"/>
      </rPr>
      <t xml:space="preserve">첨부 문서의 동사 중 </t>
    </r>
    <r>
      <rPr>
        <sz val="10"/>
        <color rgb="FF000000"/>
        <rFont val="맑은 고딕"/>
        <family val="0"/>
        <charset val="1"/>
      </rPr>
      <t xml:space="preserve">"</t>
    </r>
    <r>
      <rPr>
        <sz val="10"/>
        <color rgb="FF000000"/>
        <rFont val="WenQuanYi Zen Hei"/>
        <family val="2"/>
      </rPr>
      <t xml:space="preserve">일치한다</t>
    </r>
    <r>
      <rPr>
        <sz val="10"/>
        <color rgb="FF000000"/>
        <rFont val="맑은 고딕"/>
        <family val="0"/>
        <charset val="1"/>
      </rPr>
      <t xml:space="preserve">·</t>
    </r>
    <r>
      <rPr>
        <sz val="10"/>
        <color rgb="FF000000"/>
        <rFont val="WenQuanYi Zen Hei"/>
        <family val="2"/>
      </rPr>
      <t xml:space="preserve">추적된다</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증빙된다</t>
    </r>
    <r>
      <rPr>
        <sz val="10"/>
        <color rgb="FF000000"/>
        <rFont val="맑은 고딕"/>
        <family val="0"/>
        <charset val="1"/>
      </rPr>
      <t xml:space="preserve">"</t>
    </r>
    <r>
      <rPr>
        <sz val="10"/>
        <color rgb="FF000000"/>
        <rFont val="WenQuanYi Zen Hei"/>
        <family val="2"/>
      </rPr>
      <t xml:space="preserve">는 품질층 차원</t>
    </r>
    <r>
      <rPr>
        <sz val="10"/>
        <color rgb="FF000000"/>
        <rFont val="맑은 고딕"/>
        <family val="0"/>
        <charset val="1"/>
      </rPr>
      <t xml:space="preserve">(</t>
    </r>
    <r>
      <rPr>
        <sz val="10"/>
        <color rgb="FF000000"/>
        <rFont val="WenQuanYi Zen Hei"/>
        <family val="2"/>
      </rPr>
      <t xml:space="preserve">정합성</t>
    </r>
    <r>
      <rPr>
        <sz val="10"/>
        <color rgb="FF000000"/>
        <rFont val="맑은 고딕"/>
        <family val="0"/>
        <charset val="1"/>
      </rPr>
      <t xml:space="preserve">·</t>
    </r>
    <r>
      <rPr>
        <sz val="10"/>
        <color rgb="FF000000"/>
        <rFont val="WenQuanYi Zen Hei"/>
        <family val="2"/>
      </rPr>
      <t xml:space="preserve">추적성</t>
    </r>
    <r>
      <rPr>
        <sz val="10"/>
        <color rgb="FF000000"/>
        <rFont val="맑은 고딕"/>
        <family val="0"/>
        <charset val="1"/>
      </rPr>
      <t xml:space="preserve">·</t>
    </r>
    <r>
      <rPr>
        <sz val="10"/>
        <color rgb="FF000000"/>
        <rFont val="WenQuanYi Zen Hei"/>
        <family val="2"/>
      </rPr>
      <t xml:space="preserve">증빙성</t>
    </r>
    <r>
      <rPr>
        <sz val="10"/>
        <color rgb="FF000000"/>
        <rFont val="맑은 고딕"/>
        <family val="0"/>
        <charset val="1"/>
      </rPr>
      <t xml:space="preserve">)</t>
    </r>
    <r>
      <rPr>
        <sz val="10"/>
        <color rgb="FF000000"/>
        <rFont val="WenQuanYi Zen Hei"/>
        <family val="2"/>
      </rPr>
      <t xml:space="preserve">과 겹쳐 품질층으로 옮겼다</t>
    </r>
    <r>
      <rPr>
        <sz val="10"/>
        <color rgb="FF000000"/>
        <rFont val="맑은 고딕"/>
        <family val="0"/>
        <charset val="1"/>
      </rPr>
      <t xml:space="preserve">.</t>
    </r>
  </si>
  <si>
    <t xml:space="preserve">A11 / A12 / A14 / A16 / A23 / A25 / A29 / A30</t>
  </si>
  <si>
    <r>
      <rPr>
        <sz val="10"/>
        <color rgb="FF000000"/>
        <rFont val="WenQuanYi Zen Hei"/>
        <family val="2"/>
      </rPr>
      <t xml:space="preserve">동사 분류와 이름은 연구자 정의</t>
    </r>
    <r>
      <rPr>
        <sz val="10"/>
        <color rgb="FF000000"/>
        <rFont val="맑은 고딕"/>
        <family val="0"/>
        <charset val="1"/>
      </rPr>
      <t xml:space="preserve">. </t>
    </r>
    <r>
      <rPr>
        <sz val="10"/>
        <color rgb="FF000000"/>
        <rFont val="WenQuanYi Zen Hei"/>
        <family val="2"/>
      </rPr>
      <t xml:space="preserve">원문 동사는 관계동사 시트에 영문 표현으로 병기</t>
    </r>
    <r>
      <rPr>
        <sz val="10"/>
        <color rgb="FF000000"/>
        <rFont val="맑은 고딕"/>
        <family val="0"/>
        <charset val="1"/>
      </rPr>
      <t xml:space="preserve">.</t>
    </r>
  </si>
  <si>
    <t xml:space="preserve">D08</t>
  </si>
  <si>
    <t xml:space="preserve">정합성</t>
  </si>
  <si>
    <r>
      <rPr>
        <sz val="10"/>
        <color rgb="FF000000"/>
        <rFont val="WenQuanYi Zen Hei"/>
        <family val="2"/>
      </rPr>
      <t xml:space="preserve">연구자 정의 </t>
    </r>
    <r>
      <rPr>
        <sz val="10"/>
        <color rgb="FF000000"/>
        <rFont val="맑은 고딕"/>
        <family val="0"/>
        <charset val="1"/>
      </rPr>
      <t xml:space="preserve">(</t>
    </r>
    <r>
      <rPr>
        <sz val="10"/>
        <color rgb="FF000000"/>
        <rFont val="WenQuanYi Zen Hei"/>
        <family val="2"/>
      </rPr>
      <t xml:space="preserve">첨부 문서</t>
    </r>
    <r>
      <rPr>
        <sz val="10"/>
        <color rgb="FF000000"/>
        <rFont val="맑은 고딕"/>
        <family val="0"/>
        <charset val="1"/>
      </rPr>
      <t xml:space="preserve">)</t>
    </r>
  </si>
  <si>
    <r>
      <rPr>
        <sz val="10"/>
        <color rgb="FF000000"/>
        <rFont val="WenQuanYi Zen Hei"/>
        <family val="2"/>
      </rPr>
      <t xml:space="preserve">선행 산출물과 후행 의사결정이 모순 없이 일치하는 정도</t>
    </r>
    <r>
      <rPr>
        <sz val="10"/>
        <color rgb="FF000000"/>
        <rFont val="맑은 고딕"/>
        <family val="0"/>
        <charset val="1"/>
      </rPr>
      <t xml:space="preserve">.</t>
    </r>
  </si>
  <si>
    <t xml:space="preserve">A33 / A14 / A16 / A12</t>
  </si>
  <si>
    <r>
      <rPr>
        <sz val="10"/>
        <color rgb="FF000000"/>
        <rFont val="WenQuanYi Zen Hei"/>
        <family val="2"/>
      </rPr>
      <t xml:space="preserve">두 논문에 </t>
    </r>
    <r>
      <rPr>
        <sz val="10"/>
        <color rgb="FF000000"/>
        <rFont val="맑은 고딕"/>
        <family val="0"/>
        <charset val="1"/>
      </rPr>
      <t xml:space="preserve">"</t>
    </r>
    <r>
      <rPr>
        <sz val="10"/>
        <color rgb="FF000000"/>
        <rFont val="WenQuanYi Zen Hei"/>
        <family val="2"/>
      </rPr>
      <t xml:space="preserve">일관성</t>
    </r>
    <r>
      <rPr>
        <sz val="10"/>
        <color rgb="FF000000"/>
        <rFont val="맑은 고딕"/>
        <family val="0"/>
        <charset val="1"/>
      </rPr>
      <t xml:space="preserve">"</t>
    </r>
    <r>
      <rPr>
        <sz val="10"/>
        <color rgb="FF000000"/>
        <rFont val="WenQuanYi Zen Hei"/>
        <family val="2"/>
      </rPr>
      <t xml:space="preserve">을 직접 다룬 문장은 없고 </t>
    </r>
    <r>
      <rPr>
        <sz val="10"/>
        <color rgb="FF000000"/>
        <rFont val="맑은 고딕"/>
        <family val="0"/>
        <charset val="1"/>
      </rPr>
      <t xml:space="preserve">"</t>
    </r>
    <r>
      <rPr>
        <sz val="10"/>
        <color rgb="FF000000"/>
        <rFont val="WenQuanYi Zen Hei"/>
        <family val="2"/>
      </rPr>
      <t xml:space="preserve">부합</t>
    </r>
    <r>
      <rPr>
        <sz val="10"/>
        <color rgb="FF000000"/>
        <rFont val="맑은 고딕"/>
        <family val="0"/>
        <charset val="1"/>
      </rPr>
      <t xml:space="preserve">·</t>
    </r>
    <r>
      <rPr>
        <sz val="10"/>
        <color rgb="FF000000"/>
        <rFont val="WenQuanYi Zen Hei"/>
        <family val="2"/>
      </rPr>
      <t xml:space="preserve">근거</t>
    </r>
    <r>
      <rPr>
        <sz val="10"/>
        <color rgb="FF000000"/>
        <rFont val="맑은 고딕"/>
        <family val="0"/>
        <charset val="1"/>
      </rPr>
      <t xml:space="preserve">·</t>
    </r>
    <r>
      <rPr>
        <sz val="10"/>
        <color rgb="FF000000"/>
        <rFont val="WenQuanYi Zen Hei"/>
        <family val="2"/>
      </rPr>
      <t xml:space="preserve">도출</t>
    </r>
    <r>
      <rPr>
        <sz val="10"/>
        <color rgb="FF000000"/>
        <rFont val="맑은 고딕"/>
        <family val="0"/>
        <charset val="1"/>
      </rPr>
      <t xml:space="preserve">" </t>
    </r>
    <r>
      <rPr>
        <sz val="10"/>
        <color rgb="FF000000"/>
        <rFont val="WenQuanYi Zen Hei"/>
        <family val="2"/>
      </rPr>
      <t xml:space="preserve">서술이 간접 근거</t>
    </r>
    <r>
      <rPr>
        <sz val="10"/>
        <color rgb="FF000000"/>
        <rFont val="맑은 고딕"/>
        <family val="0"/>
        <charset val="1"/>
      </rPr>
      <t xml:space="preserve">. </t>
    </r>
    <r>
      <rPr>
        <sz val="10"/>
        <color rgb="FF000000"/>
        <rFont val="WenQuanYi Zen Hei"/>
        <family val="2"/>
      </rPr>
      <t xml:space="preserve">외부 후보</t>
    </r>
    <r>
      <rPr>
        <sz val="10"/>
        <color rgb="FF000000"/>
        <rFont val="맑은 고딕"/>
        <family val="0"/>
        <charset val="1"/>
      </rPr>
      <t xml:space="preserve">: S03, S05, S06 (</t>
    </r>
    <r>
      <rPr>
        <sz val="10"/>
        <color rgb="FF000000"/>
        <rFont val="WenQuanYi Zen Hei"/>
        <family val="2"/>
      </rPr>
      <t xml:space="preserve">원문 미확인</t>
    </r>
    <r>
      <rPr>
        <sz val="10"/>
        <color rgb="FF000000"/>
        <rFont val="맑은 고딕"/>
        <family val="0"/>
        <charset val="1"/>
      </rPr>
      <t xml:space="preserve">).</t>
    </r>
  </si>
  <si>
    <t xml:space="preserve">D09</t>
  </si>
  <si>
    <t xml:space="preserve">추적성</t>
  </si>
  <si>
    <r>
      <rPr>
        <sz val="10"/>
        <color rgb="FF000000"/>
        <rFont val="WenQuanYi Zen Hei"/>
        <family val="2"/>
      </rPr>
      <t xml:space="preserve">후행 결과에서 선행 근거를 역추적할 수 있는 정도</t>
    </r>
    <r>
      <rPr>
        <sz val="10"/>
        <color rgb="FF000000"/>
        <rFont val="맑은 고딕"/>
        <family val="0"/>
        <charset val="1"/>
      </rPr>
      <t xml:space="preserve">.</t>
    </r>
  </si>
  <si>
    <r>
      <rPr>
        <sz val="10"/>
        <color rgb="FF000000"/>
        <rFont val="WenQuanYi Zen Hei"/>
        <family val="2"/>
      </rPr>
      <t xml:space="preserve">두 논문에 직접 근거 없음</t>
    </r>
    <r>
      <rPr>
        <sz val="10"/>
        <color rgb="FF000000"/>
        <rFont val="맑은 고딕"/>
        <family val="0"/>
        <charset val="1"/>
      </rPr>
      <t xml:space="preserve">(</t>
    </r>
    <r>
      <rPr>
        <sz val="10"/>
        <color rgb="FF000000"/>
        <rFont val="WenQuanYi Zen Hei"/>
        <family val="2"/>
      </rPr>
      <t xml:space="preserve">원문 검색 확인</t>
    </r>
    <r>
      <rPr>
        <sz val="10"/>
        <color rgb="FF000000"/>
        <rFont val="맑은 고딕"/>
        <family val="0"/>
        <charset val="1"/>
      </rPr>
      <t xml:space="preserve">). </t>
    </r>
    <r>
      <rPr>
        <sz val="10"/>
        <color rgb="FF000000"/>
        <rFont val="WenQuanYi Zen Hei"/>
        <family val="2"/>
      </rPr>
      <t xml:space="preserve">외부 후보</t>
    </r>
    <r>
      <rPr>
        <sz val="10"/>
        <color rgb="FF000000"/>
        <rFont val="맑은 고딕"/>
        <family val="0"/>
        <charset val="1"/>
      </rPr>
      <t xml:space="preserve">: S01, S02 (</t>
    </r>
    <r>
      <rPr>
        <sz val="10"/>
        <color rgb="FF000000"/>
        <rFont val="WenQuanYi Zen Hei"/>
        <family val="2"/>
      </rPr>
      <t xml:space="preserve">원문 미확인</t>
    </r>
    <r>
      <rPr>
        <sz val="10"/>
        <color rgb="FF000000"/>
        <rFont val="맑은 고딕"/>
        <family val="0"/>
        <charset val="1"/>
      </rPr>
      <t xml:space="preserve">).</t>
    </r>
  </si>
  <si>
    <t xml:space="preserve">D10</t>
  </si>
  <si>
    <t xml:space="preserve">증빙성</t>
  </si>
  <si>
    <r>
      <rPr>
        <sz val="10"/>
        <color rgb="FF000000"/>
        <rFont val="WenQuanYi Zen Hei"/>
        <family val="2"/>
      </rPr>
      <t xml:space="preserve">연결을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승인이 존재하는 정도</t>
    </r>
    <r>
      <rPr>
        <sz val="10"/>
        <color rgb="FF000000"/>
        <rFont val="맑은 고딕"/>
        <family val="0"/>
        <charset val="1"/>
      </rPr>
      <t xml:space="preserve">.</t>
    </r>
  </si>
  <si>
    <t xml:space="preserve">B17 / A41 / A13 / A37</t>
  </si>
  <si>
    <r>
      <rPr>
        <sz val="10"/>
        <color rgb="FF000000"/>
        <rFont val="맑은 고딕"/>
        <family val="0"/>
        <charset val="1"/>
      </rPr>
      <t xml:space="preserve">Białas</t>
    </r>
    <r>
      <rPr>
        <sz val="10"/>
        <color rgb="FF000000"/>
        <rFont val="WenQuanYi Zen Hei"/>
        <family val="2"/>
      </rPr>
      <t xml:space="preserve">가 기록을 </t>
    </r>
    <r>
      <rPr>
        <sz val="10"/>
        <color rgb="FF000000"/>
        <rFont val="맑은 고딕"/>
        <family val="0"/>
        <charset val="1"/>
      </rPr>
      <t xml:space="preserve">"</t>
    </r>
    <r>
      <rPr>
        <sz val="10"/>
        <color rgb="FF000000"/>
        <rFont val="WenQuanYi Zen Hei"/>
        <family val="2"/>
      </rPr>
      <t xml:space="preserve">증거</t>
    </r>
    <r>
      <rPr>
        <sz val="10"/>
        <color rgb="FF000000"/>
        <rFont val="맑은 고딕"/>
        <family val="0"/>
        <charset val="1"/>
      </rPr>
      <t xml:space="preserve">"</t>
    </r>
    <r>
      <rPr>
        <sz val="10"/>
        <color rgb="FF000000"/>
        <rFont val="WenQuanYi Zen Hei"/>
        <family val="2"/>
      </rPr>
      <t xml:space="preserve">로 쓴다고 서술</t>
    </r>
    <r>
      <rPr>
        <sz val="10"/>
        <color rgb="FF000000"/>
        <rFont val="맑은 고딕"/>
        <family val="0"/>
        <charset val="1"/>
      </rPr>
      <t xml:space="preserve">(B17). </t>
    </r>
    <r>
      <rPr>
        <sz val="10"/>
        <color rgb="FF000000"/>
        <rFont val="WenQuanYi Zen Hei"/>
        <family val="2"/>
      </rPr>
      <t xml:space="preserve">외부 후보</t>
    </r>
    <r>
      <rPr>
        <sz val="10"/>
        <color rgb="FF000000"/>
        <rFont val="맑은 고딕"/>
        <family val="0"/>
        <charset val="1"/>
      </rPr>
      <t xml:space="preserve">: S11, S12 (</t>
    </r>
    <r>
      <rPr>
        <sz val="10"/>
        <color rgb="FF000000"/>
        <rFont val="WenQuanYi Zen Hei"/>
        <family val="2"/>
      </rPr>
      <t xml:space="preserve">표준</t>
    </r>
    <r>
      <rPr>
        <sz val="10"/>
        <color rgb="FF000000"/>
        <rFont val="맑은 고딕"/>
        <family val="0"/>
        <charset val="1"/>
      </rPr>
      <t xml:space="preserve">, </t>
    </r>
    <r>
      <rPr>
        <sz val="10"/>
        <color rgb="FF000000"/>
        <rFont val="WenQuanYi Zen Hei"/>
        <family val="2"/>
      </rPr>
      <t xml:space="preserve">원문 미확인</t>
    </r>
    <r>
      <rPr>
        <sz val="10"/>
        <color rgb="FF000000"/>
        <rFont val="맑은 고딕"/>
        <family val="0"/>
        <charset val="1"/>
      </rPr>
      <t xml:space="preserve">).</t>
    </r>
  </si>
  <si>
    <t xml:space="preserve">D11</t>
  </si>
  <si>
    <t xml:space="preserve">책임성</t>
  </si>
  <si>
    <r>
      <rPr>
        <sz val="10"/>
        <color rgb="FF000000"/>
        <rFont val="WenQuanYi Zen Hei"/>
        <family val="2"/>
      </rPr>
      <t xml:space="preserve">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 책임이 명확한 정도</t>
    </r>
    <r>
      <rPr>
        <sz val="10"/>
        <color rgb="FF000000"/>
        <rFont val="맑은 고딕"/>
        <family val="0"/>
        <charset val="1"/>
      </rPr>
      <t xml:space="preserve">.</t>
    </r>
  </si>
  <si>
    <t xml:space="preserve">A49 / A50 / A10</t>
  </si>
  <si>
    <r>
      <rPr>
        <sz val="10"/>
        <color rgb="FF000000"/>
        <rFont val="맑은 고딕"/>
        <family val="0"/>
        <charset val="1"/>
      </rPr>
      <t xml:space="preserve">Arias</t>
    </r>
    <r>
      <rPr>
        <sz val="10"/>
        <color rgb="FF000000"/>
        <rFont val="WenQuanYi Zen Hei"/>
        <family val="2"/>
      </rPr>
      <t xml:space="preserve">의 책임은 프로세스 단위</t>
    </r>
    <r>
      <rPr>
        <sz val="10"/>
        <color rgb="FF000000"/>
        <rFont val="맑은 고딕"/>
        <family val="0"/>
        <charset val="1"/>
      </rPr>
      <t xml:space="preserve">. </t>
    </r>
    <r>
      <rPr>
        <sz val="10"/>
        <color rgb="FF000000"/>
        <rFont val="WenQuanYi Zen Hei"/>
        <family val="2"/>
      </rPr>
      <t xml:space="preserve">연결 단위 책임은 연구자의 확장</t>
    </r>
    <r>
      <rPr>
        <sz val="10"/>
        <color rgb="FF000000"/>
        <rFont val="맑은 고딕"/>
        <family val="0"/>
        <charset val="1"/>
      </rPr>
      <t xml:space="preserve">. </t>
    </r>
    <r>
      <rPr>
        <sz val="10"/>
        <color rgb="FF000000"/>
        <rFont val="WenQuanYi Zen Hei"/>
        <family val="2"/>
      </rPr>
      <t xml:space="preserve">외부 후보</t>
    </r>
    <r>
      <rPr>
        <sz val="10"/>
        <color rgb="FF000000"/>
        <rFont val="맑은 고딕"/>
        <family val="0"/>
        <charset val="1"/>
      </rPr>
      <t xml:space="preserve">: S07.</t>
    </r>
  </si>
  <si>
    <t xml:space="preserve">D12</t>
  </si>
  <si>
    <t xml:space="preserve">최신성</t>
  </si>
  <si>
    <r>
      <rPr>
        <sz val="10"/>
        <color rgb="FF000000"/>
        <rFont val="WenQuanYi Zen Hei"/>
        <family val="2"/>
      </rPr>
      <t xml:space="preserve">변경된 정보가 관련 프로세스와 문서에 적시에 반영되는 정도</t>
    </r>
    <r>
      <rPr>
        <sz val="10"/>
        <color rgb="FF000000"/>
        <rFont val="맑은 고딕"/>
        <family val="0"/>
        <charset val="1"/>
      </rPr>
      <t xml:space="preserve">.</t>
    </r>
  </si>
  <si>
    <t xml:space="preserve">A41 / A51 / A52 / A53 / A28 / A27</t>
  </si>
  <si>
    <r>
      <rPr>
        <sz val="10"/>
        <color rgb="FF000000"/>
        <rFont val="맑은 고딕"/>
        <family val="0"/>
        <charset val="1"/>
      </rPr>
      <t xml:space="preserve">"</t>
    </r>
    <r>
      <rPr>
        <sz val="10"/>
        <color rgb="FF000000"/>
        <rFont val="WenQuanYi Zen Hei"/>
        <family val="2"/>
      </rPr>
      <t xml:space="preserve">적시</t>
    </r>
    <r>
      <rPr>
        <sz val="10"/>
        <color rgb="FF000000"/>
        <rFont val="맑은 고딕"/>
        <family val="0"/>
        <charset val="1"/>
      </rPr>
      <t xml:space="preserve">"</t>
    </r>
    <r>
      <rPr>
        <sz val="10"/>
        <color rgb="FF000000"/>
        <rFont val="WenQuanYi Zen Hei"/>
        <family val="2"/>
      </rPr>
      <t xml:space="preserve">라는 표현은 논문에 없음</t>
    </r>
    <r>
      <rPr>
        <sz val="10"/>
        <color rgb="FF000000"/>
        <rFont val="맑은 고딕"/>
        <family val="0"/>
        <charset val="1"/>
      </rPr>
      <t xml:space="preserve">. </t>
    </r>
    <r>
      <rPr>
        <sz val="10"/>
        <color rgb="FF000000"/>
        <rFont val="WenQuanYi Zen Hei"/>
        <family val="2"/>
      </rPr>
      <t xml:space="preserve">외부 후보</t>
    </r>
    <r>
      <rPr>
        <sz val="10"/>
        <color rgb="FF000000"/>
        <rFont val="맑은 고딕"/>
        <family val="0"/>
        <charset val="1"/>
      </rPr>
      <t xml:space="preserve">: S03, S04, S05 (</t>
    </r>
    <r>
      <rPr>
        <sz val="10"/>
        <color rgb="FF000000"/>
        <rFont val="WenQuanYi Zen Hei"/>
        <family val="2"/>
      </rPr>
      <t xml:space="preserve">원문 미확인</t>
    </r>
    <r>
      <rPr>
        <sz val="10"/>
        <color rgb="FF000000"/>
        <rFont val="맑은 고딕"/>
        <family val="0"/>
        <charset val="1"/>
      </rPr>
      <t xml:space="preserve">).</t>
    </r>
  </si>
  <si>
    <t xml:space="preserve">D13</t>
  </si>
  <si>
    <t xml:space="preserve">환류폐쇄성</t>
  </si>
  <si>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평가</t>
    </r>
    <r>
      <rPr>
        <sz val="10"/>
        <color rgb="FF000000"/>
        <rFont val="맑은 고딕"/>
        <family val="0"/>
        <charset val="1"/>
      </rPr>
      <t xml:space="preserve">·</t>
    </r>
    <r>
      <rPr>
        <sz val="10"/>
        <color rgb="FF000000"/>
        <rFont val="WenQuanYi Zen Hei"/>
        <family val="2"/>
      </rPr>
      <t xml:space="preserve">사고 결과가 개선과 재수정까지 완료되는 정도</t>
    </r>
    <r>
      <rPr>
        <sz val="10"/>
        <color rgb="FF000000"/>
        <rFont val="맑은 고딕"/>
        <family val="0"/>
        <charset val="1"/>
      </rPr>
      <t xml:space="preserve">. </t>
    </r>
    <r>
      <rPr>
        <sz val="10"/>
        <color rgb="FF000000"/>
        <rFont val="WenQuanYi Zen Hei"/>
        <family val="2"/>
      </rPr>
      <t xml:space="preserve">환류 연결 </t>
    </r>
    <r>
      <rPr>
        <sz val="10"/>
        <color rgb="FF000000"/>
        <rFont val="맑은 고딕"/>
        <family val="0"/>
        <charset val="1"/>
      </rPr>
      <t xml:space="preserve">8</t>
    </r>
    <r>
      <rPr>
        <sz val="10"/>
        <color rgb="FF000000"/>
        <rFont val="WenQuanYi Zen Hei"/>
        <family val="2"/>
      </rPr>
      <t xml:space="preserve">개</t>
    </r>
    <r>
      <rPr>
        <sz val="10"/>
        <color rgb="FF000000"/>
        <rFont val="맑은 고딕"/>
        <family val="0"/>
        <charset val="1"/>
      </rPr>
      <t xml:space="preserve">(L16, L18, L19, L20, L23, L24, L25, L26)</t>
    </r>
    <r>
      <rPr>
        <sz val="10"/>
        <color rgb="FF000000"/>
        <rFont val="WenQuanYi Zen Hei"/>
        <family val="2"/>
      </rPr>
      <t xml:space="preserve">에만 적용</t>
    </r>
    <r>
      <rPr>
        <sz val="10"/>
        <color rgb="FF000000"/>
        <rFont val="맑은 고딕"/>
        <family val="0"/>
        <charset val="1"/>
      </rPr>
      <t xml:space="preserve">.</t>
    </r>
  </si>
  <si>
    <t xml:space="preserve">A23 / A25 / A46 / A29 / A53 / A54 / B18</t>
  </si>
  <si>
    <r>
      <rPr>
        <sz val="10"/>
        <color rgb="FF000000"/>
        <rFont val="WenQuanYi Zen Hei"/>
        <family val="2"/>
      </rPr>
      <t xml:space="preserve">환류 연결의 선정 기준</t>
    </r>
    <r>
      <rPr>
        <sz val="10"/>
        <color rgb="FF000000"/>
        <rFont val="맑은 고딕"/>
        <family val="0"/>
        <charset val="1"/>
      </rPr>
      <t xml:space="preserve">(</t>
    </r>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평가</t>
    </r>
    <r>
      <rPr>
        <sz val="10"/>
        <color rgb="FF000000"/>
        <rFont val="맑은 고딕"/>
        <family val="0"/>
        <charset val="1"/>
      </rPr>
      <t xml:space="preserve">·</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변경 결과가 되돌아가는 연결</t>
    </r>
    <r>
      <rPr>
        <sz val="10"/>
        <color rgb="FF000000"/>
        <rFont val="맑은 고딕"/>
        <family val="0"/>
        <charset val="1"/>
      </rPr>
      <t xml:space="preserve">)</t>
    </r>
    <r>
      <rPr>
        <sz val="10"/>
        <color rgb="FF000000"/>
        <rFont val="WenQuanYi Zen Hei"/>
        <family val="2"/>
      </rPr>
      <t xml:space="preserve">은 연구자 분류</t>
    </r>
    <r>
      <rPr>
        <sz val="10"/>
        <color rgb="FF000000"/>
        <rFont val="맑은 고딕"/>
        <family val="0"/>
        <charset val="1"/>
      </rPr>
      <t xml:space="preserve">. </t>
    </r>
    <r>
      <rPr>
        <sz val="10"/>
        <color rgb="FF000000"/>
        <rFont val="WenQuanYi Zen Hei"/>
        <family val="2"/>
      </rPr>
      <t xml:space="preserve">외부 후보</t>
    </r>
    <r>
      <rPr>
        <sz val="10"/>
        <color rgb="FF000000"/>
        <rFont val="맑은 고딕"/>
        <family val="0"/>
        <charset val="1"/>
      </rPr>
      <t xml:space="preserve">: S08.</t>
    </r>
  </si>
  <si>
    <t xml:space="preserve">D14</t>
  </si>
  <si>
    <r>
      <rPr>
        <b val="true"/>
        <sz val="10"/>
        <color rgb="FF000000"/>
        <rFont val="WenQuanYi Zen Hei"/>
        <family val="2"/>
      </rPr>
      <t xml:space="preserve">증거유형 </t>
    </r>
    <r>
      <rPr>
        <b val="true"/>
        <sz val="10"/>
        <color rgb="FF000000"/>
        <rFont val="맑은 고딕"/>
        <family val="0"/>
        <charset val="1"/>
      </rPr>
      <t xml:space="preserve">E1/E2/E3</t>
    </r>
  </si>
  <si>
    <r>
      <rPr>
        <sz val="10"/>
        <color rgb="FF000000"/>
        <rFont val="맑은 고딕"/>
        <family val="0"/>
        <charset val="1"/>
      </rPr>
      <t xml:space="preserve">E1=</t>
    </r>
    <r>
      <rPr>
        <sz val="10"/>
        <color rgb="FF000000"/>
        <rFont val="WenQuanYi Zen Hei"/>
        <family val="2"/>
      </rPr>
      <t xml:space="preserve">원문이 </t>
    </r>
    <r>
      <rPr>
        <sz val="10"/>
        <color rgb="FF000000"/>
        <rFont val="맑은 고딕"/>
        <family val="0"/>
        <charset val="1"/>
      </rPr>
      <t xml:space="preserve">S→T </t>
    </r>
    <r>
      <rPr>
        <sz val="10"/>
        <color rgb="FF000000"/>
        <rFont val="WenQuanYi Zen Hei"/>
        <family val="2"/>
      </rPr>
      <t xml:space="preserve">연결을 직접 서술</t>
    </r>
    <r>
      <rPr>
        <sz val="10"/>
        <color rgb="FF000000"/>
        <rFont val="맑은 고딕"/>
        <family val="0"/>
        <charset val="1"/>
      </rPr>
      <t xml:space="preserve">(</t>
    </r>
    <r>
      <rPr>
        <sz val="10"/>
        <color rgb="FF000000"/>
        <rFont val="WenQuanYi Zen Hei"/>
        <family val="2"/>
      </rPr>
      <t xml:space="preserve">인용만으로 연결의 존재와 방향이 성립</t>
    </r>
    <r>
      <rPr>
        <sz val="10"/>
        <color rgb="FF000000"/>
        <rFont val="맑은 고딕"/>
        <family val="0"/>
        <charset val="1"/>
      </rPr>
      <t xml:space="preserve">). E2=</t>
    </r>
    <r>
      <rPr>
        <sz val="10"/>
        <color rgb="FF000000"/>
        <rFont val="WenQuanYi Zen Hei"/>
        <family val="2"/>
      </rPr>
      <t xml:space="preserve">원문이 연결을 서술하나 출발 또는 도착을 연구자가 특정</t>
    </r>
    <r>
      <rPr>
        <sz val="10"/>
        <color rgb="FF000000"/>
        <rFont val="맑은 고딕"/>
        <family val="0"/>
        <charset val="1"/>
      </rPr>
      <t xml:space="preserve">·</t>
    </r>
    <r>
      <rPr>
        <sz val="10"/>
        <color rgb="FF000000"/>
        <rFont val="WenQuanYi Zen Hei"/>
        <family val="2"/>
      </rPr>
      <t xml:space="preserve">보완</t>
    </r>
    <r>
      <rPr>
        <sz val="10"/>
        <color rgb="FF000000"/>
        <rFont val="맑은 고딕"/>
        <family val="0"/>
        <charset val="1"/>
      </rPr>
      <t xml:space="preserve">. E3=</t>
    </r>
    <r>
      <rPr>
        <sz val="10"/>
        <color rgb="FF000000"/>
        <rFont val="WenQuanYi Zen Hei"/>
        <family val="2"/>
      </rPr>
      <t xml:space="preserve">원문에 연결 서술이 없고 연구자 가정 또는 </t>
    </r>
    <r>
      <rPr>
        <sz val="10"/>
        <color rgb="FF000000"/>
        <rFont val="맑은 고딕"/>
        <family val="0"/>
        <charset val="1"/>
      </rPr>
      <t xml:space="preserve">Białas </t>
    </r>
    <r>
      <rPr>
        <sz val="10"/>
        <color rgb="FF000000"/>
        <rFont val="WenQuanYi Zen Hei"/>
        <family val="2"/>
      </rPr>
      <t xml:space="preserve">유추에 의존</t>
    </r>
    <r>
      <rPr>
        <sz val="10"/>
        <color rgb="FF000000"/>
        <rFont val="맑은 고딕"/>
        <family val="0"/>
        <charset val="1"/>
      </rPr>
      <t xml:space="preserve">. </t>
    </r>
    <r>
      <rPr>
        <sz val="10"/>
        <color rgb="FF000000"/>
        <rFont val="WenQuanYi Zen Hei"/>
        <family val="2"/>
      </rPr>
      <t xml:space="preserve">각 연결에 인용문과 연구자 의견을 분리해 기록한다</t>
    </r>
    <r>
      <rPr>
        <sz val="10"/>
        <color rgb="FF000000"/>
        <rFont val="맑은 고딕"/>
        <family val="0"/>
        <charset val="1"/>
      </rPr>
      <t xml:space="preserve">.</t>
    </r>
  </si>
  <si>
    <r>
      <rPr>
        <sz val="10"/>
        <color rgb="FF000000"/>
        <rFont val="WenQuanYi Zen Hei"/>
        <family val="2"/>
      </rPr>
      <t xml:space="preserve">연결의 증거유형</t>
    </r>
    <r>
      <rPr>
        <sz val="10"/>
        <color rgb="FF000000"/>
        <rFont val="맑은 고딕"/>
        <family val="0"/>
        <charset val="1"/>
      </rPr>
      <t xml:space="preserve">. </t>
    </r>
    <r>
      <rPr>
        <sz val="10"/>
        <color rgb="FF000000"/>
        <rFont val="WenQuanYi Zen Hei"/>
        <family val="2"/>
      </rPr>
      <t xml:space="preserve">품질 차원의 근거 등급</t>
    </r>
    <r>
      <rPr>
        <sz val="10"/>
        <color rgb="FF000000"/>
        <rFont val="맑은 고딕"/>
        <family val="0"/>
        <charset val="1"/>
      </rPr>
      <t xml:space="preserve">(T1/T2/T3)</t>
    </r>
    <r>
      <rPr>
        <sz val="10"/>
        <color rgb="FF000000"/>
        <rFont val="WenQuanYi Zen Hei"/>
        <family val="2"/>
      </rPr>
      <t xml:space="preserve">과 다르다</t>
    </r>
    <r>
      <rPr>
        <sz val="10"/>
        <color rgb="FF000000"/>
        <rFont val="맑은 고딕"/>
        <family val="0"/>
        <charset val="1"/>
      </rPr>
      <t xml:space="preserve">.</t>
    </r>
  </si>
  <si>
    <t xml:space="preserve">D15</t>
  </si>
  <si>
    <r>
      <rPr>
        <b val="true"/>
        <sz val="10"/>
        <color rgb="FF000000"/>
        <rFont val="WenQuanYi Zen Hei"/>
        <family val="2"/>
      </rPr>
      <t xml:space="preserve">품질 차원 근거 등급 </t>
    </r>
    <r>
      <rPr>
        <b val="true"/>
        <sz val="10"/>
        <color rgb="FF000000"/>
        <rFont val="맑은 고딕"/>
        <family val="0"/>
        <charset val="1"/>
      </rPr>
      <t xml:space="preserve">T1/T2/T3</t>
    </r>
  </si>
  <si>
    <r>
      <rPr>
        <sz val="10"/>
        <color rgb="FF000000"/>
        <rFont val="맑은 고딕"/>
        <family val="0"/>
        <charset val="1"/>
      </rPr>
      <t xml:space="preserve">T1=Arias·Białas </t>
    </r>
    <r>
      <rPr>
        <sz val="10"/>
        <color rgb="FF000000"/>
        <rFont val="WenQuanYi Zen Hei"/>
        <family val="2"/>
      </rPr>
      <t xml:space="preserve">원문에서 문장 단위로 검증한 인용</t>
    </r>
    <r>
      <rPr>
        <sz val="10"/>
        <color rgb="FF000000"/>
        <rFont val="맑은 고딕"/>
        <family val="0"/>
        <charset val="1"/>
      </rPr>
      <t xml:space="preserve">. T2=</t>
    </r>
    <r>
      <rPr>
        <sz val="10"/>
        <color rgb="FF000000"/>
        <rFont val="WenQuanYi Zen Hei"/>
        <family val="2"/>
      </rPr>
      <t xml:space="preserve">외부 학술 문헌</t>
    </r>
    <r>
      <rPr>
        <sz val="10"/>
        <color rgb="FF000000"/>
        <rFont val="맑은 고딕"/>
        <family val="0"/>
        <charset val="1"/>
      </rPr>
      <t xml:space="preserve">(</t>
    </r>
    <r>
      <rPr>
        <sz val="10"/>
        <color rgb="FF000000"/>
        <rFont val="WenQuanYi Zen Hei"/>
        <family val="2"/>
      </rPr>
      <t xml:space="preserve">서지만 확인</t>
    </r>
    <r>
      <rPr>
        <sz val="10"/>
        <color rgb="FF000000"/>
        <rFont val="맑은 고딕"/>
        <family val="0"/>
        <charset val="1"/>
      </rPr>
      <t xml:space="preserve">, </t>
    </r>
    <r>
      <rPr>
        <sz val="10"/>
        <color rgb="FF000000"/>
        <rFont val="WenQuanYi Zen Hei"/>
        <family val="2"/>
      </rPr>
      <t xml:space="preserve">원문 문장은 연구자가 확인해야 함</t>
    </r>
    <r>
      <rPr>
        <sz val="10"/>
        <color rgb="FF000000"/>
        <rFont val="맑은 고딕"/>
        <family val="0"/>
        <charset val="1"/>
      </rPr>
      <t xml:space="preserve">). T3=</t>
    </r>
    <r>
      <rPr>
        <sz val="10"/>
        <color rgb="FF000000"/>
        <rFont val="WenQuanYi Zen Hei"/>
        <family val="2"/>
      </rPr>
      <t xml:space="preserve">연구자 정의</t>
    </r>
    <r>
      <rPr>
        <sz val="10"/>
        <color rgb="FF000000"/>
        <rFont val="맑은 고딕"/>
        <family val="0"/>
        <charset val="1"/>
      </rPr>
      <t xml:space="preserve">.</t>
    </r>
  </si>
  <si>
    <r>
      <rPr>
        <sz val="10"/>
        <color rgb="FF000000"/>
        <rFont val="WenQuanYi Zen Hei"/>
        <family val="2"/>
      </rPr>
      <t xml:space="preserve">외부 문헌은 이 세션에서 열람하지 못했다</t>
    </r>
    <r>
      <rPr>
        <sz val="10"/>
        <color rgb="FF000000"/>
        <rFont val="맑은 고딕"/>
        <family val="0"/>
        <charset val="1"/>
      </rPr>
      <t xml:space="preserve">.</t>
    </r>
  </si>
  <si>
    <t xml:space="preserve">D16</t>
  </si>
  <si>
    <r>
      <rPr>
        <b val="true"/>
        <sz val="10"/>
        <color rgb="FF000000"/>
        <rFont val="WenQuanYi Zen Hei"/>
        <family val="2"/>
      </rPr>
      <t xml:space="preserve">연결 영역 ①</t>
    </r>
    <r>
      <rPr>
        <b val="true"/>
        <sz val="10"/>
        <color rgb="FF000000"/>
        <rFont val="맑은 고딕"/>
        <family val="0"/>
        <charset val="1"/>
      </rPr>
      <t xml:space="preserve">~⑤</t>
    </r>
  </si>
  <si>
    <t xml:space="preserve">연구자 분류</t>
  </si>
  <si>
    <r>
      <rPr>
        <sz val="10"/>
        <color rgb="FF000000"/>
        <rFont val="WenQuanYi Zen Hei"/>
        <family val="2"/>
      </rPr>
      <t xml:space="preserve">연결의 도착 프로세스가 수행하는 업무 흐름에 따라 묶은 분류</t>
    </r>
    <r>
      <rPr>
        <sz val="10"/>
        <color rgb="FF000000"/>
        <rFont val="맑은 고딕"/>
        <family val="0"/>
        <charset val="1"/>
      </rPr>
      <t xml:space="preserve">(① </t>
    </r>
    <r>
      <rPr>
        <sz val="10"/>
        <color rgb="FF000000"/>
        <rFont val="WenQuanYi Zen Hei"/>
        <family val="2"/>
      </rPr>
      <t xml:space="preserve">요구</t>
    </r>
    <r>
      <rPr>
        <sz val="10"/>
        <color rgb="FF000000"/>
        <rFont val="맑은 고딕"/>
        <family val="0"/>
        <charset val="1"/>
      </rPr>
      <t xml:space="preserve">·</t>
    </r>
    <r>
      <rPr>
        <sz val="10"/>
        <color rgb="FF000000"/>
        <rFont val="WenQuanYi Zen Hei"/>
        <family val="2"/>
      </rPr>
      <t xml:space="preserve">분석</t>
    </r>
    <r>
      <rPr>
        <sz val="10"/>
        <color rgb="FF000000"/>
        <rFont val="맑은 고딕"/>
        <family val="0"/>
        <charset val="1"/>
      </rPr>
      <t xml:space="preserve">, ②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이행</t>
    </r>
    <r>
      <rPr>
        <sz val="10"/>
        <color rgb="FF000000"/>
        <rFont val="맑은 고딕"/>
        <family val="0"/>
        <charset val="1"/>
      </rPr>
      <t xml:space="preserve">, ③ </t>
    </r>
    <r>
      <rPr>
        <sz val="10"/>
        <color rgb="FF000000"/>
        <rFont val="WenQuanYi Zen Hei"/>
        <family val="2"/>
      </rPr>
      <t xml:space="preserve">대응</t>
    </r>
    <r>
      <rPr>
        <sz val="10"/>
        <color rgb="FF000000"/>
        <rFont val="맑은 고딕"/>
        <family val="0"/>
        <charset val="1"/>
      </rPr>
      <t xml:space="preserve">·</t>
    </r>
    <r>
      <rPr>
        <sz val="10"/>
        <color rgb="FF000000"/>
        <rFont val="WenQuanYi Zen Hei"/>
        <family val="2"/>
      </rPr>
      <t xml:space="preserve">복구</t>
    </r>
    <r>
      <rPr>
        <sz val="10"/>
        <color rgb="FF000000"/>
        <rFont val="맑은 고딕"/>
        <family val="0"/>
        <charset val="1"/>
      </rPr>
      <t xml:space="preserve">·</t>
    </r>
    <r>
      <rPr>
        <sz val="10"/>
        <color rgb="FF000000"/>
        <rFont val="WenQuanYi Zen Hei"/>
        <family val="2"/>
      </rPr>
      <t xml:space="preserve">훈련</t>
    </r>
    <r>
      <rPr>
        <sz val="10"/>
        <color rgb="FF000000"/>
        <rFont val="맑은 고딕"/>
        <family val="0"/>
        <charset val="1"/>
      </rPr>
      <t xml:space="preserve">, ④ </t>
    </r>
    <r>
      <rPr>
        <sz val="10"/>
        <color rgb="FF000000"/>
        <rFont val="WenQuanYi Zen Hei"/>
        <family val="2"/>
      </rPr>
      <t xml:space="preserve">평가</t>
    </r>
    <r>
      <rPr>
        <sz val="10"/>
        <color rgb="FF000000"/>
        <rFont val="맑은 고딕"/>
        <family val="0"/>
        <charset val="1"/>
      </rPr>
      <t xml:space="preserve">·</t>
    </r>
    <r>
      <rPr>
        <sz val="10"/>
        <color rgb="FF000000"/>
        <rFont val="WenQuanYi Zen Hei"/>
        <family val="2"/>
      </rPr>
      <t xml:space="preserve">개선</t>
    </r>
    <r>
      <rPr>
        <sz val="10"/>
        <color rgb="FF000000"/>
        <rFont val="맑은 고딕"/>
        <family val="0"/>
        <charset val="1"/>
      </rPr>
      <t xml:space="preserve">·</t>
    </r>
    <r>
      <rPr>
        <sz val="10"/>
        <color rgb="FF000000"/>
        <rFont val="WenQuanYi Zen Hei"/>
        <family val="2"/>
      </rPr>
      <t xml:space="preserve">변경</t>
    </r>
    <r>
      <rPr>
        <sz val="10"/>
        <color rgb="FF000000"/>
        <rFont val="맑은 고딕"/>
        <family val="0"/>
        <charset val="1"/>
      </rPr>
      <t xml:space="preserve">, ⑤ </t>
    </r>
    <r>
      <rPr>
        <sz val="10"/>
        <color rgb="FF000000"/>
        <rFont val="WenQuanYi Zen Hei"/>
        <family val="2"/>
      </rPr>
      <t xml:space="preserve">거버넌스</t>
    </r>
    <r>
      <rPr>
        <sz val="10"/>
        <color rgb="FF000000"/>
        <rFont val="맑은 고딕"/>
        <family val="0"/>
        <charset val="1"/>
      </rPr>
      <t xml:space="preserve">·</t>
    </r>
    <r>
      <rPr>
        <sz val="10"/>
        <color rgb="FF000000"/>
        <rFont val="WenQuanYi Zen Hei"/>
        <family val="2"/>
      </rPr>
      <t xml:space="preserve">이해관계자</t>
    </r>
    <r>
      <rPr>
        <sz val="10"/>
        <color rgb="FF000000"/>
        <rFont val="맑은 고딕"/>
        <family val="0"/>
        <charset val="1"/>
      </rPr>
      <t xml:space="preserve">).</t>
    </r>
  </si>
  <si>
    <r>
      <rPr>
        <sz val="10"/>
        <color rgb="FF000000"/>
        <rFont val="맑은 고딕"/>
        <family val="0"/>
        <charset val="1"/>
      </rPr>
      <t xml:space="preserve">Arias</t>
    </r>
    <r>
      <rPr>
        <sz val="10"/>
        <color rgb="FF000000"/>
        <rFont val="WenQuanYi Zen Hei"/>
        <family val="2"/>
      </rPr>
      <t xml:space="preserve">의 </t>
    </r>
    <r>
      <rPr>
        <sz val="10"/>
        <color rgb="FF000000"/>
        <rFont val="맑은 고딕"/>
        <family val="0"/>
        <charset val="1"/>
      </rPr>
      <t xml:space="preserve">PDCA </t>
    </r>
    <r>
      <rPr>
        <sz val="10"/>
        <color rgb="FF000000"/>
        <rFont val="WenQuanYi Zen Hei"/>
        <family val="2"/>
      </rPr>
      <t xml:space="preserve">열</t>
    </r>
    <r>
      <rPr>
        <sz val="10"/>
        <color rgb="FF000000"/>
        <rFont val="맑은 고딕"/>
        <family val="0"/>
        <charset val="1"/>
      </rPr>
      <t xml:space="preserve">(Table 5)</t>
    </r>
    <r>
      <rPr>
        <sz val="10"/>
        <color rgb="FF000000"/>
        <rFont val="WenQuanYi Zen Hei"/>
        <family val="2"/>
      </rPr>
      <t xml:space="preserve">과는 별개</t>
    </r>
    <r>
      <rPr>
        <sz val="10"/>
        <color rgb="FF000000"/>
        <rFont val="맑은 고딕"/>
        <family val="0"/>
        <charset val="1"/>
      </rPr>
      <t xml:space="preserve">. PDCA</t>
    </r>
    <r>
      <rPr>
        <sz val="10"/>
        <color rgb="FF000000"/>
        <rFont val="WenQuanYi Zen Hei"/>
        <family val="2"/>
      </rPr>
      <t xml:space="preserve">는 객체 시트에 별도 표기</t>
    </r>
    <r>
      <rPr>
        <sz val="10"/>
        <color rgb="FF000000"/>
        <rFont val="맑은 고딕"/>
        <family val="0"/>
        <charset val="1"/>
      </rPr>
      <t xml:space="preserve">.</t>
    </r>
  </si>
  <si>
    <t xml:space="preserve">D17</t>
  </si>
  <si>
    <r>
      <rPr>
        <b val="true"/>
        <sz val="10"/>
        <color rgb="FF000000"/>
        <rFont val="WenQuanYi Zen Hei"/>
        <family val="2"/>
      </rPr>
      <t xml:space="preserve">집단 노드 </t>
    </r>
    <r>
      <rPr>
        <b val="true"/>
        <sz val="10"/>
        <color rgb="FF000000"/>
        <rFont val="맑은 고딕"/>
        <family val="0"/>
        <charset val="1"/>
      </rPr>
      <t xml:space="preserve">CORE</t>
    </r>
  </si>
  <si>
    <r>
      <rPr>
        <sz val="10"/>
        <color rgb="FF000000"/>
        <rFont val="맑은 고딕"/>
        <family val="0"/>
        <charset val="1"/>
      </rPr>
      <t xml:space="preserve">Arias</t>
    </r>
    <r>
      <rPr>
        <sz val="10"/>
        <color rgb="FF000000"/>
        <rFont val="WenQuanYi Zen Hei"/>
        <family val="2"/>
      </rPr>
      <t xml:space="preserve">가 </t>
    </r>
    <r>
      <rPr>
        <sz val="10"/>
        <color rgb="FF000000"/>
        <rFont val="맑은 고딕"/>
        <family val="0"/>
        <charset val="1"/>
      </rPr>
      <t xml:space="preserve">"nearly all BCMS processes"</t>
    </r>
    <r>
      <rPr>
        <sz val="10"/>
        <color rgb="FF000000"/>
        <rFont val="WenQuanYi Zen Hei"/>
        <family val="2"/>
      </rPr>
      <t xml:space="preserve">처럼 프로세스를 열거하지 않고 가리킨 집단을 하나의 가상 노드로 표현한 것</t>
    </r>
    <r>
      <rPr>
        <sz val="10"/>
        <color rgb="FF000000"/>
        <rFont val="맑은 고딕"/>
        <family val="0"/>
        <charset val="1"/>
      </rPr>
      <t xml:space="preserve">. </t>
    </r>
    <r>
      <rPr>
        <sz val="10"/>
        <color rgb="FF000000"/>
        <rFont val="WenQuanYi Zen Hei"/>
        <family val="2"/>
      </rPr>
      <t xml:space="preserve">객체 </t>
    </r>
    <r>
      <rPr>
        <sz val="10"/>
        <color rgb="FF000000"/>
        <rFont val="맑은 고딕"/>
        <family val="0"/>
        <charset val="1"/>
      </rPr>
      <t xml:space="preserve">22</t>
    </r>
    <r>
      <rPr>
        <sz val="10"/>
        <color rgb="FF000000"/>
        <rFont val="WenQuanYi Zen Hei"/>
        <family val="2"/>
      </rPr>
      <t xml:space="preserve">개에 포함되지 않는다</t>
    </r>
    <r>
      <rPr>
        <sz val="10"/>
        <color rgb="FF000000"/>
        <rFont val="맑은 고딕"/>
        <family val="0"/>
        <charset val="1"/>
      </rPr>
      <t xml:space="preserve">.</t>
    </r>
  </si>
  <si>
    <t xml:space="preserve">A30 / A18</t>
  </si>
  <si>
    <r>
      <rPr>
        <sz val="10"/>
        <color rgb="FF000000"/>
        <rFont val="WenQuanYi Zen Hei"/>
        <family val="2"/>
      </rPr>
      <t xml:space="preserve">노드 자체는 연구자가 만든 것</t>
    </r>
    <r>
      <rPr>
        <sz val="10"/>
        <color rgb="FF000000"/>
        <rFont val="맑은 고딕"/>
        <family val="0"/>
        <charset val="1"/>
      </rPr>
      <t xml:space="preserve">.</t>
    </r>
  </si>
  <si>
    <t xml:space="preserve">D18</t>
  </si>
  <si>
    <t xml:space="preserve">competency question</t>
  </si>
  <si>
    <r>
      <rPr>
        <sz val="10"/>
        <color rgb="FF000000"/>
        <rFont val="WenQuanYi Zen Hei"/>
        <family val="2"/>
      </rPr>
      <t xml:space="preserve">인용 정의 </t>
    </r>
    <r>
      <rPr>
        <sz val="10"/>
        <color rgb="FF000000"/>
        <rFont val="맑은 고딕"/>
        <family val="0"/>
        <charset val="1"/>
      </rPr>
      <t xml:space="preserve">+ </t>
    </r>
    <r>
      <rPr>
        <sz val="10"/>
        <color rgb="FF000000"/>
        <rFont val="WenQuanYi Zen Hei"/>
        <family val="2"/>
      </rPr>
      <t xml:space="preserve">연구자 적용</t>
    </r>
  </si>
  <si>
    <r>
      <rPr>
        <sz val="10"/>
        <color rgb="FF000000"/>
        <rFont val="WenQuanYi Zen Hei"/>
        <family val="2"/>
      </rPr>
      <t xml:space="preserve">온톨로지 관련 지식베이스가 답할 수 있는 온톨로지 영역의 질문</t>
    </r>
    <r>
      <rPr>
        <sz val="10"/>
        <color rgb="FF000000"/>
        <rFont val="맑은 고딕"/>
        <family val="0"/>
        <charset val="1"/>
      </rPr>
      <t xml:space="preserve">. </t>
    </r>
    <r>
      <rPr>
        <sz val="10"/>
        <color rgb="FF000000"/>
        <rFont val="WenQuanYi Zen Hei"/>
        <family val="2"/>
      </rPr>
      <t xml:space="preserve">그 답이 온톨로지의 범위를 정의한다</t>
    </r>
    <r>
      <rPr>
        <sz val="10"/>
        <color rgb="FF000000"/>
        <rFont val="맑은 고딕"/>
        <family val="0"/>
        <charset val="1"/>
      </rPr>
      <t xml:space="preserve">. </t>
    </r>
    <r>
      <rPr>
        <sz val="10"/>
        <color rgb="FF000000"/>
        <rFont val="WenQuanYi Zen Hei"/>
        <family val="2"/>
      </rPr>
      <t xml:space="preserve">본 연구에서는 연결마다 품질 차원별 문항</t>
    </r>
    <r>
      <rPr>
        <sz val="10"/>
        <color rgb="FF000000"/>
        <rFont val="맑은 고딕"/>
        <family val="0"/>
        <charset val="1"/>
      </rPr>
      <t xml:space="preserve">(5~6</t>
    </r>
    <r>
      <rPr>
        <sz val="10"/>
        <color rgb="FF000000"/>
        <rFont val="WenQuanYi Zen Hei"/>
        <family val="2"/>
      </rPr>
      <t xml:space="preserve">개</t>
    </r>
    <r>
      <rPr>
        <sz val="10"/>
        <color rgb="FF000000"/>
        <rFont val="맑은 고딕"/>
        <family val="0"/>
        <charset val="1"/>
      </rPr>
      <t xml:space="preserve">)</t>
    </r>
    <r>
      <rPr>
        <sz val="10"/>
        <color rgb="FF000000"/>
        <rFont val="WenQuanYi Zen Hei"/>
        <family val="2"/>
      </rPr>
      <t xml:space="preserve">이 이 질문에 답한다</t>
    </r>
    <r>
      <rPr>
        <sz val="10"/>
        <color rgb="FF000000"/>
        <rFont val="맑은 고딕"/>
        <family val="0"/>
        <charset val="1"/>
      </rPr>
      <t xml:space="preserve">.</t>
    </r>
  </si>
  <si>
    <t xml:space="preserve">B02 / B03</t>
  </si>
  <si>
    <r>
      <rPr>
        <sz val="10"/>
        <color rgb="FF000000"/>
        <rFont val="WenQuanYi Zen Hei"/>
        <family val="2"/>
      </rPr>
      <t xml:space="preserve">정의는 </t>
    </r>
    <r>
      <rPr>
        <sz val="10"/>
        <color rgb="FF000000"/>
        <rFont val="맑은 고딕"/>
        <family val="0"/>
        <charset val="1"/>
      </rPr>
      <t xml:space="preserve">Białas </t>
    </r>
    <r>
      <rPr>
        <sz val="10"/>
        <color rgb="FF000000"/>
        <rFont val="WenQuanYi Zen Hei"/>
        <family val="2"/>
      </rPr>
      <t xml:space="preserve">인용</t>
    </r>
    <r>
      <rPr>
        <sz val="10"/>
        <color rgb="FF000000"/>
        <rFont val="맑은 고딕"/>
        <family val="0"/>
        <charset val="1"/>
      </rPr>
      <t xml:space="preserve">, </t>
    </r>
    <r>
      <rPr>
        <sz val="10"/>
        <color rgb="FF000000"/>
        <rFont val="WenQuanYi Zen Hei"/>
        <family val="2"/>
      </rPr>
      <t xml:space="preserve">문항으로의 적용은 연구자 설계</t>
    </r>
    <r>
      <rPr>
        <sz val="10"/>
        <color rgb="FF000000"/>
        <rFont val="맑은 고딕"/>
        <family val="0"/>
        <charset val="1"/>
      </rPr>
      <t xml:space="preserve">.</t>
    </r>
  </si>
  <si>
    <t xml:space="preserve">D19</t>
  </si>
  <si>
    <r>
      <rPr>
        <b val="true"/>
        <sz val="10"/>
        <color rgb="FF000000"/>
        <rFont val="맑은 고딕"/>
        <family val="0"/>
        <charset val="1"/>
      </rPr>
      <t xml:space="preserve">ProcessLink </t>
    </r>
    <r>
      <rPr>
        <b val="true"/>
        <sz val="10"/>
        <color rgb="FF000000"/>
        <rFont val="WenQuanYi Zen Hei"/>
        <family val="2"/>
      </rPr>
      <t xml:space="preserve">객체화</t>
    </r>
  </si>
  <si>
    <t xml:space="preserve">연구자 설계</t>
  </si>
  <si>
    <r>
      <rPr>
        <sz val="10"/>
        <color rgb="FF000000"/>
        <rFont val="WenQuanYi Zen Hei"/>
        <family val="2"/>
      </rPr>
      <t xml:space="preserve">연결 자체를 하나의 개체로 보고 </t>
    </r>
    <r>
      <rPr>
        <sz val="10"/>
        <color rgb="FF000000"/>
        <rFont val="맑은 고딕"/>
        <family val="0"/>
        <charset val="1"/>
      </rPr>
      <t xml:space="preserve">6</t>
    </r>
    <r>
      <rPr>
        <sz val="10"/>
        <color rgb="FF000000"/>
        <rFont val="WenQuanYi Zen Hei"/>
        <family val="2"/>
      </rPr>
      <t xml:space="preserve">개 품질 점수를 그 개체의 속성</t>
    </r>
    <r>
      <rPr>
        <sz val="10"/>
        <color rgb="FF000000"/>
        <rFont val="맑은 고딕"/>
        <family val="0"/>
        <charset val="1"/>
      </rPr>
      <t xml:space="preserve">(data slot)</t>
    </r>
    <r>
      <rPr>
        <sz val="10"/>
        <color rgb="FF000000"/>
        <rFont val="WenQuanYi Zen Hei"/>
        <family val="2"/>
      </rPr>
      <t xml:space="preserve">으로 두는 설계</t>
    </r>
    <r>
      <rPr>
        <sz val="10"/>
        <color rgb="FF000000"/>
        <rFont val="맑은 고딕"/>
        <family val="0"/>
        <charset val="1"/>
      </rPr>
      <t xml:space="preserve">. Białas</t>
    </r>
    <r>
      <rPr>
        <sz val="10"/>
        <color rgb="FF000000"/>
        <rFont val="WenQuanYi Zen Hei"/>
        <family val="2"/>
      </rPr>
      <t xml:space="preserve">가 </t>
    </r>
    <r>
      <rPr>
        <sz val="10"/>
        <color rgb="FF000000"/>
        <rFont val="맑은 고딕"/>
        <family val="0"/>
        <charset val="1"/>
      </rPr>
      <t xml:space="preserve">object slot</t>
    </r>
    <r>
      <rPr>
        <sz val="10"/>
        <color rgb="FF000000"/>
        <rFont val="WenQuanYi Zen Hei"/>
        <family val="2"/>
      </rPr>
      <t xml:space="preserve">을 관계로</t>
    </r>
    <r>
      <rPr>
        <sz val="10"/>
        <color rgb="FF000000"/>
        <rFont val="맑은 고딕"/>
        <family val="0"/>
        <charset val="1"/>
      </rPr>
      <t xml:space="preserve">, data slot</t>
    </r>
    <r>
      <rPr>
        <sz val="10"/>
        <color rgb="FF000000"/>
        <rFont val="WenQuanYi Zen Hei"/>
        <family val="2"/>
      </rPr>
      <t xml:space="preserve">을 속성으로 구분한 방식을 응용했다</t>
    </r>
    <r>
      <rPr>
        <sz val="10"/>
        <color rgb="FF000000"/>
        <rFont val="맑은 고딕"/>
        <family val="0"/>
        <charset val="1"/>
      </rPr>
      <t xml:space="preserve">.</t>
    </r>
  </si>
  <si>
    <t xml:space="preserve">B04 / B06</t>
  </si>
  <si>
    <r>
      <rPr>
        <sz val="10"/>
        <color rgb="FF000000"/>
        <rFont val="맑은 고딕"/>
        <family val="0"/>
        <charset val="1"/>
      </rPr>
      <t xml:space="preserve">Białas</t>
    </r>
    <r>
      <rPr>
        <sz val="10"/>
        <color rgb="FF000000"/>
        <rFont val="WenQuanYi Zen Hei"/>
        <family val="2"/>
      </rPr>
      <t xml:space="preserve">는 이런 객체화를 하지 않았다</t>
    </r>
    <r>
      <rPr>
        <sz val="10"/>
        <color rgb="FF000000"/>
        <rFont val="맑은 고딕"/>
        <family val="0"/>
        <charset val="1"/>
      </rPr>
      <t xml:space="preserve">.</t>
    </r>
  </si>
  <si>
    <t xml:space="preserve">D20</t>
  </si>
  <si>
    <t xml:space="preserve">형성적 지수</t>
  </si>
  <si>
    <r>
      <rPr>
        <sz val="10"/>
        <color rgb="FF000000"/>
        <rFont val="WenQuanYi Zen Hei"/>
        <family val="2"/>
      </rPr>
      <t xml:space="preserve">연결 품질을 </t>
    </r>
    <r>
      <rPr>
        <sz val="10"/>
        <color rgb="FF000000"/>
        <rFont val="맑은 고딕"/>
        <family val="0"/>
        <charset val="1"/>
      </rPr>
      <t xml:space="preserve">6</t>
    </r>
    <r>
      <rPr>
        <sz val="10"/>
        <color rgb="FF000000"/>
        <rFont val="WenQuanYi Zen Hei"/>
        <family val="2"/>
      </rPr>
      <t xml:space="preserve">개 차원의 조합으로 보는 구성</t>
    </r>
    <r>
      <rPr>
        <sz val="10"/>
        <color rgb="FF000000"/>
        <rFont val="맑은 고딕"/>
        <family val="0"/>
        <charset val="1"/>
      </rPr>
      <t xml:space="preserve">. </t>
    </r>
    <r>
      <rPr>
        <sz val="10"/>
        <color rgb="FF000000"/>
        <rFont val="WenQuanYi Zen Hei"/>
        <family val="2"/>
      </rPr>
      <t xml:space="preserve">각 차원은 문항 여러 개</t>
    </r>
    <r>
      <rPr>
        <sz val="10"/>
        <color rgb="FF000000"/>
        <rFont val="맑은 고딕"/>
        <family val="0"/>
        <charset val="1"/>
      </rPr>
      <t xml:space="preserve">(</t>
    </r>
    <r>
      <rPr>
        <sz val="10"/>
        <color rgb="FF000000"/>
        <rFont val="WenQuanYi Zen Hei"/>
        <family val="2"/>
      </rPr>
      <t xml:space="preserve">반영적 지표</t>
    </r>
    <r>
      <rPr>
        <sz val="10"/>
        <color rgb="FF000000"/>
        <rFont val="맑은 고딕"/>
        <family val="0"/>
        <charset val="1"/>
      </rPr>
      <t xml:space="preserve">)</t>
    </r>
    <r>
      <rPr>
        <sz val="10"/>
        <color rgb="FF000000"/>
        <rFont val="WenQuanYi Zen Hei"/>
        <family val="2"/>
      </rPr>
      <t xml:space="preserve">로 재고</t>
    </r>
    <r>
      <rPr>
        <sz val="10"/>
        <color rgb="FF000000"/>
        <rFont val="맑은 고딕"/>
        <family val="0"/>
        <charset val="1"/>
      </rPr>
      <t xml:space="preserve">, </t>
    </r>
    <r>
      <rPr>
        <sz val="10"/>
        <color rgb="FF000000"/>
        <rFont val="WenQuanYi Zen Hei"/>
        <family val="2"/>
      </rPr>
      <t xml:space="preserve">차원들을 합쳐 연결 품질을 만든다</t>
    </r>
    <r>
      <rPr>
        <sz val="10"/>
        <color rgb="FF000000"/>
        <rFont val="맑은 고딕"/>
        <family val="0"/>
        <charset val="1"/>
      </rPr>
      <t xml:space="preserve">. </t>
    </r>
    <r>
      <rPr>
        <sz val="10"/>
        <color rgb="FF000000"/>
        <rFont val="WenQuanYi Zen Hei"/>
        <family val="2"/>
      </rPr>
      <t xml:space="preserve">초기 가중치는 동일하게 두고 예비조사 후 조정한다</t>
    </r>
    <r>
      <rPr>
        <sz val="10"/>
        <color rgb="FF000000"/>
        <rFont val="맑은 고딕"/>
        <family val="0"/>
        <charset val="1"/>
      </rPr>
      <t xml:space="preserve">.</t>
    </r>
  </si>
  <si>
    <r>
      <rPr>
        <sz val="10"/>
        <color rgb="FF000000"/>
        <rFont val="WenQuanYi Zen Hei"/>
        <family val="2"/>
      </rPr>
      <t xml:space="preserve">방법 근거 후보</t>
    </r>
    <r>
      <rPr>
        <sz val="10"/>
        <color rgb="FF000000"/>
        <rFont val="맑은 고딕"/>
        <family val="0"/>
        <charset val="1"/>
      </rPr>
      <t xml:space="preserve">: S09, S10 (</t>
    </r>
    <r>
      <rPr>
        <sz val="10"/>
        <color rgb="FF000000"/>
        <rFont val="WenQuanYi Zen Hei"/>
        <family val="2"/>
      </rPr>
      <t xml:space="preserve">서지만 확인</t>
    </r>
    <r>
      <rPr>
        <sz val="10"/>
        <color rgb="FF000000"/>
        <rFont val="맑은 고딕"/>
        <family val="0"/>
        <charset val="1"/>
      </rPr>
      <t xml:space="preserve">, </t>
    </r>
    <r>
      <rPr>
        <sz val="10"/>
        <color rgb="FF000000"/>
        <rFont val="WenQuanYi Zen Hei"/>
        <family val="2"/>
      </rPr>
      <t xml:space="preserve">원문 미확인</t>
    </r>
    <r>
      <rPr>
        <sz val="10"/>
        <color rgb="FF000000"/>
        <rFont val="맑은 고딕"/>
        <family val="0"/>
        <charset val="1"/>
      </rPr>
      <t xml:space="preserve">).</t>
    </r>
  </si>
  <si>
    <t xml:space="preserve">D21</t>
  </si>
  <si>
    <r>
      <rPr>
        <b val="true"/>
        <sz val="10"/>
        <color rgb="FF000000"/>
        <rFont val="WenQuanYi Zen Hei"/>
        <family val="2"/>
      </rPr>
      <t xml:space="preserve">응답 </t>
    </r>
    <r>
      <rPr>
        <b val="true"/>
        <sz val="10"/>
        <color rgb="FF000000"/>
        <rFont val="맑은 고딕"/>
        <family val="0"/>
        <charset val="1"/>
      </rPr>
      <t xml:space="preserve">9(</t>
    </r>
    <r>
      <rPr>
        <b val="true"/>
        <sz val="10"/>
        <color rgb="FF000000"/>
        <rFont val="WenQuanYi Zen Hei"/>
        <family val="2"/>
      </rPr>
      <t xml:space="preserve">해당 없음</t>
    </r>
    <r>
      <rPr>
        <b val="true"/>
        <sz val="10"/>
        <color rgb="FF000000"/>
        <rFont val="맑은 고딕"/>
        <family val="0"/>
        <charset val="1"/>
      </rPr>
      <t xml:space="preserve">/</t>
    </r>
    <r>
      <rPr>
        <b val="true"/>
        <sz val="10"/>
        <color rgb="FF000000"/>
        <rFont val="WenQuanYi Zen Hei"/>
        <family val="2"/>
      </rPr>
      <t xml:space="preserve">모르겠음</t>
    </r>
    <r>
      <rPr>
        <b val="true"/>
        <sz val="10"/>
        <color rgb="FF000000"/>
        <rFont val="맑은 고딕"/>
        <family val="0"/>
        <charset val="1"/>
      </rPr>
      <t xml:space="preserve">)</t>
    </r>
  </si>
  <si>
    <r>
      <rPr>
        <sz val="10"/>
        <color rgb="FF000000"/>
        <rFont val="WenQuanYi Zen Hei"/>
        <family val="2"/>
      </rPr>
      <t xml:space="preserve">프로세스가 없거나 응답자가 알 수 없어 응답할 수 없는 경우</t>
    </r>
    <r>
      <rPr>
        <sz val="10"/>
        <color rgb="FF000000"/>
        <rFont val="맑은 고딕"/>
        <family val="0"/>
        <charset val="1"/>
      </rPr>
      <t xml:space="preserve">. </t>
    </r>
    <r>
      <rPr>
        <sz val="10"/>
        <color rgb="FF000000"/>
        <rFont val="WenQuanYi Zen Hei"/>
        <family val="2"/>
      </rPr>
      <t xml:space="preserve">점수 계산에서 결측으로 처리하며 </t>
    </r>
    <r>
      <rPr>
        <sz val="10"/>
        <color rgb="FF000000"/>
        <rFont val="맑은 고딕"/>
        <family val="0"/>
        <charset val="1"/>
      </rPr>
      <t xml:space="preserve">"</t>
    </r>
    <r>
      <rPr>
        <sz val="10"/>
        <color rgb="FF000000"/>
        <rFont val="WenQuanYi Zen Hei"/>
        <family val="2"/>
      </rPr>
      <t xml:space="preserve">연결이 약함</t>
    </r>
    <r>
      <rPr>
        <sz val="10"/>
        <color rgb="FF000000"/>
        <rFont val="맑은 고딕"/>
        <family val="0"/>
        <charset val="1"/>
      </rPr>
      <t xml:space="preserve">"</t>
    </r>
    <r>
      <rPr>
        <sz val="10"/>
        <color rgb="FF000000"/>
        <rFont val="WenQuanYi Zen Hei"/>
        <family val="2"/>
      </rPr>
      <t xml:space="preserve">과 구분한다</t>
    </r>
    <r>
      <rPr>
        <sz val="10"/>
        <color rgb="FF000000"/>
        <rFont val="맑은 고딕"/>
        <family val="0"/>
        <charset val="1"/>
      </rPr>
      <t xml:space="preserve">.</t>
    </r>
  </si>
  <si>
    <t xml:space="preserve">D22</t>
  </si>
  <si>
    <r>
      <rPr>
        <b val="true"/>
        <sz val="10"/>
        <color rgb="FF000000"/>
        <rFont val="WenQuanYi Zen Hei"/>
        <family val="2"/>
      </rPr>
      <t xml:space="preserve">합의 판정</t>
    </r>
    <r>
      <rPr>
        <b val="true"/>
        <sz val="10"/>
        <color rgb="FF000000"/>
        <rFont val="맑은 고딕"/>
        <family val="0"/>
        <charset val="1"/>
      </rPr>
      <t xml:space="preserve">(80%·20%)</t>
    </r>
  </si>
  <si>
    <r>
      <rPr>
        <sz val="10"/>
        <color rgb="FF000000"/>
        <rFont val="WenQuanYi Zen Hei"/>
        <family val="2"/>
      </rPr>
      <t xml:space="preserve">인용 </t>
    </r>
    <r>
      <rPr>
        <sz val="10"/>
        <color rgb="FF000000"/>
        <rFont val="맑은 고딕"/>
        <family val="0"/>
        <charset val="1"/>
      </rPr>
      <t xml:space="preserve">+ </t>
    </r>
    <r>
      <rPr>
        <sz val="10"/>
        <color rgb="FF000000"/>
        <rFont val="WenQuanYi Zen Hei"/>
        <family val="2"/>
      </rPr>
      <t xml:space="preserve">연구자 적용</t>
    </r>
  </si>
  <si>
    <r>
      <rPr>
        <sz val="10"/>
        <color rgb="FF000000"/>
        <rFont val="WenQuanYi Zen Hei"/>
        <family val="2"/>
      </rPr>
      <t xml:space="preserve">범주 </t>
    </r>
    <r>
      <rPr>
        <sz val="10"/>
        <color rgb="FF000000"/>
        <rFont val="맑은 고딕"/>
        <family val="0"/>
        <charset val="1"/>
      </rPr>
      <t xml:space="preserve">1(80% </t>
    </r>
    <r>
      <rPr>
        <sz val="10"/>
        <color rgb="FF000000"/>
        <rFont val="WenQuanYi Zen Hei"/>
        <family val="2"/>
      </rPr>
      <t xml:space="preserve">이상 채택</t>
    </r>
    <r>
      <rPr>
        <sz val="10"/>
        <color rgb="FF000000"/>
        <rFont val="맑은 고딕"/>
        <family val="0"/>
        <charset val="1"/>
      </rPr>
      <t xml:space="preserve">), </t>
    </r>
    <r>
      <rPr>
        <sz val="10"/>
        <color rgb="FF000000"/>
        <rFont val="WenQuanYi Zen Hei"/>
        <family val="2"/>
      </rPr>
      <t xml:space="preserve">범주 </t>
    </r>
    <r>
      <rPr>
        <sz val="10"/>
        <color rgb="FF000000"/>
        <rFont val="맑은 고딕"/>
        <family val="0"/>
        <charset val="1"/>
      </rPr>
      <t xml:space="preserve">2(20~80% </t>
    </r>
    <r>
      <rPr>
        <sz val="10"/>
        <color rgb="FF000000"/>
        <rFont val="WenQuanYi Zen Hei"/>
        <family val="2"/>
      </rPr>
      <t xml:space="preserve">토론</t>
    </r>
    <r>
      <rPr>
        <sz val="10"/>
        <color rgb="FF000000"/>
        <rFont val="맑은 고딕"/>
        <family val="0"/>
        <charset val="1"/>
      </rPr>
      <t xml:space="preserve">), </t>
    </r>
    <r>
      <rPr>
        <sz val="10"/>
        <color rgb="FF000000"/>
        <rFont val="WenQuanYi Zen Hei"/>
        <family val="2"/>
      </rPr>
      <t xml:space="preserve">범주 </t>
    </r>
    <r>
      <rPr>
        <sz val="10"/>
        <color rgb="FF000000"/>
        <rFont val="맑은 고딕"/>
        <family val="0"/>
        <charset val="1"/>
      </rPr>
      <t xml:space="preserve">3(20% </t>
    </r>
    <r>
      <rPr>
        <sz val="10"/>
        <color rgb="FF000000"/>
        <rFont val="WenQuanYi Zen Hei"/>
        <family val="2"/>
      </rPr>
      <t xml:space="preserve">미만 기각</t>
    </r>
    <r>
      <rPr>
        <sz val="10"/>
        <color rgb="FF000000"/>
        <rFont val="맑은 고딕"/>
        <family val="0"/>
        <charset val="1"/>
      </rPr>
      <t xml:space="preserve">)</t>
    </r>
    <r>
      <rPr>
        <sz val="10"/>
        <color rgb="FF000000"/>
        <rFont val="WenQuanYi Zen Hei"/>
        <family val="2"/>
      </rPr>
      <t xml:space="preserve">의 </t>
    </r>
    <r>
      <rPr>
        <sz val="10"/>
        <color rgb="FF000000"/>
        <rFont val="맑은 고딕"/>
        <family val="0"/>
        <charset val="1"/>
      </rPr>
      <t xml:space="preserve">3</t>
    </r>
    <r>
      <rPr>
        <sz val="10"/>
        <color rgb="FF000000"/>
        <rFont val="WenQuanYi Zen Hei"/>
        <family val="2"/>
      </rPr>
      <t xml:space="preserve">단계 판정</t>
    </r>
    <r>
      <rPr>
        <sz val="10"/>
        <color rgb="FF000000"/>
        <rFont val="맑은 고딕"/>
        <family val="0"/>
        <charset val="1"/>
      </rPr>
      <t xml:space="preserve">. </t>
    </r>
    <r>
      <rPr>
        <sz val="10"/>
        <color rgb="FF000000"/>
        <rFont val="WenQuanYi Zen Hei"/>
        <family val="2"/>
      </rPr>
      <t xml:space="preserve">본 연구는 전문가 맹검 재분류 일치율과 연결 타당도 판정에 같은 틀을 준용한다</t>
    </r>
    <r>
      <rPr>
        <sz val="10"/>
        <color rgb="FF000000"/>
        <rFont val="맑은 고딕"/>
        <family val="0"/>
        <charset val="1"/>
      </rPr>
      <t xml:space="preserve">.</t>
    </r>
  </si>
  <si>
    <t xml:space="preserve">A43 / A44 / A45</t>
  </si>
  <si>
    <r>
      <rPr>
        <sz val="10"/>
        <color rgb="FF000000"/>
        <rFont val="맑은 고딕"/>
        <family val="0"/>
        <charset val="1"/>
      </rPr>
      <t xml:space="preserve">Arias</t>
    </r>
    <r>
      <rPr>
        <sz val="10"/>
        <color rgb="FF000000"/>
        <rFont val="WenQuanYi Zen Hei"/>
        <family val="2"/>
      </rPr>
      <t xml:space="preserve">는 프로세스의 핵심 여부에 적용했고</t>
    </r>
    <r>
      <rPr>
        <sz val="10"/>
        <color rgb="FF000000"/>
        <rFont val="맑은 고딕"/>
        <family val="0"/>
        <charset val="1"/>
      </rPr>
      <t xml:space="preserve">, </t>
    </r>
    <r>
      <rPr>
        <sz val="10"/>
        <color rgb="FF000000"/>
        <rFont val="WenQuanYi Zen Hei"/>
        <family val="2"/>
      </rPr>
      <t xml:space="preserve">문항</t>
    </r>
    <r>
      <rPr>
        <sz val="10"/>
        <color rgb="FF000000"/>
        <rFont val="맑은 고딕"/>
        <family val="0"/>
        <charset val="1"/>
      </rPr>
      <t xml:space="preserve">·</t>
    </r>
    <r>
      <rPr>
        <sz val="10"/>
        <color rgb="FF000000"/>
        <rFont val="WenQuanYi Zen Hei"/>
        <family val="2"/>
      </rPr>
      <t xml:space="preserve">연결에 적용하는 것은 연구자의 준용</t>
    </r>
    <r>
      <rPr>
        <sz val="10"/>
        <color rgb="FF000000"/>
        <rFont val="맑은 고딕"/>
        <family val="0"/>
        <charset val="1"/>
      </rPr>
      <t xml:space="preserve">.</t>
    </r>
  </si>
  <si>
    <t xml:space="preserve">D23</t>
  </si>
  <si>
    <r>
      <rPr>
        <b val="true"/>
        <sz val="10"/>
        <color rgb="FF000000"/>
        <rFont val="맑은 고딕"/>
        <family val="0"/>
        <charset val="1"/>
      </rPr>
      <t xml:space="preserve">I-CVI </t>
    </r>
    <r>
      <rPr>
        <b val="true"/>
        <sz val="10"/>
        <color rgb="FF000000"/>
        <rFont val="WenQuanYi Zen Hei"/>
        <family val="2"/>
      </rPr>
      <t xml:space="preserve">기준</t>
    </r>
    <r>
      <rPr>
        <b val="true"/>
        <sz val="10"/>
        <color rgb="FF000000"/>
        <rFont val="맑은 고딕"/>
        <family val="0"/>
        <charset val="1"/>
      </rPr>
      <t xml:space="preserve">(0.78)</t>
    </r>
  </si>
  <si>
    <r>
      <rPr>
        <sz val="10"/>
        <color rgb="FF000000"/>
        <rFont val="WenQuanYi Zen Hei"/>
        <family val="2"/>
      </rPr>
      <t xml:space="preserve">연구자 선택</t>
    </r>
    <r>
      <rPr>
        <sz val="10"/>
        <color rgb="FF000000"/>
        <rFont val="맑은 고딕"/>
        <family val="0"/>
        <charset val="1"/>
      </rPr>
      <t xml:space="preserve">(</t>
    </r>
    <r>
      <rPr>
        <sz val="10"/>
        <color rgb="FF000000"/>
        <rFont val="WenQuanYi Zen Hei"/>
        <family val="2"/>
      </rPr>
      <t xml:space="preserve">관례</t>
    </r>
    <r>
      <rPr>
        <sz val="10"/>
        <color rgb="FF000000"/>
        <rFont val="맑은 고딕"/>
        <family val="0"/>
        <charset val="1"/>
      </rPr>
      <t xml:space="preserve">)</t>
    </r>
  </si>
  <si>
    <r>
      <rPr>
        <sz val="10"/>
        <color rgb="FF000000"/>
        <rFont val="WenQuanYi Zen Hei"/>
        <family val="2"/>
      </rPr>
      <t xml:space="preserve">전문가 </t>
    </r>
    <r>
      <rPr>
        <sz val="10"/>
        <color rgb="FF000000"/>
        <rFont val="맑은 고딕"/>
        <family val="0"/>
        <charset val="1"/>
      </rPr>
      <t xml:space="preserve">6~10</t>
    </r>
    <r>
      <rPr>
        <sz val="10"/>
        <color rgb="FF000000"/>
        <rFont val="WenQuanYi Zen Hei"/>
        <family val="2"/>
      </rPr>
      <t xml:space="preserve">인 패널에서 적합도 </t>
    </r>
    <r>
      <rPr>
        <sz val="10"/>
        <color rgb="FF000000"/>
        <rFont val="맑은 고딕"/>
        <family val="0"/>
        <charset val="1"/>
      </rPr>
      <t xml:space="preserve">3~4</t>
    </r>
    <r>
      <rPr>
        <sz val="10"/>
        <color rgb="FF000000"/>
        <rFont val="WenQuanYi Zen Hei"/>
        <family val="2"/>
      </rPr>
      <t xml:space="preserve">점 비율이 </t>
    </r>
    <r>
      <rPr>
        <sz val="10"/>
        <color rgb="FF000000"/>
        <rFont val="맑은 고딕"/>
        <family val="0"/>
        <charset val="1"/>
      </rPr>
      <t xml:space="preserve">0.78 </t>
    </r>
    <r>
      <rPr>
        <sz val="10"/>
        <color rgb="FF000000"/>
        <rFont val="WenQuanYi Zen Hei"/>
        <family val="2"/>
      </rPr>
      <t xml:space="preserve">이상이면 채택하는 관례 기준</t>
    </r>
    <r>
      <rPr>
        <sz val="10"/>
        <color rgb="FF000000"/>
        <rFont val="맑은 고딕"/>
        <family val="0"/>
        <charset val="1"/>
      </rPr>
      <t xml:space="preserve">.</t>
    </r>
  </si>
  <si>
    <r>
      <rPr>
        <sz val="10"/>
        <color rgb="FF000000"/>
        <rFont val="WenQuanYi Zen Hei"/>
        <family val="2"/>
      </rPr>
      <t xml:space="preserve">두 논문에 근거 없음</t>
    </r>
    <r>
      <rPr>
        <sz val="10"/>
        <color rgb="FF000000"/>
        <rFont val="맑은 고딕"/>
        <family val="0"/>
        <charset val="1"/>
      </rPr>
      <t xml:space="preserve">. </t>
    </r>
    <r>
      <rPr>
        <sz val="10"/>
        <color rgb="FF000000"/>
        <rFont val="WenQuanYi Zen Hei"/>
        <family val="2"/>
      </rPr>
      <t xml:space="preserve">일반적 관례를 연구자가 선택</t>
    </r>
    <r>
      <rPr>
        <sz val="10"/>
        <color rgb="FF000000"/>
        <rFont val="맑은 고딕"/>
        <family val="0"/>
        <charset val="1"/>
      </rPr>
      <t xml:space="preserve">.</t>
    </r>
  </si>
  <si>
    <t xml:space="preserve">D24</t>
  </si>
  <si>
    <r>
      <rPr>
        <b val="true"/>
        <sz val="10"/>
        <color rgb="FF000000"/>
        <rFont val="맑은 고딕"/>
        <family val="0"/>
        <charset val="1"/>
      </rPr>
      <t xml:space="preserve">Białas </t>
    </r>
    <r>
      <rPr>
        <b val="true"/>
        <sz val="10"/>
        <color rgb="FF000000"/>
        <rFont val="WenQuanYi Zen Hei"/>
        <family val="2"/>
      </rPr>
      <t xml:space="preserve">차용 범위</t>
    </r>
  </si>
  <si>
    <r>
      <rPr>
        <sz val="10"/>
        <color rgb="FF000000"/>
        <rFont val="WenQuanYi Zen Hei"/>
        <family val="2"/>
      </rPr>
      <t xml:space="preserve">차용</t>
    </r>
    <r>
      <rPr>
        <sz val="10"/>
        <color rgb="FF000000"/>
        <rFont val="맑은 고딕"/>
        <family val="0"/>
        <charset val="1"/>
      </rPr>
      <t xml:space="preserve">=</t>
    </r>
    <r>
      <rPr>
        <sz val="10"/>
        <color rgb="FF000000"/>
        <rFont val="WenQuanYi Zen Hei"/>
        <family val="2"/>
      </rPr>
      <t xml:space="preserve">방법</t>
    </r>
    <r>
      <rPr>
        <sz val="10"/>
        <color rgb="FF000000"/>
        <rFont val="맑은 고딕"/>
        <family val="0"/>
        <charset val="1"/>
      </rPr>
      <t xml:space="preserve">(competency question, object slot</t>
    </r>
    <r>
      <rPr>
        <sz val="10"/>
        <color rgb="FF000000"/>
        <rFont val="WenQuanYi Zen Hei"/>
        <family val="2"/>
      </rPr>
      <t xml:space="preserve">의 </t>
    </r>
    <r>
      <rPr>
        <sz val="10"/>
        <color rgb="FF000000"/>
        <rFont val="맑은 고딕"/>
        <family val="0"/>
        <charset val="1"/>
      </rPr>
      <t xml:space="preserve">domain/range, data slot, </t>
    </r>
    <r>
      <rPr>
        <sz val="10"/>
        <color rgb="FF000000"/>
        <rFont val="WenQuanYi Zen Hei"/>
        <family val="2"/>
      </rPr>
      <t xml:space="preserve">개체</t>
    </r>
    <r>
      <rPr>
        <sz val="10"/>
        <color rgb="FF000000"/>
        <rFont val="맑은 고딕"/>
        <family val="0"/>
        <charset val="1"/>
      </rPr>
      <t xml:space="preserve">=</t>
    </r>
    <r>
      <rPr>
        <sz val="10"/>
        <color rgb="FF000000"/>
        <rFont val="WenQuanYi Zen Hei"/>
        <family val="2"/>
      </rPr>
      <t xml:space="preserve">산출물</t>
    </r>
    <r>
      <rPr>
        <sz val="10"/>
        <color rgb="FF000000"/>
        <rFont val="맑은 고딕"/>
        <family val="0"/>
        <charset val="1"/>
      </rPr>
      <t xml:space="preserve">, </t>
    </r>
    <r>
      <rPr>
        <sz val="10"/>
        <color rgb="FF000000"/>
        <rFont val="WenQuanYi Zen Hei"/>
        <family val="2"/>
      </rPr>
      <t xml:space="preserve">검증 방식</t>
    </r>
    <r>
      <rPr>
        <sz val="10"/>
        <color rgb="FF000000"/>
        <rFont val="맑은 고딕"/>
        <family val="0"/>
        <charset val="1"/>
      </rPr>
      <t xml:space="preserve">). </t>
    </r>
    <r>
      <rPr>
        <sz val="10"/>
        <color rgb="FF000000"/>
        <rFont val="WenQuanYi Zen Hei"/>
        <family val="2"/>
      </rPr>
      <t xml:space="preserve">비차용</t>
    </r>
    <r>
      <rPr>
        <sz val="10"/>
        <color rgb="FF000000"/>
        <rFont val="맑은 고딕"/>
        <family val="0"/>
        <charset val="1"/>
      </rPr>
      <t xml:space="preserve">=</t>
    </r>
    <r>
      <rPr>
        <sz val="10"/>
        <color rgb="FF000000"/>
        <rFont val="WenQuanYi Zen Hei"/>
        <family val="2"/>
      </rPr>
      <t xml:space="preserve">클래스 목록</t>
    </r>
    <r>
      <rPr>
        <sz val="10"/>
        <color rgb="FF000000"/>
        <rFont val="맑은 고딕"/>
        <family val="0"/>
        <charset val="1"/>
      </rPr>
      <t xml:space="preserve">·</t>
    </r>
    <r>
      <rPr>
        <sz val="10"/>
        <color rgb="FF000000"/>
        <rFont val="WenQuanYi Zen Hei"/>
        <family val="2"/>
      </rPr>
      <t xml:space="preserve">관계 이름</t>
    </r>
    <r>
      <rPr>
        <sz val="10"/>
        <color rgb="FF000000"/>
        <rFont val="맑은 고딕"/>
        <family val="0"/>
        <charset val="1"/>
      </rPr>
      <t xml:space="preserve">(BS 25999 </t>
    </r>
    <r>
      <rPr>
        <sz val="10"/>
        <color rgb="FF000000"/>
        <rFont val="WenQuanYi Zen Hei"/>
        <family val="2"/>
      </rPr>
      <t xml:space="preserve">기반</t>
    </r>
    <r>
      <rPr>
        <sz val="10"/>
        <color rgb="FF000000"/>
        <rFont val="맑은 고딕"/>
        <family val="0"/>
        <charset val="1"/>
      </rPr>
      <t xml:space="preserve">). Białas</t>
    </r>
    <r>
      <rPr>
        <sz val="10"/>
        <color rgb="FF000000"/>
        <rFont val="WenQuanYi Zen Hei"/>
        <family val="2"/>
      </rPr>
      <t xml:space="preserve">는 </t>
    </r>
    <r>
      <rPr>
        <sz val="10"/>
        <color rgb="FF000000"/>
        <rFont val="맑은 고딕"/>
        <family val="0"/>
        <charset val="1"/>
      </rPr>
      <t xml:space="preserve">BCMO</t>
    </r>
    <r>
      <rPr>
        <sz val="10"/>
        <color rgb="FF000000"/>
        <rFont val="WenQuanYi Zen Hei"/>
        <family val="2"/>
      </rPr>
      <t xml:space="preserve">가 프로토타입이며 실제 데이터 검증이 더 필요하다고 밝힌다</t>
    </r>
    <r>
      <rPr>
        <sz val="10"/>
        <color rgb="FF000000"/>
        <rFont val="맑은 고딕"/>
        <family val="0"/>
        <charset val="1"/>
      </rPr>
      <t xml:space="preserve">.</t>
    </r>
  </si>
  <si>
    <t xml:space="preserve">B15 / B14 / B02 / B04 / B05 / B06 / B08</t>
  </si>
  <si>
    <r>
      <rPr>
        <b val="true"/>
        <sz val="14"/>
        <color rgb="FF101828"/>
        <rFont val="WenQuanYi Zen Hei"/>
        <family val="2"/>
      </rPr>
      <t xml:space="preserve">품질층 </t>
    </r>
    <r>
      <rPr>
        <b val="true"/>
        <sz val="14"/>
        <color rgb="FF101828"/>
        <rFont val="맑은 고딕"/>
        <family val="0"/>
        <charset val="1"/>
      </rPr>
      <t xml:space="preserve">6</t>
    </r>
    <r>
      <rPr>
        <b val="true"/>
        <sz val="14"/>
        <color rgb="FF101828"/>
        <rFont val="WenQuanYi Zen Hei"/>
        <family val="2"/>
      </rPr>
      <t xml:space="preserve">개 차원 — 정의와 근거 </t>
    </r>
    <r>
      <rPr>
        <b val="true"/>
        <sz val="14"/>
        <color rgb="FF101828"/>
        <rFont val="맑은 고딕"/>
        <family val="0"/>
        <charset val="1"/>
      </rPr>
      <t xml:space="preserve">(T1 </t>
    </r>
    <r>
      <rPr>
        <b val="true"/>
        <sz val="14"/>
        <color rgb="FF101828"/>
        <rFont val="WenQuanYi Zen Hei"/>
        <family val="2"/>
      </rPr>
      <t xml:space="preserve">두 논문 원문 </t>
    </r>
    <r>
      <rPr>
        <b val="true"/>
        <sz val="14"/>
        <color rgb="FF101828"/>
        <rFont val="맑은 고딕"/>
        <family val="0"/>
        <charset val="1"/>
      </rPr>
      <t xml:space="preserve">/ T2 </t>
    </r>
    <r>
      <rPr>
        <b val="true"/>
        <sz val="14"/>
        <color rgb="FF101828"/>
        <rFont val="WenQuanYi Zen Hei"/>
        <family val="2"/>
      </rPr>
      <t xml:space="preserve">외부 문헌 후보 </t>
    </r>
    <r>
      <rPr>
        <b val="true"/>
        <sz val="14"/>
        <color rgb="FF101828"/>
        <rFont val="맑은 고딕"/>
        <family val="0"/>
        <charset val="1"/>
      </rPr>
      <t xml:space="preserve">/ T3 </t>
    </r>
    <r>
      <rPr>
        <b val="true"/>
        <sz val="14"/>
        <color rgb="FF101828"/>
        <rFont val="WenQuanYi Zen Hei"/>
        <family val="2"/>
      </rPr>
      <t xml:space="preserve">연구자 정의</t>
    </r>
    <r>
      <rPr>
        <b val="true"/>
        <sz val="14"/>
        <color rgb="FF101828"/>
        <rFont val="맑은 고딕"/>
        <family val="0"/>
        <charset val="1"/>
      </rPr>
      <t xml:space="preserve">)</t>
    </r>
  </si>
  <si>
    <r>
      <rPr>
        <i val="true"/>
        <sz val="10"/>
        <color rgb="FF475467"/>
        <rFont val="WenQuanYi Zen Hei"/>
        <family val="2"/>
      </rPr>
      <t xml:space="preserve">첨부 문서</t>
    </r>
    <r>
      <rPr>
        <i val="true"/>
        <sz val="10"/>
        <color rgb="FF475467"/>
        <rFont val="맑은 고딕"/>
        <family val="0"/>
        <charset val="1"/>
      </rPr>
      <t xml:space="preserve">(</t>
    </r>
    <r>
      <rPr>
        <i val="true"/>
        <sz val="10"/>
        <color rgb="FF475467"/>
        <rFont val="WenQuanYi Zen Hei"/>
        <family val="2"/>
      </rPr>
      <t xml:space="preserve">연구자 제시</t>
    </r>
    <r>
      <rPr>
        <i val="true"/>
        <sz val="10"/>
        <color rgb="FF475467"/>
        <rFont val="맑은 고딕"/>
        <family val="0"/>
        <charset val="1"/>
      </rPr>
      <t xml:space="preserve">)</t>
    </r>
    <r>
      <rPr>
        <i val="true"/>
        <sz val="10"/>
        <color rgb="FF475467"/>
        <rFont val="WenQuanYi Zen Hei"/>
        <family val="2"/>
      </rPr>
      <t xml:space="preserve">의 </t>
    </r>
    <r>
      <rPr>
        <i val="true"/>
        <sz val="10"/>
        <color rgb="FF475467"/>
        <rFont val="맑은 고딕"/>
        <family val="0"/>
        <charset val="1"/>
      </rPr>
      <t xml:space="preserve">6</t>
    </r>
    <r>
      <rPr>
        <i val="true"/>
        <sz val="10"/>
        <color rgb="FF475467"/>
        <rFont val="WenQuanYi Zen Hei"/>
        <family val="2"/>
      </rPr>
      <t xml:space="preserve">차원을 초기 가설로 사용</t>
    </r>
    <r>
      <rPr>
        <i val="true"/>
        <sz val="10"/>
        <color rgb="FF475467"/>
        <rFont val="맑은 고딕"/>
        <family val="0"/>
        <charset val="1"/>
      </rPr>
      <t xml:space="preserve">. </t>
    </r>
    <r>
      <rPr>
        <i val="true"/>
        <sz val="10"/>
        <color rgb="FF475467"/>
        <rFont val="WenQuanYi Zen Hei"/>
        <family val="2"/>
      </rPr>
      <t xml:space="preserve">근거 강도는 두 논문 안에서의 직접성을 뜻한다</t>
    </r>
    <r>
      <rPr>
        <i val="true"/>
        <sz val="10"/>
        <color rgb="FF475467"/>
        <rFont val="맑은 고딕"/>
        <family val="0"/>
        <charset val="1"/>
      </rPr>
      <t xml:space="preserve">.</t>
    </r>
  </si>
  <si>
    <t xml:space="preserve">순서</t>
  </si>
  <si>
    <t xml:space="preserve">코드</t>
  </si>
  <si>
    <t xml:space="preserve">차원</t>
  </si>
  <si>
    <t xml:space="preserve">영문</t>
  </si>
  <si>
    <r>
      <rPr>
        <b val="true"/>
        <sz val="10"/>
        <color rgb="FFFFFFFF"/>
        <rFont val="WenQuanYi Zen Hei"/>
        <family val="2"/>
      </rPr>
      <t xml:space="preserve">첨부 문서의 정의 </t>
    </r>
    <r>
      <rPr>
        <b val="true"/>
        <sz val="10"/>
        <color rgb="FFFFFFFF"/>
        <rFont val="맑은 고딕"/>
        <family val="0"/>
        <charset val="1"/>
      </rPr>
      <t xml:space="preserve">(</t>
    </r>
    <r>
      <rPr>
        <b val="true"/>
        <sz val="10"/>
        <color rgb="FFFFFFFF"/>
        <rFont val="WenQuanYi Zen Hei"/>
        <family val="2"/>
      </rPr>
      <t xml:space="preserve">연구자 제시</t>
    </r>
    <r>
      <rPr>
        <b val="true"/>
        <sz val="10"/>
        <color rgb="FFFFFFFF"/>
        <rFont val="맑은 고딕"/>
        <family val="0"/>
        <charset val="1"/>
      </rPr>
      <t xml:space="preserve">)</t>
    </r>
  </si>
  <si>
    <r>
      <rPr>
        <b val="true"/>
        <sz val="10"/>
        <color rgb="FFFFFFFF"/>
        <rFont val="WenQuanYi Zen Hei"/>
        <family val="2"/>
      </rPr>
      <t xml:space="preserve">본 연구의 조작적 정의 </t>
    </r>
    <r>
      <rPr>
        <b val="true"/>
        <sz val="10"/>
        <color rgb="FFFFFFFF"/>
        <rFont val="맑은 고딕"/>
        <family val="0"/>
        <charset val="1"/>
      </rPr>
      <t xml:space="preserve">(</t>
    </r>
    <r>
      <rPr>
        <b val="true"/>
        <sz val="10"/>
        <color rgb="FFFFFFFF"/>
        <rFont val="WenQuanYi Zen Hei"/>
        <family val="2"/>
      </rPr>
      <t xml:space="preserve">연구자</t>
    </r>
    <r>
      <rPr>
        <b val="true"/>
        <sz val="10"/>
        <color rgb="FFFFFFFF"/>
        <rFont val="맑은 고딕"/>
        <family val="0"/>
        <charset val="1"/>
      </rPr>
      <t xml:space="preserve">)</t>
    </r>
  </si>
  <si>
    <t xml:space="preserve">문항 틀</t>
  </si>
  <si>
    <t xml:space="preserve">적용 연결 수</t>
  </si>
  <si>
    <r>
      <rPr>
        <b val="true"/>
        <sz val="10"/>
        <color rgb="FFFFFFFF"/>
        <rFont val="맑은 고딕"/>
        <family val="0"/>
        <charset val="1"/>
      </rPr>
      <t xml:space="preserve">T1 </t>
    </r>
    <r>
      <rPr>
        <b val="true"/>
        <sz val="10"/>
        <color rgb="FFFFFFFF"/>
        <rFont val="WenQuanYi Zen Hei"/>
        <family val="2"/>
      </rPr>
      <t xml:space="preserve">인용 </t>
    </r>
    <r>
      <rPr>
        <b val="true"/>
        <sz val="10"/>
        <color rgb="FFFFFFFF"/>
        <rFont val="맑은 고딕"/>
        <family val="0"/>
        <charset val="1"/>
      </rPr>
      <t xml:space="preserve">ID (</t>
    </r>
    <r>
      <rPr>
        <b val="true"/>
        <sz val="10"/>
        <color rgb="FFFFFFFF"/>
        <rFont val="WenQuanYi Zen Hei"/>
        <family val="2"/>
      </rPr>
      <t xml:space="preserve">원문 대조 완료</t>
    </r>
    <r>
      <rPr>
        <b val="true"/>
        <sz val="10"/>
        <color rgb="FFFFFFFF"/>
        <rFont val="맑은 고딕"/>
        <family val="0"/>
        <charset val="1"/>
      </rPr>
      <t xml:space="preserve">)</t>
    </r>
  </si>
  <si>
    <r>
      <rPr>
        <b val="true"/>
        <sz val="10"/>
        <color rgb="FFFFFFFF"/>
        <rFont val="맑은 고딕"/>
        <family val="0"/>
        <charset val="1"/>
      </rPr>
      <t xml:space="preserve">T1 </t>
    </r>
    <r>
      <rPr>
        <b val="true"/>
        <sz val="10"/>
        <color rgb="FFFFFFFF"/>
        <rFont val="WenQuanYi Zen Hei"/>
        <family val="2"/>
      </rPr>
      <t xml:space="preserve">대표 인용 원문</t>
    </r>
  </si>
  <si>
    <r>
      <rPr>
        <b val="true"/>
        <sz val="10"/>
        <color rgb="FFFFFFFF"/>
        <rFont val="맑은 고딕"/>
        <family val="0"/>
        <charset val="1"/>
      </rPr>
      <t xml:space="preserve">T1 </t>
    </r>
    <r>
      <rPr>
        <b val="true"/>
        <sz val="10"/>
        <color rgb="FFFFFFFF"/>
        <rFont val="WenQuanYi Zen Hei"/>
        <family val="2"/>
      </rPr>
      <t xml:space="preserve">근거 강도</t>
    </r>
  </si>
  <si>
    <r>
      <rPr>
        <b val="true"/>
        <sz val="10"/>
        <color rgb="FFFFFFFF"/>
        <rFont val="맑은 고딕"/>
        <family val="0"/>
        <charset val="1"/>
      </rPr>
      <t xml:space="preserve">T1 </t>
    </r>
    <r>
      <rPr>
        <b val="true"/>
        <sz val="10"/>
        <color rgb="FFFFFFFF"/>
        <rFont val="WenQuanYi Zen Hei"/>
        <family val="2"/>
      </rPr>
      <t xml:space="preserve">근거 설명</t>
    </r>
  </si>
  <si>
    <r>
      <rPr>
        <b val="true"/>
        <sz val="10"/>
        <color rgb="FFFFFFFF"/>
        <rFont val="맑은 고딕"/>
        <family val="0"/>
        <charset val="1"/>
      </rPr>
      <t xml:space="preserve">T2 </t>
    </r>
    <r>
      <rPr>
        <b val="true"/>
        <sz val="10"/>
        <color rgb="FFFFFFFF"/>
        <rFont val="WenQuanYi Zen Hei"/>
        <family val="2"/>
      </rPr>
      <t xml:space="preserve">외부 문헌 후보 </t>
    </r>
    <r>
      <rPr>
        <b val="true"/>
        <sz val="10"/>
        <color rgb="FFFFFFFF"/>
        <rFont val="맑은 고딕"/>
        <family val="0"/>
        <charset val="1"/>
      </rPr>
      <t xml:space="preserve">ID</t>
    </r>
  </si>
  <si>
    <r>
      <rPr>
        <b val="true"/>
        <sz val="10"/>
        <color rgb="FFFFFFFF"/>
        <rFont val="맑은 고딕"/>
        <family val="0"/>
        <charset val="1"/>
      </rPr>
      <t xml:space="preserve">T2 </t>
    </r>
    <r>
      <rPr>
        <b val="true"/>
        <sz val="10"/>
        <color rgb="FFFFFFFF"/>
        <rFont val="WenQuanYi Zen Hei"/>
        <family val="2"/>
      </rPr>
      <t xml:space="preserve">외부 문헌 설명</t>
    </r>
  </si>
  <si>
    <r>
      <rPr>
        <b val="true"/>
        <sz val="10"/>
        <color rgb="FFFFFFFF"/>
        <rFont val="WenQuanYi Zen Hei"/>
        <family val="2"/>
      </rPr>
      <t xml:space="preserve">다른 차원과의 겹침 </t>
    </r>
    <r>
      <rPr>
        <b val="true"/>
        <sz val="10"/>
        <color rgb="FFFFFFFF"/>
        <rFont val="맑은 고딕"/>
        <family val="0"/>
        <charset val="1"/>
      </rPr>
      <t xml:space="preserve">(</t>
    </r>
    <r>
      <rPr>
        <b val="true"/>
        <sz val="10"/>
        <color rgb="FFFFFFFF"/>
        <rFont val="WenQuanYi Zen Hei"/>
        <family val="2"/>
      </rPr>
      <t xml:space="preserve">연구자 우려</t>
    </r>
    <r>
      <rPr>
        <b val="true"/>
        <sz val="10"/>
        <color rgb="FFFFFFFF"/>
        <rFont val="맑은 고딕"/>
        <family val="0"/>
        <charset val="1"/>
      </rPr>
      <t xml:space="preserve">)</t>
    </r>
  </si>
  <si>
    <t xml:space="preserve">CO</t>
  </si>
  <si>
    <t xml:space="preserve">Consistency</t>
  </si>
  <si>
    <t xml:space="preserve">선행 산출물과 후행 의사결정이 모순 없이 일치하는가</t>
  </si>
  <si>
    <r>
      <rPr>
        <sz val="10"/>
        <color rgb="FF000000"/>
        <rFont val="WenQuanYi Zen Hei"/>
        <family val="2"/>
      </rPr>
      <t xml:space="preserve">연결된 두 프로세스의 산출물과 결정</t>
    </r>
    <r>
      <rPr>
        <sz val="10"/>
        <color rgb="FF000000"/>
        <rFont val="맑은 고딕"/>
        <family val="0"/>
        <charset val="1"/>
      </rPr>
      <t xml:space="preserve">(S</t>
    </r>
    <r>
      <rPr>
        <sz val="10"/>
        <color rgb="FF000000"/>
        <rFont val="WenQuanYi Zen Hei"/>
        <family val="2"/>
      </rPr>
      <t xml:space="preserve">의 산출물과 </t>
    </r>
    <r>
      <rPr>
        <sz val="10"/>
        <color rgb="FF000000"/>
        <rFont val="맑은 고딕"/>
        <family val="0"/>
        <charset val="1"/>
      </rPr>
      <t xml:space="preserve">T</t>
    </r>
    <r>
      <rPr>
        <sz val="10"/>
        <color rgb="FF000000"/>
        <rFont val="WenQuanYi Zen Hei"/>
        <family val="2"/>
      </rPr>
      <t xml:space="preserve">의 내용</t>
    </r>
    <r>
      <rPr>
        <sz val="10"/>
        <color rgb="FF000000"/>
        <rFont val="맑은 고딕"/>
        <family val="0"/>
        <charset val="1"/>
      </rPr>
      <t xml:space="preserve">)</t>
    </r>
    <r>
      <rPr>
        <sz val="10"/>
        <color rgb="FF000000"/>
        <rFont val="WenQuanYi Zen Hei"/>
        <family val="2"/>
      </rPr>
      <t xml:space="preserve">이 서로 모순 없이 일치하는 정도</t>
    </r>
  </si>
  <si>
    <r>
      <rPr>
        <sz val="10"/>
        <color rgb="FF000000"/>
        <rFont val="맑은 고딕"/>
        <family val="0"/>
        <charset val="1"/>
      </rPr>
      <t xml:space="preserve">(</t>
    </r>
    <r>
      <rPr>
        <sz val="10"/>
        <color rgb="FF000000"/>
        <rFont val="WenQuanYi Zen Hei"/>
        <family val="2"/>
      </rPr>
      <t xml:space="preserve">연결 문장</t>
    </r>
    <r>
      <rPr>
        <sz val="10"/>
        <color rgb="FF000000"/>
        <rFont val="맑은 고딕"/>
        <family val="0"/>
        <charset val="1"/>
      </rPr>
      <t xml:space="preserve">: S</t>
    </r>
    <r>
      <rPr>
        <sz val="10"/>
        <color rgb="FF000000"/>
        <rFont val="WenQuanYi Zen Hei"/>
        <family val="2"/>
      </rPr>
      <t xml:space="preserve">의 산출물이 </t>
    </r>
    <r>
      <rPr>
        <sz val="10"/>
        <color rgb="FF000000"/>
        <rFont val="맑은 고딕"/>
        <family val="0"/>
        <charset val="1"/>
      </rPr>
      <t xml:space="preserve">T</t>
    </r>
    <r>
      <rPr>
        <sz val="10"/>
        <color rgb="FF000000"/>
        <rFont val="WenQuanYi Zen Hei"/>
        <family val="2"/>
      </rPr>
      <t xml:space="preserve">에 … 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</si>
  <si>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중</t>
  </si>
  <si>
    <r>
      <rPr>
        <sz val="10"/>
        <color rgb="FF000000"/>
        <rFont val="WenQuanYi Zen Hei"/>
        <family val="2"/>
      </rPr>
      <t xml:space="preserve">두 논문에는 </t>
    </r>
    <r>
      <rPr>
        <sz val="10"/>
        <color rgb="FF000000"/>
        <rFont val="맑은 고딕"/>
        <family val="0"/>
        <charset val="1"/>
      </rPr>
      <t xml:space="preserve">"</t>
    </r>
    <r>
      <rPr>
        <sz val="10"/>
        <color rgb="FF000000"/>
        <rFont val="WenQuanYi Zen Hei"/>
        <family val="2"/>
      </rPr>
      <t xml:space="preserve">일관성</t>
    </r>
    <r>
      <rPr>
        <sz val="10"/>
        <color rgb="FF000000"/>
        <rFont val="맑은 고딕"/>
        <family val="0"/>
        <charset val="1"/>
      </rPr>
      <t xml:space="preserve">/</t>
    </r>
    <r>
      <rPr>
        <sz val="10"/>
        <color rgb="FF000000"/>
        <rFont val="WenQuanYi Zen Hei"/>
        <family val="2"/>
      </rPr>
      <t xml:space="preserve">모순</t>
    </r>
    <r>
      <rPr>
        <sz val="10"/>
        <color rgb="FF000000"/>
        <rFont val="맑은 고딕"/>
        <family val="0"/>
        <charset val="1"/>
      </rPr>
      <t xml:space="preserve">"</t>
    </r>
    <r>
      <rPr>
        <sz val="10"/>
        <color rgb="FF000000"/>
        <rFont val="WenQuanYi Zen Hei"/>
        <family val="2"/>
      </rPr>
      <t xml:space="preserve">이라는 말을 직접 쓴 문장이 없다</t>
    </r>
    <r>
      <rPr>
        <sz val="10"/>
        <color rgb="FF000000"/>
        <rFont val="맑은 고딕"/>
        <family val="0"/>
        <charset val="1"/>
      </rPr>
      <t xml:space="preserve">. </t>
    </r>
    <r>
      <rPr>
        <sz val="10"/>
        <color rgb="FF000000"/>
        <rFont val="WenQuanYi Zen Hei"/>
        <family val="2"/>
      </rPr>
      <t xml:space="preserve">후행 결정이 선행 산출물에 </t>
    </r>
    <r>
      <rPr>
        <sz val="10"/>
        <color rgb="FF000000"/>
        <rFont val="맑은 고딕"/>
        <family val="0"/>
        <charset val="1"/>
      </rPr>
      <t xml:space="preserve">"</t>
    </r>
    <r>
      <rPr>
        <sz val="10"/>
        <color rgb="FF000000"/>
        <rFont val="WenQuanYi Zen Hei"/>
        <family val="2"/>
      </rPr>
      <t xml:space="preserve">부합</t>
    </r>
    <r>
      <rPr>
        <sz val="10"/>
        <color rgb="FF000000"/>
        <rFont val="맑은 고딕"/>
        <family val="0"/>
        <charset val="1"/>
      </rPr>
      <t xml:space="preserve">(matches)·</t>
    </r>
    <r>
      <rPr>
        <sz val="10"/>
        <color rgb="FF000000"/>
        <rFont val="WenQuanYi Zen Hei"/>
        <family val="2"/>
      </rPr>
      <t xml:space="preserve">근거</t>
    </r>
    <r>
      <rPr>
        <sz val="10"/>
        <color rgb="FF000000"/>
        <rFont val="맑은 고딕"/>
        <family val="0"/>
        <charset val="1"/>
      </rPr>
      <t xml:space="preserve">(foundation)·</t>
    </r>
    <r>
      <rPr>
        <sz val="10"/>
        <color rgb="FF000000"/>
        <rFont val="WenQuanYi Zen Hei"/>
        <family val="2"/>
      </rPr>
      <t xml:space="preserve">도출</t>
    </r>
    <r>
      <rPr>
        <sz val="10"/>
        <color rgb="FF000000"/>
        <rFont val="맑은 고딕"/>
        <family val="0"/>
        <charset val="1"/>
      </rPr>
      <t xml:space="preserve">(derived)"</t>
    </r>
    <r>
      <rPr>
        <sz val="10"/>
        <color rgb="FF000000"/>
        <rFont val="WenQuanYi Zen Hei"/>
        <family val="2"/>
      </rPr>
      <t xml:space="preserve">되어야 한다는 서술이 근거다</t>
    </r>
    <r>
      <rPr>
        <sz val="10"/>
        <color rgb="FF000000"/>
        <rFont val="맑은 고딕"/>
        <family val="0"/>
        <charset val="1"/>
      </rPr>
      <t xml:space="preserve">(A33, A12, A14, A16).</t>
    </r>
  </si>
  <si>
    <t xml:space="preserve">S03 / S05 / S06 / S04</t>
  </si>
  <si>
    <r>
      <rPr>
        <sz val="10"/>
        <color rgb="FF000000"/>
        <rFont val="WenQuanYi Zen Hei"/>
        <family val="2"/>
      </rPr>
      <t xml:space="preserve">데이터 품질</t>
    </r>
    <r>
      <rPr>
        <sz val="10"/>
        <color rgb="FF000000"/>
        <rFont val="맑은 고딕"/>
        <family val="0"/>
        <charset val="1"/>
      </rPr>
      <t xml:space="preserve">·</t>
    </r>
    <r>
      <rPr>
        <sz val="10"/>
        <color rgb="FF000000"/>
        <rFont val="WenQuanYi Zen Hei"/>
        <family val="2"/>
      </rPr>
      <t xml:space="preserve">요구사항 일관성 문헌에서 일관성은 확립된 개념이다</t>
    </r>
    <r>
      <rPr>
        <sz val="10"/>
        <color rgb="FF000000"/>
        <rFont val="맑은 고딕"/>
        <family val="0"/>
        <charset val="1"/>
      </rPr>
      <t xml:space="preserve">. </t>
    </r>
    <r>
      <rPr>
        <sz val="10"/>
        <color rgb="FF000000"/>
        <rFont val="WenQuanYi Zen Hei"/>
        <family val="2"/>
      </rPr>
      <t xml:space="preserve">다만 원문 정의 문장은 이 세션에서 확인하지 못했다</t>
    </r>
    <r>
      <rPr>
        <sz val="10"/>
        <color rgb="FF000000"/>
        <rFont val="맑은 고딕"/>
        <family val="0"/>
        <charset val="1"/>
      </rPr>
      <t xml:space="preserve">.</t>
    </r>
  </si>
  <si>
    <r>
      <rPr>
        <sz val="10"/>
        <color rgb="FF000000"/>
        <rFont val="WenQuanYi Zen Hei"/>
        <family val="2"/>
      </rPr>
      <t xml:space="preserve">증빙성</t>
    </r>
    <r>
      <rPr>
        <sz val="10"/>
        <color rgb="FF000000"/>
        <rFont val="맑은 고딕"/>
        <family val="0"/>
        <charset val="1"/>
      </rPr>
      <t xml:space="preserve">·</t>
    </r>
    <r>
      <rPr>
        <sz val="10"/>
        <color rgb="FF000000"/>
        <rFont val="WenQuanYi Zen Hei"/>
        <family val="2"/>
      </rPr>
      <t xml:space="preserve">추적성과 함께 </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근거</t>
    </r>
    <r>
      <rPr>
        <sz val="10"/>
        <color rgb="FF000000"/>
        <rFont val="맑은 고딕"/>
        <family val="0"/>
        <charset val="1"/>
      </rPr>
      <t xml:space="preserve">"</t>
    </r>
    <r>
      <rPr>
        <sz val="10"/>
        <color rgb="FF000000"/>
        <rFont val="WenQuanYi Zen Hei"/>
        <family val="2"/>
      </rPr>
      <t xml:space="preserve">를 다루므로 요인분석에서 구분되는지 확인 필요</t>
    </r>
  </si>
  <si>
    <t xml:space="preserve">TR</t>
  </si>
  <si>
    <t xml:space="preserve">Traceability</t>
  </si>
  <si>
    <t xml:space="preserve">후행 결과에서 선행 근거를 역추적할 수 있는가</t>
  </si>
  <si>
    <r>
      <rPr>
        <sz val="10"/>
        <color rgb="FF000000"/>
        <rFont val="WenQuanYi Zen Hei"/>
        <family val="2"/>
      </rPr>
      <t xml:space="preserve">후행 결과</t>
    </r>
    <r>
      <rPr>
        <sz val="10"/>
        <color rgb="FF000000"/>
        <rFont val="맑은 고딕"/>
        <family val="0"/>
        <charset val="1"/>
      </rPr>
      <t xml:space="preserve">(T</t>
    </r>
    <r>
      <rPr>
        <sz val="10"/>
        <color rgb="FF000000"/>
        <rFont val="WenQuanYi Zen Hei"/>
        <family val="2"/>
      </rPr>
      <t xml:space="preserve">의 내용</t>
    </r>
    <r>
      <rPr>
        <sz val="10"/>
        <color rgb="FF000000"/>
        <rFont val="맑은 고딕"/>
        <family val="0"/>
        <charset val="1"/>
      </rPr>
      <t xml:space="preserve">)</t>
    </r>
    <r>
      <rPr>
        <sz val="10"/>
        <color rgb="FF000000"/>
        <rFont val="WenQuanYi Zen Hei"/>
        <family val="2"/>
      </rPr>
      <t xml:space="preserve">에서 근거가 된 선행 산출물</t>
    </r>
    <r>
      <rPr>
        <sz val="10"/>
        <color rgb="FF000000"/>
        <rFont val="맑은 고딕"/>
        <family val="0"/>
        <charset val="1"/>
      </rPr>
      <t xml:space="preserve">(S</t>
    </r>
    <r>
      <rPr>
        <sz val="10"/>
        <color rgb="FF000000"/>
        <rFont val="WenQuanYi Zen Hei"/>
        <family val="2"/>
      </rPr>
      <t xml:space="preserve">의 산출물</t>
    </r>
    <r>
      <rPr>
        <sz val="10"/>
        <color rgb="FF000000"/>
        <rFont val="맑은 고딕"/>
        <family val="0"/>
        <charset val="1"/>
      </rPr>
      <t xml:space="preserve">)</t>
    </r>
    <r>
      <rPr>
        <sz val="10"/>
        <color rgb="FF000000"/>
        <rFont val="WenQuanYi Zen Hei"/>
        <family val="2"/>
      </rPr>
      <t xml:space="preserve">을 거슬러 찾아 확인할 수 있는 정도</t>
    </r>
  </si>
  <si>
    <r>
      <rPr>
        <sz val="10"/>
        <color rgb="FF000000"/>
        <rFont val="맑은 고딕"/>
        <family val="0"/>
        <charset val="1"/>
      </rPr>
      <t xml:space="preserve">(T</t>
    </r>
    <r>
      <rPr>
        <sz val="10"/>
        <color rgb="FF000000"/>
        <rFont val="WenQuanYi Zen Hei"/>
        <family val="2"/>
      </rPr>
      <t xml:space="preserve">의 내용</t>
    </r>
    <r>
      <rPr>
        <sz val="10"/>
        <color rgb="FF000000"/>
        <rFont val="맑은 고딕"/>
        <family val="0"/>
        <charset val="1"/>
      </rPr>
      <t xml:space="preserve">)</t>
    </r>
    <r>
      <rPr>
        <sz val="10"/>
        <color rgb="FF000000"/>
        <rFont val="WenQuanYi Zen Hei"/>
        <family val="2"/>
      </rPr>
      <t xml:space="preserve">에서 근거가 된 </t>
    </r>
    <r>
      <rPr>
        <sz val="10"/>
        <color rgb="FF000000"/>
        <rFont val="맑은 고딕"/>
        <family val="0"/>
        <charset val="1"/>
      </rPr>
      <t xml:space="preserve">(S</t>
    </r>
    <r>
      <rPr>
        <sz val="10"/>
        <color rgb="FF000000"/>
        <rFont val="WenQuanYi Zen Hei"/>
        <family val="2"/>
      </rPr>
      <t xml:space="preserve">의 산출물</t>
    </r>
    <r>
      <rPr>
        <sz val="10"/>
        <color rgb="FF000000"/>
        <rFont val="맑은 고딕"/>
        <family val="0"/>
        <charset val="1"/>
      </rPr>
      <t xml:space="preserve">)</t>
    </r>
    <r>
      <rPr>
        <sz val="10"/>
        <color rgb="FF000000"/>
        <rFont val="WenQuanYi Zen Hei"/>
        <family val="2"/>
      </rPr>
      <t xml:space="preserve">을 거슬러 찾아 확인할 수 있다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</si>
  <si>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없음</t>
    </r>
    <r>
      <rPr>
        <sz val="10"/>
        <color rgb="FF000000"/>
        <rFont val="맑은 고딕"/>
        <family val="0"/>
        <charset val="1"/>
      </rPr>
      <t xml:space="preserve">) (</t>
    </r>
    <r>
      <rPr>
        <sz val="10"/>
        <color rgb="FF000000"/>
        <rFont val="WenQuanYi Zen Hei"/>
        <family val="2"/>
      </rPr>
      <t xml:space="preserve">약한 간접</t>
    </r>
    <r>
      <rPr>
        <sz val="10"/>
        <color rgb="FF000000"/>
        <rFont val="맑은 고딕"/>
        <family val="0"/>
        <charset val="1"/>
      </rPr>
      <t xml:space="preserve">: A13, B11)</t>
    </r>
  </si>
  <si>
    <t xml:space="preserve">없음</t>
  </si>
  <si>
    <r>
      <rPr>
        <sz val="10"/>
        <color rgb="FF000000"/>
        <rFont val="WenQuanYi Zen Hei"/>
        <family val="2"/>
      </rPr>
      <t xml:space="preserve">두 논문에는 추적</t>
    </r>
    <r>
      <rPr>
        <sz val="10"/>
        <color rgb="FF000000"/>
        <rFont val="맑은 고딕"/>
        <family val="0"/>
        <charset val="1"/>
      </rPr>
      <t xml:space="preserve">(traceability)</t>
    </r>
    <r>
      <rPr>
        <sz val="10"/>
        <color rgb="FF000000"/>
        <rFont val="WenQuanYi Zen Hei"/>
        <family val="2"/>
      </rPr>
      <t xml:space="preserve">을 직접 다룬 문장이 없다</t>
    </r>
    <r>
      <rPr>
        <sz val="10"/>
        <color rgb="FF000000"/>
        <rFont val="맑은 고딕"/>
        <family val="0"/>
        <charset val="1"/>
      </rPr>
      <t xml:space="preserve">(</t>
    </r>
    <r>
      <rPr>
        <sz val="10"/>
        <color rgb="FF000000"/>
        <rFont val="WenQuanYi Zen Hei"/>
        <family val="2"/>
      </rPr>
      <t xml:space="preserve">원문 검색으로 확인</t>
    </r>
    <r>
      <rPr>
        <sz val="10"/>
        <color rgb="FF000000"/>
        <rFont val="맑은 고딕"/>
        <family val="0"/>
        <charset val="1"/>
      </rPr>
      <t xml:space="preserve">). </t>
    </r>
    <r>
      <rPr>
        <sz val="10"/>
        <color rgb="FF000000"/>
        <rFont val="WenQuanYi Zen Hei"/>
        <family val="2"/>
      </rPr>
      <t xml:space="preserve">약한 간접 근거로 </t>
    </r>
    <r>
      <rPr>
        <sz val="10"/>
        <color rgb="FF000000"/>
        <rFont val="맑은 고딕"/>
        <family val="0"/>
        <charset val="1"/>
      </rPr>
      <t xml:space="preserve">BIA </t>
    </r>
    <r>
      <rPr>
        <sz val="10"/>
        <color rgb="FF000000"/>
        <rFont val="WenQuanYi Zen Hei"/>
        <family val="2"/>
      </rPr>
      <t xml:space="preserve">결과가 </t>
    </r>
    <r>
      <rPr>
        <sz val="10"/>
        <color rgb="FF000000"/>
        <rFont val="맑은 고딕"/>
        <family val="0"/>
        <charset val="1"/>
      </rPr>
      <t xml:space="preserve">"</t>
    </r>
    <r>
      <rPr>
        <sz val="10"/>
        <color rgb="FF000000"/>
        <rFont val="WenQuanYi Zen Hei"/>
        <family val="2"/>
      </rPr>
      <t xml:space="preserve">근거가 첨부된 문서화된 진술</t>
    </r>
    <r>
      <rPr>
        <sz val="10"/>
        <color rgb="FF000000"/>
        <rFont val="맑은 고딕"/>
        <family val="0"/>
        <charset val="1"/>
      </rPr>
      <t xml:space="preserve">"</t>
    </r>
    <r>
      <rPr>
        <sz val="10"/>
        <color rgb="FF000000"/>
        <rFont val="WenQuanYi Zen Hei"/>
        <family val="2"/>
      </rPr>
      <t xml:space="preserve">이라는 서술</t>
    </r>
    <r>
      <rPr>
        <sz val="10"/>
        <color rgb="FF000000"/>
        <rFont val="맑은 고딕"/>
        <family val="0"/>
        <charset val="1"/>
      </rPr>
      <t xml:space="preserve">(A13)</t>
    </r>
    <r>
      <rPr>
        <sz val="10"/>
        <color rgb="FF000000"/>
        <rFont val="WenQuanYi Zen Hei"/>
        <family val="2"/>
      </rPr>
      <t xml:space="preserve">과</t>
    </r>
    <r>
      <rPr>
        <sz val="10"/>
        <color rgb="FF000000"/>
        <rFont val="맑은 고딕"/>
        <family val="0"/>
        <charset val="1"/>
      </rPr>
      <t xml:space="preserve">, </t>
    </r>
    <r>
      <rPr>
        <sz val="10"/>
        <color rgb="FF000000"/>
        <rFont val="WenQuanYi Zen Hei"/>
        <family val="2"/>
      </rPr>
      <t xml:space="preserve">지식베이스에서 </t>
    </r>
    <r>
      <rPr>
        <sz val="10"/>
        <color rgb="FF000000"/>
        <rFont val="맑은 고딕"/>
        <family val="0"/>
        <charset val="1"/>
      </rPr>
      <t xml:space="preserve">BIA </t>
    </r>
    <r>
      <rPr>
        <sz val="10"/>
        <color rgb="FF000000"/>
        <rFont val="WenQuanYi Zen Hei"/>
        <family val="2"/>
      </rPr>
      <t xml:space="preserve">보고서를 관련 사안으로 질의</t>
    </r>
    <r>
      <rPr>
        <sz val="10"/>
        <color rgb="FF000000"/>
        <rFont val="맑은 고딕"/>
        <family val="0"/>
        <charset val="1"/>
      </rPr>
      <t xml:space="preserve">·</t>
    </r>
    <r>
      <rPr>
        <sz val="10"/>
        <color rgb="FF000000"/>
        <rFont val="WenQuanYi Zen Hei"/>
        <family val="2"/>
      </rPr>
      <t xml:space="preserve">검색하는 </t>
    </r>
    <r>
      <rPr>
        <sz val="10"/>
        <color rgb="FF000000"/>
        <rFont val="맑은 고딕"/>
        <family val="0"/>
        <charset val="1"/>
      </rPr>
      <t xml:space="preserve">Białas</t>
    </r>
    <r>
      <rPr>
        <sz val="10"/>
        <color rgb="FF000000"/>
        <rFont val="WenQuanYi Zen Hei"/>
        <family val="2"/>
      </rPr>
      <t xml:space="preserve">의 예</t>
    </r>
    <r>
      <rPr>
        <sz val="10"/>
        <color rgb="FF000000"/>
        <rFont val="맑은 고딕"/>
        <family val="0"/>
        <charset val="1"/>
      </rPr>
      <t xml:space="preserve">(B11)</t>
    </r>
    <r>
      <rPr>
        <sz val="10"/>
        <color rgb="FF000000"/>
        <rFont val="WenQuanYi Zen Hei"/>
        <family val="2"/>
      </rPr>
      <t xml:space="preserve">가 있을 뿐이다</t>
    </r>
    <r>
      <rPr>
        <sz val="10"/>
        <color rgb="FF000000"/>
        <rFont val="맑은 고딕"/>
        <family val="0"/>
        <charset val="1"/>
      </rPr>
      <t xml:space="preserve">.</t>
    </r>
  </si>
  <si>
    <t xml:space="preserve">S01 / S02</t>
  </si>
  <si>
    <r>
      <rPr>
        <sz val="10"/>
        <color rgb="FF000000"/>
        <rFont val="WenQuanYi Zen Hei"/>
        <family val="2"/>
      </rPr>
      <t xml:space="preserve">요구사항 추적성은 소프트웨어공학에서 잘 정립된 개념이다</t>
    </r>
    <r>
      <rPr>
        <sz val="10"/>
        <color rgb="FF000000"/>
        <rFont val="맑은 고딕"/>
        <family val="0"/>
        <charset val="1"/>
      </rPr>
      <t xml:space="preserve">. </t>
    </r>
    <r>
      <rPr>
        <sz val="10"/>
        <color rgb="FF000000"/>
        <rFont val="WenQuanYi Zen Hei"/>
        <family val="2"/>
      </rPr>
      <t xml:space="preserve">이 차원의 학술 근거는 두 논문이 아니라 외부 문헌에 의존한다</t>
    </r>
    <r>
      <rPr>
        <sz val="10"/>
        <color rgb="FF000000"/>
        <rFont val="맑은 고딕"/>
        <family val="0"/>
        <charset val="1"/>
      </rPr>
      <t xml:space="preserve">.</t>
    </r>
  </si>
  <si>
    <r>
      <rPr>
        <sz val="10"/>
        <color rgb="FF000000"/>
        <rFont val="WenQuanYi Zen Hei"/>
        <family val="2"/>
      </rPr>
      <t xml:space="preserve">증빙성</t>
    </r>
    <r>
      <rPr>
        <sz val="10"/>
        <color rgb="FF000000"/>
        <rFont val="맑은 고딕"/>
        <family val="0"/>
        <charset val="1"/>
      </rPr>
      <t xml:space="preserve">(</t>
    </r>
    <r>
      <rPr>
        <sz val="10"/>
        <color rgb="FF000000"/>
        <rFont val="WenQuanYi Zen Hei"/>
        <family val="2"/>
      </rPr>
      <t xml:space="preserve">기록 존재</t>
    </r>
    <r>
      <rPr>
        <sz val="10"/>
        <color rgb="FF000000"/>
        <rFont val="맑은 고딕"/>
        <family val="0"/>
        <charset val="1"/>
      </rPr>
      <t xml:space="preserve">)</t>
    </r>
    <r>
      <rPr>
        <sz val="10"/>
        <color rgb="FF000000"/>
        <rFont val="WenQuanYi Zen Hei"/>
        <family val="2"/>
      </rPr>
      <t xml:space="preserve">이 있어야 추적성이 가능하므로 두 차원의 상관이 높을 수 있음</t>
    </r>
  </si>
  <si>
    <t xml:space="preserve">EV</t>
  </si>
  <si>
    <t xml:space="preserve">Evidence</t>
  </si>
  <si>
    <r>
      <rPr>
        <sz val="10"/>
        <color rgb="FF000000"/>
        <rFont val="WenQuanYi Zen Hei"/>
        <family val="2"/>
      </rPr>
      <t xml:space="preserve">연결을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승인이 존재하는가</t>
    </r>
  </si>
  <si>
    <r>
      <rPr>
        <sz val="10"/>
        <color rgb="FF000000"/>
        <rFont val="WenQuanYi Zen Hei"/>
        <family val="2"/>
      </rPr>
      <t xml:space="preserve">연결이 실제로 이루어졌음을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있는 정도</t>
    </r>
  </si>
  <si>
    <r>
      <rPr>
        <sz val="10"/>
        <color rgb="FF000000"/>
        <rFont val="맑은 고딕"/>
        <family val="0"/>
        <charset val="1"/>
      </rPr>
      <t xml:space="preserve">(</t>
    </r>
    <r>
      <rPr>
        <sz val="10"/>
        <color rgb="FF000000"/>
        <rFont val="WenQuanYi Zen Hei"/>
        <family val="2"/>
      </rPr>
      <t xml:space="preserve">연결 문장</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</si>
  <si>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r>
      <rPr>
        <sz val="10"/>
        <color rgb="FF000000"/>
        <rFont val="맑은 고딕"/>
        <family val="0"/>
        <charset val="1"/>
      </rPr>
      <t xml:space="preserve">Białas</t>
    </r>
    <r>
      <rPr>
        <sz val="10"/>
        <color rgb="FF000000"/>
        <rFont val="WenQuanYi Zen Hei"/>
        <family val="2"/>
      </rPr>
      <t xml:space="preserve">는 훈련의 결과와 기록이 </t>
    </r>
    <r>
      <rPr>
        <sz val="10"/>
        <color rgb="FF000000"/>
        <rFont val="맑은 고딕"/>
        <family val="0"/>
        <charset val="1"/>
      </rPr>
      <t xml:space="preserve">BCMS </t>
    </r>
    <r>
      <rPr>
        <sz val="10"/>
        <color rgb="FF000000"/>
        <rFont val="WenQuanYi Zen Hei"/>
        <family val="2"/>
      </rPr>
      <t xml:space="preserve">인증 때 </t>
    </r>
    <r>
      <rPr>
        <sz val="10"/>
        <color rgb="FF000000"/>
        <rFont val="맑은 고딕"/>
        <family val="0"/>
        <charset val="1"/>
      </rPr>
      <t xml:space="preserve">"</t>
    </r>
    <r>
      <rPr>
        <sz val="10"/>
        <color rgb="FF000000"/>
        <rFont val="WenQuanYi Zen Hei"/>
        <family val="2"/>
      </rPr>
      <t xml:space="preserve">증거</t>
    </r>
    <r>
      <rPr>
        <sz val="10"/>
        <color rgb="FF000000"/>
        <rFont val="맑은 고딕"/>
        <family val="0"/>
        <charset val="1"/>
      </rPr>
      <t xml:space="preserve">(evidences)"</t>
    </r>
    <r>
      <rPr>
        <sz val="10"/>
        <color rgb="FF000000"/>
        <rFont val="WenQuanYi Zen Hei"/>
        <family val="2"/>
      </rPr>
      <t xml:space="preserve">로 쓰인다고 쓴다</t>
    </r>
    <r>
      <rPr>
        <sz val="10"/>
        <color rgb="FF000000"/>
        <rFont val="맑은 고딕"/>
        <family val="0"/>
        <charset val="1"/>
      </rPr>
      <t xml:space="preserve">(B17). Arias</t>
    </r>
    <r>
      <rPr>
        <sz val="10"/>
        <color rgb="FF000000"/>
        <rFont val="WenQuanYi Zen Hei"/>
        <family val="2"/>
      </rPr>
      <t xml:space="preserve">는 </t>
    </r>
    <r>
      <rPr>
        <sz val="10"/>
        <color rgb="FF000000"/>
        <rFont val="맑은 고딕"/>
        <family val="0"/>
        <charset val="1"/>
      </rPr>
      <t xml:space="preserve">BIA </t>
    </r>
    <r>
      <rPr>
        <sz val="10"/>
        <color rgb="FF000000"/>
        <rFont val="WenQuanYi Zen Hei"/>
        <family val="2"/>
      </rPr>
      <t xml:space="preserve">결과를 근거가 첨부된 문서화된 진술로</t>
    </r>
    <r>
      <rPr>
        <sz val="10"/>
        <color rgb="FF000000"/>
        <rFont val="맑은 고딕"/>
        <family val="0"/>
        <charset val="1"/>
      </rPr>
      <t xml:space="preserve">, </t>
    </r>
    <r>
      <rPr>
        <sz val="10"/>
        <color rgb="FF000000"/>
        <rFont val="WenQuanYi Zen Hei"/>
        <family val="2"/>
      </rPr>
      <t xml:space="preserve">경영진 승인을 확보하는 절차로 서술한다</t>
    </r>
    <r>
      <rPr>
        <sz val="10"/>
        <color rgb="FF000000"/>
        <rFont val="맑은 고딕"/>
        <family val="0"/>
        <charset val="1"/>
      </rPr>
      <t xml:space="preserve">(A13, A37). </t>
    </r>
    <r>
      <rPr>
        <sz val="10"/>
        <color rgb="FF000000"/>
        <rFont val="WenQuanYi Zen Hei"/>
        <family val="2"/>
      </rPr>
      <t xml:space="preserve">다만 </t>
    </r>
    <r>
      <rPr>
        <sz val="10"/>
        <color rgb="FF000000"/>
        <rFont val="맑은 고딕"/>
        <family val="0"/>
        <charset val="1"/>
      </rPr>
      <t xml:space="preserve">"</t>
    </r>
    <r>
      <rPr>
        <sz val="10"/>
        <color rgb="FF000000"/>
        <rFont val="WenQuanYi Zen Hei"/>
        <family val="2"/>
      </rPr>
      <t xml:space="preserve">연결의 증빙</t>
    </r>
    <r>
      <rPr>
        <sz val="10"/>
        <color rgb="FF000000"/>
        <rFont val="맑은 고딕"/>
        <family val="0"/>
        <charset val="1"/>
      </rPr>
      <t xml:space="preserve">"</t>
    </r>
    <r>
      <rPr>
        <sz val="10"/>
        <color rgb="FF000000"/>
        <rFont val="WenQuanYi Zen Hei"/>
        <family val="2"/>
      </rPr>
      <t xml:space="preserve">을 직접 말한 문장은 아니다</t>
    </r>
    <r>
      <rPr>
        <sz val="10"/>
        <color rgb="FF000000"/>
        <rFont val="맑은 고딕"/>
        <family val="0"/>
        <charset val="1"/>
      </rPr>
      <t xml:space="preserve">.</t>
    </r>
  </si>
  <si>
    <t xml:space="preserve">S11 / S12</t>
  </si>
  <si>
    <r>
      <rPr>
        <sz val="10"/>
        <color rgb="FF000000"/>
        <rFont val="WenQuanYi Zen Hei"/>
        <family val="2"/>
      </rPr>
      <t xml:space="preserve">감사 증거</t>
    </r>
    <r>
      <rPr>
        <sz val="10"/>
        <color rgb="FF000000"/>
        <rFont val="맑은 고딕"/>
        <family val="0"/>
        <charset val="1"/>
      </rPr>
      <t xml:space="preserve">(audit evidence)</t>
    </r>
    <r>
      <rPr>
        <sz val="10"/>
        <color rgb="FF000000"/>
        <rFont val="WenQuanYi Zen Hei"/>
        <family val="2"/>
      </rPr>
      <t xml:space="preserve">는 경영시스템 표준의 확립된 개념이다</t>
    </r>
    <r>
      <rPr>
        <sz val="10"/>
        <color rgb="FF000000"/>
        <rFont val="맑은 고딕"/>
        <family val="0"/>
        <charset val="1"/>
      </rPr>
      <t xml:space="preserve">. </t>
    </r>
    <r>
      <rPr>
        <sz val="10"/>
        <color rgb="FF000000"/>
        <rFont val="WenQuanYi Zen Hei"/>
        <family val="2"/>
      </rPr>
      <t xml:space="preserve">단 표준 원문은 이 세션에서 확인하지 못했고 정의 문장은 </t>
    </r>
    <r>
      <rPr>
        <sz val="10"/>
        <color rgb="FF000000"/>
        <rFont val="맑은 고딕"/>
        <family val="0"/>
        <charset val="1"/>
      </rPr>
      <t xml:space="preserve">2</t>
    </r>
    <r>
      <rPr>
        <sz val="10"/>
        <color rgb="FF000000"/>
        <rFont val="WenQuanYi Zen Hei"/>
        <family val="2"/>
      </rPr>
      <t xml:space="preserve">차 사이트가 인용한 것만 보았다</t>
    </r>
    <r>
      <rPr>
        <sz val="10"/>
        <color rgb="FF000000"/>
        <rFont val="맑은 고딕"/>
        <family val="0"/>
        <charset val="1"/>
      </rPr>
      <t xml:space="preserve">.</t>
    </r>
  </si>
  <si>
    <r>
      <rPr>
        <sz val="10"/>
        <color rgb="FF000000"/>
        <rFont val="WenQuanYi Zen Hei"/>
        <family val="2"/>
      </rPr>
      <t xml:space="preserve">추적성</t>
    </r>
    <r>
      <rPr>
        <sz val="10"/>
        <color rgb="FF000000"/>
        <rFont val="맑은 고딕"/>
        <family val="0"/>
        <charset val="1"/>
      </rPr>
      <t xml:space="preserve">·</t>
    </r>
    <r>
      <rPr>
        <sz val="10"/>
        <color rgb="FF000000"/>
        <rFont val="WenQuanYi Zen Hei"/>
        <family val="2"/>
      </rPr>
      <t xml:space="preserve">정합성과의 구분 확인 필요</t>
    </r>
  </si>
  <si>
    <t xml:space="preserve">AC</t>
  </si>
  <si>
    <t xml:space="preserve">Accountability</t>
  </si>
  <si>
    <r>
      <rPr>
        <sz val="10"/>
        <color rgb="FF000000"/>
        <rFont val="WenQuanYi Zen Hei"/>
        <family val="2"/>
      </rPr>
      <t xml:space="preserve">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 책임이 명확한가</t>
    </r>
  </si>
  <si>
    <r>
      <rPr>
        <sz val="10"/>
        <color rgb="FF000000"/>
        <rFont val="WenQuanYi Zen Hei"/>
        <family val="2"/>
      </rPr>
      <t xml:space="preserve">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있는 정도</t>
    </r>
  </si>
  <si>
    <r>
      <rPr>
        <sz val="10"/>
        <color rgb="FF000000"/>
        <rFont val="맑은 고딕"/>
        <family val="0"/>
        <charset val="1"/>
      </rPr>
      <t xml:space="preserve">(</t>
    </r>
    <r>
      <rPr>
        <sz val="10"/>
        <color rgb="FF000000"/>
        <rFont val="WenQuanYi Zen Hei"/>
        <family val="2"/>
      </rPr>
      <t xml:space="preserve">연결 문장</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</si>
  <si>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r>
      <rPr>
        <sz val="10"/>
        <color rgb="FF000000"/>
        <rFont val="맑은 고딕"/>
        <family val="0"/>
        <charset val="1"/>
      </rPr>
      <t xml:space="preserve">Arias</t>
    </r>
    <r>
      <rPr>
        <sz val="10"/>
        <color rgb="FF000000"/>
        <rFont val="WenQuanYi Zen Hei"/>
        <family val="2"/>
      </rPr>
      <t xml:space="preserve">는 </t>
    </r>
    <r>
      <rPr>
        <sz val="10"/>
        <color rgb="FF000000"/>
        <rFont val="맑은 고딕"/>
        <family val="0"/>
        <charset val="1"/>
      </rPr>
      <t xml:space="preserve">BC </t>
    </r>
    <r>
      <rPr>
        <sz val="10"/>
        <color rgb="FF000000"/>
        <rFont val="WenQuanYi Zen Hei"/>
        <family val="2"/>
      </rPr>
      <t xml:space="preserve">관리자가 프로세스 전체에 책임</t>
    </r>
    <r>
      <rPr>
        <sz val="10"/>
        <color rgb="FF000000"/>
        <rFont val="맑은 고딕"/>
        <family val="0"/>
        <charset val="1"/>
      </rPr>
      <t xml:space="preserve">(accountable)</t>
    </r>
    <r>
      <rPr>
        <sz val="10"/>
        <color rgb="FF000000"/>
        <rFont val="WenQuanYi Zen Hei"/>
        <family val="2"/>
      </rPr>
      <t xml:space="preserve">을 지고 설계에 책임</t>
    </r>
    <r>
      <rPr>
        <sz val="10"/>
        <color rgb="FF000000"/>
        <rFont val="맑은 고딕"/>
        <family val="0"/>
        <charset val="1"/>
      </rPr>
      <t xml:space="preserve">(responsible)</t>
    </r>
    <r>
      <rPr>
        <sz val="10"/>
        <color rgb="FF000000"/>
        <rFont val="WenQuanYi Zen Hei"/>
        <family val="2"/>
      </rPr>
      <t xml:space="preserve">을 진다고 쓴다</t>
    </r>
    <r>
      <rPr>
        <sz val="10"/>
        <color rgb="FF000000"/>
        <rFont val="맑은 고딕"/>
        <family val="0"/>
        <charset val="1"/>
      </rPr>
      <t xml:space="preserve">(A49, A50, A10). </t>
    </r>
    <r>
      <rPr>
        <sz val="10"/>
        <color rgb="FF000000"/>
        <rFont val="WenQuanYi Zen Hei"/>
        <family val="2"/>
      </rPr>
      <t xml:space="preserve">단 책임의 대상은 </t>
    </r>
    <r>
      <rPr>
        <sz val="10"/>
        <color rgb="FF000000"/>
        <rFont val="맑은 고딕"/>
        <family val="0"/>
        <charset val="1"/>
      </rPr>
      <t xml:space="preserve">"</t>
    </r>
    <r>
      <rPr>
        <sz val="10"/>
        <color rgb="FF000000"/>
        <rFont val="WenQuanYi Zen Hei"/>
        <family val="2"/>
      </rPr>
      <t xml:space="preserve">프로세스</t>
    </r>
    <r>
      <rPr>
        <sz val="10"/>
        <color rgb="FF000000"/>
        <rFont val="맑은 고딕"/>
        <family val="0"/>
        <charset val="1"/>
      </rPr>
      <t xml:space="preserve">"</t>
    </r>
    <r>
      <rPr>
        <sz val="10"/>
        <color rgb="FF000000"/>
        <rFont val="WenQuanYi Zen Hei"/>
        <family val="2"/>
      </rPr>
      <t xml:space="preserve">이지 </t>
    </r>
    <r>
      <rPr>
        <sz val="10"/>
        <color rgb="FF000000"/>
        <rFont val="맑은 고딕"/>
        <family val="0"/>
        <charset val="1"/>
      </rPr>
      <t xml:space="preserve">"</t>
    </r>
    <r>
      <rPr>
        <sz val="10"/>
        <color rgb="FF000000"/>
        <rFont val="WenQuanYi Zen Hei"/>
        <family val="2"/>
      </rPr>
      <t xml:space="preserve">프로세스 간 연결</t>
    </r>
    <r>
      <rPr>
        <sz val="10"/>
        <color rgb="FF000000"/>
        <rFont val="맑은 고딕"/>
        <family val="0"/>
        <charset val="1"/>
      </rPr>
      <t xml:space="preserve">"</t>
    </r>
    <r>
      <rPr>
        <sz val="10"/>
        <color rgb="FF000000"/>
        <rFont val="WenQuanYi Zen Hei"/>
        <family val="2"/>
      </rPr>
      <t xml:space="preserve">이 아니다</t>
    </r>
    <r>
      <rPr>
        <sz val="10"/>
        <color rgb="FF000000"/>
        <rFont val="맑은 고딕"/>
        <family val="0"/>
        <charset val="1"/>
      </rPr>
      <t xml:space="preserve">. </t>
    </r>
    <r>
      <rPr>
        <sz val="10"/>
        <color rgb="FF000000"/>
        <rFont val="WenQuanYi Zen Hei"/>
        <family val="2"/>
      </rPr>
      <t xml:space="preserve">연결 단위의 책임은 연구자의 확장이다</t>
    </r>
    <r>
      <rPr>
        <sz val="10"/>
        <color rgb="FF000000"/>
        <rFont val="맑은 고딕"/>
        <family val="0"/>
        <charset val="1"/>
      </rPr>
      <t xml:space="preserve">.</t>
    </r>
  </si>
  <si>
    <t xml:space="preserve">S07 / S12</t>
  </si>
  <si>
    <r>
      <rPr>
        <sz val="10"/>
        <color rgb="FF000000"/>
        <rFont val="WenQuanYi Zen Hei"/>
        <family val="2"/>
      </rPr>
      <t xml:space="preserve">책임성 개념은 행정</t>
    </r>
    <r>
      <rPr>
        <sz val="10"/>
        <color rgb="FF000000"/>
        <rFont val="맑은 고딕"/>
        <family val="0"/>
        <charset val="1"/>
      </rPr>
      <t xml:space="preserve">·</t>
    </r>
    <r>
      <rPr>
        <sz val="10"/>
        <color rgb="FF000000"/>
        <rFont val="WenQuanYi Zen Hei"/>
        <family val="2"/>
      </rPr>
      <t xml:space="preserve">거버넌스 문헌에서 정립되어 있다</t>
    </r>
    <r>
      <rPr>
        <sz val="10"/>
        <color rgb="FF000000"/>
        <rFont val="맑은 고딕"/>
        <family val="0"/>
        <charset val="1"/>
      </rPr>
      <t xml:space="preserve">(S07). </t>
    </r>
    <r>
      <rPr>
        <sz val="10"/>
        <color rgb="FF000000"/>
        <rFont val="WenQuanYi Zen Hei"/>
        <family val="2"/>
      </rPr>
      <t xml:space="preserve">연결 단위로 적용하는 것은 연구자의 확장이다</t>
    </r>
    <r>
      <rPr>
        <sz val="10"/>
        <color rgb="FF000000"/>
        <rFont val="맑은 고딕"/>
        <family val="0"/>
        <charset val="1"/>
      </rPr>
      <t xml:space="preserve">.</t>
    </r>
  </si>
  <si>
    <r>
      <rPr>
        <sz val="10"/>
        <color rgb="FF000000"/>
        <rFont val="WenQuanYi Zen Hei"/>
        <family val="2"/>
      </rPr>
      <t xml:space="preserve">다른 </t>
    </r>
    <r>
      <rPr>
        <sz val="10"/>
        <color rgb="FF000000"/>
        <rFont val="맑은 고딕"/>
        <family val="0"/>
        <charset val="1"/>
      </rPr>
      <t xml:space="preserve">5</t>
    </r>
    <r>
      <rPr>
        <sz val="10"/>
        <color rgb="FF000000"/>
        <rFont val="WenQuanYi Zen Hei"/>
        <family val="2"/>
      </rPr>
      <t xml:space="preserve">개 차원과 개념적으로 가장 독립적일 것으로 예상</t>
    </r>
    <r>
      <rPr>
        <sz val="10"/>
        <color rgb="FF000000"/>
        <rFont val="맑은 고딕"/>
        <family val="0"/>
        <charset val="1"/>
      </rPr>
      <t xml:space="preserve">(</t>
    </r>
    <r>
      <rPr>
        <sz val="10"/>
        <color rgb="FF000000"/>
        <rFont val="WenQuanYi Zen Hei"/>
        <family val="2"/>
      </rPr>
      <t xml:space="preserve">연구자 가정</t>
    </r>
    <r>
      <rPr>
        <sz val="10"/>
        <color rgb="FF000000"/>
        <rFont val="맑은 고딕"/>
        <family val="0"/>
        <charset val="1"/>
      </rPr>
      <t xml:space="preserve">)</t>
    </r>
  </si>
  <si>
    <t xml:space="preserve">TM</t>
  </si>
  <si>
    <t xml:space="preserve">Timeliness</t>
  </si>
  <si>
    <t xml:space="preserve">변경된 정보가 관련 프로세스와 문서에 적시에 반영되는가</t>
  </si>
  <si>
    <t xml:space="preserve">선행 산출물이 바뀌었을 때 관련 프로세스와 문서에 정해진 기간 안에 반영되는 정도</t>
  </si>
  <si>
    <r>
      <rPr>
        <sz val="10"/>
        <color rgb="FF000000"/>
        <rFont val="맑은 고딕"/>
        <family val="0"/>
        <charset val="1"/>
      </rPr>
      <t xml:space="preserve">(S</t>
    </r>
    <r>
      <rPr>
        <sz val="10"/>
        <color rgb="FF000000"/>
        <rFont val="WenQuanYi Zen Hei"/>
        <family val="2"/>
      </rPr>
      <t xml:space="preserve">의 산출물</t>
    </r>
    <r>
      <rPr>
        <sz val="10"/>
        <color rgb="FF000000"/>
        <rFont val="맑은 고딕"/>
        <family val="0"/>
        <charset val="1"/>
      </rPr>
      <t xml:space="preserve">)</t>
    </r>
    <r>
      <rPr>
        <sz val="10"/>
        <color rgb="FF000000"/>
        <rFont val="WenQuanYi Zen Hei"/>
        <family val="2"/>
      </rPr>
      <t xml:space="preserve">이 바뀌면</t>
    </r>
    <r>
      <rPr>
        <sz val="10"/>
        <color rgb="FF000000"/>
        <rFont val="맑은 고딕"/>
        <family val="0"/>
        <charset val="1"/>
      </rPr>
      <t xml:space="preserve">, (T</t>
    </r>
    <r>
      <rPr>
        <sz val="10"/>
        <color rgb="FF000000"/>
        <rFont val="WenQuanYi Zen Hei"/>
        <family val="2"/>
      </rPr>
      <t xml:space="preserve">의 내용</t>
    </r>
    <r>
      <rPr>
        <sz val="10"/>
        <color rgb="FF000000"/>
        <rFont val="맑은 고딕"/>
        <family val="0"/>
        <charset val="1"/>
      </rPr>
      <t xml:space="preserve">)</t>
    </r>
    <r>
      <rPr>
        <sz val="10"/>
        <color rgb="FF000000"/>
        <rFont val="WenQuanYi Zen Hei"/>
        <family val="2"/>
      </rPr>
      <t xml:space="preserve">에 정해진 기간 안에 반영된다</t>
    </r>
    <r>
      <rPr>
        <sz val="10"/>
        <color rgb="FF000000"/>
        <rFont val="맑은 고딕"/>
        <family val="0"/>
        <charset val="1"/>
      </rPr>
      <t xml:space="preserve">.</t>
    </r>
  </si>
  <si>
    <r>
      <rPr>
        <sz val="10"/>
        <color rgb="FF000000"/>
        <rFont val="맑은 고딕"/>
        <family val="0"/>
        <charset val="1"/>
      </rPr>
      <t xml:space="preserve">Arias</t>
    </r>
    <r>
      <rPr>
        <sz val="10"/>
        <color rgb="FF000000"/>
        <rFont val="WenQuanYi Zen Hei"/>
        <family val="2"/>
      </rPr>
      <t xml:space="preserve">는 문서화된 정보 통제가 정보의 갱신</t>
    </r>
    <r>
      <rPr>
        <sz val="10"/>
        <color rgb="FF000000"/>
        <rFont val="맑은 고딕"/>
        <family val="0"/>
        <charset val="1"/>
      </rPr>
      <t xml:space="preserve">(updating)</t>
    </r>
    <r>
      <rPr>
        <sz val="10"/>
        <color rgb="FF000000"/>
        <rFont val="WenQuanYi Zen Hei"/>
        <family val="2"/>
      </rPr>
      <t xml:space="preserve">을 포함하고</t>
    </r>
    <r>
      <rPr>
        <sz val="10"/>
        <color rgb="FF000000"/>
        <rFont val="맑은 고딕"/>
        <family val="0"/>
        <charset val="1"/>
      </rPr>
      <t xml:space="preserve">(A41), </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범위 정의 같은 산출물이 적합성에 대한 정기적 점검을 필요로 하며</t>
    </r>
    <r>
      <rPr>
        <sz val="10"/>
        <color rgb="FF000000"/>
        <rFont val="맑은 고딕"/>
        <family val="0"/>
        <charset val="1"/>
      </rPr>
      <t xml:space="preserve">(A51), </t>
    </r>
    <r>
      <rPr>
        <sz val="10"/>
        <color rgb="FF000000"/>
        <rFont val="WenQuanYi Zen Hei"/>
        <family val="2"/>
      </rPr>
      <t xml:space="preserve">승인 갱신이 거버넌스에 통합되어 있고</t>
    </r>
    <r>
      <rPr>
        <sz val="10"/>
        <color rgb="FF000000"/>
        <rFont val="맑은 고딕"/>
        <family val="0"/>
        <charset val="1"/>
      </rPr>
      <t xml:space="preserve">(A52), </t>
    </r>
    <r>
      <rPr>
        <sz val="10"/>
        <color rgb="FF000000"/>
        <rFont val="WenQuanYi Zen Hei"/>
        <family val="2"/>
      </rPr>
      <t xml:space="preserve">변경관리가 문서 변경과 리스크평가 재개를 산출한다고</t>
    </r>
    <r>
      <rPr>
        <sz val="10"/>
        <color rgb="FF000000"/>
        <rFont val="맑은 고딕"/>
        <family val="0"/>
        <charset val="1"/>
      </rPr>
      <t xml:space="preserve">(A28, A27) </t>
    </r>
    <r>
      <rPr>
        <sz val="10"/>
        <color rgb="FF000000"/>
        <rFont val="WenQuanYi Zen Hei"/>
        <family val="2"/>
      </rPr>
      <t xml:space="preserve">서술한다</t>
    </r>
    <r>
      <rPr>
        <sz val="10"/>
        <color rgb="FF000000"/>
        <rFont val="맑은 고딕"/>
        <family val="0"/>
        <charset val="1"/>
      </rPr>
      <t xml:space="preserve">. "</t>
    </r>
    <r>
      <rPr>
        <sz val="10"/>
        <color rgb="FF000000"/>
        <rFont val="WenQuanYi Zen Hei"/>
        <family val="2"/>
      </rPr>
      <t xml:space="preserve">적시</t>
    </r>
    <r>
      <rPr>
        <sz val="10"/>
        <color rgb="FF000000"/>
        <rFont val="맑은 고딕"/>
        <family val="0"/>
        <charset val="1"/>
      </rPr>
      <t xml:space="preserve">(timely)"</t>
    </r>
    <r>
      <rPr>
        <sz val="10"/>
        <color rgb="FF000000"/>
        <rFont val="WenQuanYi Zen Hei"/>
        <family val="2"/>
      </rPr>
      <t xml:space="preserve">라는 말은 쓰지 않았다</t>
    </r>
    <r>
      <rPr>
        <sz val="10"/>
        <color rgb="FF000000"/>
        <rFont val="맑은 고딕"/>
        <family val="0"/>
        <charset val="1"/>
      </rPr>
      <t xml:space="preserve">.</t>
    </r>
  </si>
  <si>
    <t xml:space="preserve">S03 / S04 / S05</t>
  </si>
  <si>
    <r>
      <rPr>
        <sz val="10"/>
        <color rgb="FF000000"/>
        <rFont val="WenQuanYi Zen Hei"/>
        <family val="2"/>
      </rPr>
      <t xml:space="preserve">데이터 품질 문헌의 최신성</t>
    </r>
    <r>
      <rPr>
        <sz val="10"/>
        <color rgb="FF000000"/>
        <rFont val="맑은 고딕"/>
        <family val="0"/>
        <charset val="1"/>
      </rPr>
      <t xml:space="preserve">·</t>
    </r>
    <r>
      <rPr>
        <sz val="10"/>
        <color rgb="FF000000"/>
        <rFont val="WenQuanYi Zen Hei"/>
        <family val="2"/>
      </rPr>
      <t xml:space="preserve">적시성</t>
    </r>
    <r>
      <rPr>
        <sz val="10"/>
        <color rgb="FF000000"/>
        <rFont val="맑은 고딕"/>
        <family val="0"/>
        <charset val="1"/>
      </rPr>
      <t xml:space="preserve">(timeliness/currency)</t>
    </r>
    <r>
      <rPr>
        <sz val="10"/>
        <color rgb="FF000000"/>
        <rFont val="WenQuanYi Zen Hei"/>
        <family val="2"/>
      </rPr>
      <t xml:space="preserve">이 근거 후보다</t>
    </r>
    <r>
      <rPr>
        <sz val="10"/>
        <color rgb="FF000000"/>
        <rFont val="맑은 고딕"/>
        <family val="0"/>
        <charset val="1"/>
      </rPr>
      <t xml:space="preserve">. </t>
    </r>
    <r>
      <rPr>
        <sz val="10"/>
        <color rgb="FF000000"/>
        <rFont val="WenQuanYi Zen Hei"/>
        <family val="2"/>
      </rPr>
      <t xml:space="preserve">원문 정의는 이 세션에서 확인하지 못했다</t>
    </r>
    <r>
      <rPr>
        <sz val="10"/>
        <color rgb="FF000000"/>
        <rFont val="맑은 고딕"/>
        <family val="0"/>
        <charset val="1"/>
      </rPr>
      <t xml:space="preserve">.</t>
    </r>
  </si>
  <si>
    <r>
      <rPr>
        <sz val="10"/>
        <color rgb="FF000000"/>
        <rFont val="맑은 고딕"/>
        <family val="0"/>
        <charset val="1"/>
      </rPr>
      <t xml:space="preserve">V2</t>
    </r>
    <r>
      <rPr>
        <sz val="10"/>
        <color rgb="FF000000"/>
        <rFont val="WenQuanYi Zen Hei"/>
        <family val="2"/>
      </rPr>
      <t xml:space="preserve">의 </t>
    </r>
    <r>
      <rPr>
        <sz val="10"/>
        <color rgb="FF000000"/>
        <rFont val="맑은 고딕"/>
        <family val="0"/>
        <charset val="1"/>
      </rPr>
      <t xml:space="preserve">"</t>
    </r>
    <r>
      <rPr>
        <sz val="10"/>
        <color rgb="FF000000"/>
        <rFont val="WenQuanYi Zen Hei"/>
        <family val="2"/>
      </rPr>
      <t xml:space="preserve">갱신</t>
    </r>
    <r>
      <rPr>
        <sz val="10"/>
        <color rgb="FF000000"/>
        <rFont val="맑은 고딕"/>
        <family val="0"/>
        <charset val="1"/>
      </rPr>
      <t xml:space="preserve">" </t>
    </r>
    <r>
      <rPr>
        <sz val="10"/>
        <color rgb="FF000000"/>
        <rFont val="WenQuanYi Zen Hei"/>
        <family val="2"/>
      </rPr>
      <t xml:space="preserve">개념과 가장 가깝다</t>
    </r>
  </si>
  <si>
    <t xml:space="preserve">FC</t>
  </si>
  <si>
    <t xml:space="preserve">Closed-loop completion</t>
  </si>
  <si>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평가</t>
    </r>
    <r>
      <rPr>
        <sz val="10"/>
        <color rgb="FF000000"/>
        <rFont val="맑은 고딕"/>
        <family val="0"/>
        <charset val="1"/>
      </rPr>
      <t xml:space="preserve">·</t>
    </r>
    <r>
      <rPr>
        <sz val="10"/>
        <color rgb="FF000000"/>
        <rFont val="WenQuanYi Zen Hei"/>
        <family val="2"/>
      </rPr>
      <t xml:space="preserve">사고 결과가 개선과 재수정까지 완료되는가</t>
    </r>
  </si>
  <si>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평가</t>
    </r>
    <r>
      <rPr>
        <sz val="10"/>
        <color rgb="FF000000"/>
        <rFont val="맑은 고딕"/>
        <family val="0"/>
        <charset val="1"/>
      </rPr>
      <t xml:space="preserve">·</t>
    </r>
    <r>
      <rPr>
        <sz val="10"/>
        <color rgb="FF000000"/>
        <rFont val="WenQuanYi Zen Hei"/>
        <family val="2"/>
      </rPr>
      <t xml:space="preserve">사고의 결과가 개선</t>
    </r>
    <r>
      <rPr>
        <sz val="10"/>
        <color rgb="FF000000"/>
        <rFont val="맑은 고딕"/>
        <family val="0"/>
        <charset val="1"/>
      </rPr>
      <t xml:space="preserve">·</t>
    </r>
    <r>
      <rPr>
        <sz val="10"/>
        <color rgb="FF000000"/>
        <rFont val="WenQuanYi Zen Hei"/>
        <family val="2"/>
      </rPr>
      <t xml:space="preserve">재수정 조치로 이어지고 완료까지 확인되는 정도 </t>
    </r>
    <r>
      <rPr>
        <sz val="10"/>
        <color rgb="FF000000"/>
        <rFont val="맑은 고딕"/>
        <family val="0"/>
        <charset val="1"/>
      </rPr>
      <t xml:space="preserve">(</t>
    </r>
    <r>
      <rPr>
        <sz val="10"/>
        <color rgb="FF000000"/>
        <rFont val="WenQuanYi Zen Hei"/>
        <family val="2"/>
      </rPr>
      <t xml:space="preserve">환류 연결 </t>
    </r>
    <r>
      <rPr>
        <sz val="10"/>
        <color rgb="FF000000"/>
        <rFont val="맑은 고딕"/>
        <family val="0"/>
        <charset val="1"/>
      </rPr>
      <t xml:space="preserve">8</t>
    </r>
    <r>
      <rPr>
        <sz val="10"/>
        <color rgb="FF000000"/>
        <rFont val="WenQuanYi Zen Hei"/>
        <family val="2"/>
      </rPr>
      <t xml:space="preserve">개에만 적용</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</si>
  <si>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결과가 나오는 사건</t>
    </r>
    <r>
      <rPr>
        <sz val="10"/>
        <color rgb="FF000000"/>
        <rFont val="맑은 고딕"/>
        <family val="0"/>
        <charset val="1"/>
      </rPr>
      <t xml:space="preserve">), (</t>
    </r>
    <r>
      <rPr>
        <sz val="10"/>
        <color rgb="FF000000"/>
        <rFont val="WenQuanYi Zen Hei"/>
        <family val="2"/>
      </rPr>
      <t xml:space="preserve">개선</t>
    </r>
    <r>
      <rPr>
        <sz val="10"/>
        <color rgb="FF000000"/>
        <rFont val="맑은 고딕"/>
        <family val="0"/>
        <charset val="1"/>
      </rPr>
      <t xml:space="preserve">·</t>
    </r>
    <r>
      <rPr>
        <sz val="10"/>
        <color rgb="FF000000"/>
        <rFont val="WenQuanYi Zen Hei"/>
        <family val="2"/>
      </rPr>
      <t xml:space="preserve">재수정 범위</t>
    </r>
    <r>
      <rPr>
        <sz val="10"/>
        <color rgb="FF000000"/>
        <rFont val="맑은 고딕"/>
        <family val="0"/>
        <charset val="1"/>
      </rPr>
      <t xml:space="preserve">)</t>
    </r>
    <r>
      <rPr>
        <sz val="10"/>
        <color rgb="FF000000"/>
        <rFont val="WenQuanYi Zen Hei"/>
        <family val="2"/>
      </rPr>
      <t xml:space="preserve">까지 조치가 이어져 완료가 확인된다</t>
    </r>
    <r>
      <rPr>
        <sz val="10"/>
        <color rgb="FF000000"/>
        <rFont val="맑은 고딕"/>
        <family val="0"/>
        <charset val="1"/>
      </rPr>
      <t xml:space="preserve">. — </t>
    </r>
    <r>
      <rPr>
        <sz val="10"/>
        <color rgb="FF000000"/>
        <rFont val="WenQuanYi Zen Hei"/>
        <family val="2"/>
      </rPr>
      <t xml:space="preserve">환류 연결 </t>
    </r>
    <r>
      <rPr>
        <sz val="10"/>
        <color rgb="FF000000"/>
        <rFont val="맑은 고딕"/>
        <family val="0"/>
        <charset val="1"/>
      </rPr>
      <t xml:space="preserve">8</t>
    </r>
    <r>
      <rPr>
        <sz val="10"/>
        <color rgb="FF000000"/>
        <rFont val="WenQuanYi Zen Hei"/>
        <family val="2"/>
      </rPr>
      <t xml:space="preserve">개에만 적용</t>
    </r>
  </si>
  <si>
    <t xml:space="preserve">강</t>
  </si>
  <si>
    <r>
      <rPr>
        <sz val="10"/>
        <color rgb="FF000000"/>
        <rFont val="WenQuanYi Zen Hei"/>
        <family val="2"/>
      </rPr>
      <t xml:space="preserve">연습은 필요한 조정</t>
    </r>
    <r>
      <rPr>
        <sz val="10"/>
        <color rgb="FF000000"/>
        <rFont val="맑은 고딕"/>
        <family val="0"/>
        <charset val="1"/>
      </rPr>
      <t xml:space="preserve">·</t>
    </r>
    <r>
      <rPr>
        <sz val="10"/>
        <color rgb="FF000000"/>
        <rFont val="WenQuanYi Zen Hei"/>
        <family val="2"/>
      </rPr>
      <t xml:space="preserve">개선을 촉구하고</t>
    </r>
    <r>
      <rPr>
        <sz val="10"/>
        <color rgb="FF000000"/>
        <rFont val="맑은 고딕"/>
        <family val="0"/>
        <charset val="1"/>
      </rPr>
      <t xml:space="preserve">(A23), </t>
    </r>
    <r>
      <rPr>
        <sz val="10"/>
        <color rgb="FF000000"/>
        <rFont val="WenQuanYi Zen Hei"/>
        <family val="2"/>
      </rPr>
      <t xml:space="preserve">평가</t>
    </r>
    <r>
      <rPr>
        <sz val="10"/>
        <color rgb="FF000000"/>
        <rFont val="맑은 고딕"/>
        <family val="0"/>
        <charset val="1"/>
      </rPr>
      <t xml:space="preserve">·</t>
    </r>
    <r>
      <rPr>
        <sz val="10"/>
        <color rgb="FF000000"/>
        <rFont val="WenQuanYi Zen Hei"/>
        <family val="2"/>
      </rPr>
      <t xml:space="preserve">감사</t>
    </r>
    <r>
      <rPr>
        <sz val="10"/>
        <color rgb="FF000000"/>
        <rFont val="맑은 고딕"/>
        <family val="0"/>
        <charset val="1"/>
      </rPr>
      <t xml:space="preserve">·</t>
    </r>
    <r>
      <rPr>
        <sz val="10"/>
        <color rgb="FF000000"/>
        <rFont val="WenQuanYi Zen Hei"/>
        <family val="2"/>
      </rPr>
      <t xml:space="preserve">공급망 결과는 개선에 쓰이며 지속적 개선 프로세스에서 실현되고</t>
    </r>
    <r>
      <rPr>
        <sz val="10"/>
        <color rgb="FF000000"/>
        <rFont val="맑은 고딕"/>
        <family val="0"/>
        <charset val="1"/>
      </rPr>
      <t xml:space="preserve">(A25, A46), </t>
    </r>
    <r>
      <rPr>
        <sz val="10"/>
        <color rgb="FF000000"/>
        <rFont val="WenQuanYi Zen Hei"/>
        <family val="2"/>
      </rPr>
      <t xml:space="preserve">변경의 결과는 변경을 개시한 프로세스로 돌아간다</t>
    </r>
    <r>
      <rPr>
        <sz val="10"/>
        <color rgb="FF000000"/>
        <rFont val="맑은 고딕"/>
        <family val="0"/>
        <charset val="1"/>
      </rPr>
      <t xml:space="preserve">(A29). </t>
    </r>
    <r>
      <rPr>
        <sz val="10"/>
        <color rgb="FF000000"/>
        <rFont val="WenQuanYi Zen Hei"/>
        <family val="2"/>
      </rPr>
      <t xml:space="preserve">점검 결과를 개선으로 잇는 구조는 </t>
    </r>
    <r>
      <rPr>
        <sz val="10"/>
        <color rgb="FF000000"/>
        <rFont val="맑은 고딕"/>
        <family val="0"/>
        <charset val="1"/>
      </rPr>
      <t xml:space="preserve">Białas</t>
    </r>
    <r>
      <rPr>
        <sz val="10"/>
        <color rgb="FF000000"/>
        <rFont val="WenQuanYi Zen Hei"/>
        <family val="2"/>
      </rPr>
      <t xml:space="preserve">의 </t>
    </r>
    <r>
      <rPr>
        <sz val="10"/>
        <color rgb="FF000000"/>
        <rFont val="맑은 고딕"/>
        <family val="0"/>
        <charset val="1"/>
      </rPr>
      <t xml:space="preserve">PDCA slot</t>
    </r>
    <r>
      <rPr>
        <sz val="10"/>
        <color rgb="FF000000"/>
        <rFont val="WenQuanYi Zen Hei"/>
        <family val="2"/>
      </rPr>
      <t xml:space="preserve">에도 있다</t>
    </r>
    <r>
      <rPr>
        <sz val="10"/>
        <color rgb="FF000000"/>
        <rFont val="맑은 고딕"/>
        <family val="0"/>
        <charset val="1"/>
      </rPr>
      <t xml:space="preserve">(B18). "</t>
    </r>
    <r>
      <rPr>
        <sz val="10"/>
        <color rgb="FF000000"/>
        <rFont val="WenQuanYi Zen Hei"/>
        <family val="2"/>
      </rPr>
      <t xml:space="preserve">완료까지 확인</t>
    </r>
    <r>
      <rPr>
        <sz val="10"/>
        <color rgb="FF000000"/>
        <rFont val="맑은 고딕"/>
        <family val="0"/>
        <charset val="1"/>
      </rPr>
      <t xml:space="preserve">"</t>
    </r>
    <r>
      <rPr>
        <sz val="10"/>
        <color rgb="FF000000"/>
        <rFont val="WenQuanYi Zen Hei"/>
        <family val="2"/>
      </rPr>
      <t xml:space="preserve">이라는 표현은 연구자의 것이다</t>
    </r>
    <r>
      <rPr>
        <sz val="10"/>
        <color rgb="FF000000"/>
        <rFont val="맑은 고딕"/>
        <family val="0"/>
        <charset val="1"/>
      </rPr>
      <t xml:space="preserve">.</t>
    </r>
  </si>
  <si>
    <t xml:space="preserve">S08</t>
  </si>
  <si>
    <r>
      <rPr>
        <sz val="10"/>
        <color rgb="FF000000"/>
        <rFont val="WenQuanYi Zen Hei"/>
        <family val="2"/>
      </rPr>
      <t xml:space="preserve">오류를 탐지</t>
    </r>
    <r>
      <rPr>
        <sz val="10"/>
        <color rgb="FF000000"/>
        <rFont val="맑은 고딕"/>
        <family val="0"/>
        <charset val="1"/>
      </rPr>
      <t xml:space="preserve">·</t>
    </r>
    <r>
      <rPr>
        <sz val="10"/>
        <color rgb="FF000000"/>
        <rFont val="WenQuanYi Zen Hei"/>
        <family val="2"/>
      </rPr>
      <t xml:space="preserve">수정하는 조직학습</t>
    </r>
    <r>
      <rPr>
        <sz val="10"/>
        <color rgb="FF000000"/>
        <rFont val="맑은 고딕"/>
        <family val="0"/>
        <charset val="1"/>
      </rPr>
      <t xml:space="preserve">(single/double loop)</t>
    </r>
    <r>
      <rPr>
        <sz val="10"/>
        <color rgb="FF000000"/>
        <rFont val="WenQuanYi Zen Hei"/>
        <family val="2"/>
      </rPr>
      <t xml:space="preserve">이 이론적 배경 후보다</t>
    </r>
    <r>
      <rPr>
        <sz val="10"/>
        <color rgb="FF000000"/>
        <rFont val="맑은 고딕"/>
        <family val="0"/>
        <charset val="1"/>
      </rPr>
      <t xml:space="preserve">. </t>
    </r>
    <r>
      <rPr>
        <sz val="10"/>
        <color rgb="FF000000"/>
        <rFont val="WenQuanYi Zen Hei"/>
        <family val="2"/>
      </rPr>
      <t xml:space="preserve">원문은 이 세션에서 열람하지 못했다</t>
    </r>
    <r>
      <rPr>
        <sz val="10"/>
        <color rgb="FF000000"/>
        <rFont val="맑은 고딕"/>
        <family val="0"/>
        <charset val="1"/>
      </rPr>
      <t xml:space="preserve">.</t>
    </r>
  </si>
  <si>
    <r>
      <rPr>
        <sz val="10"/>
        <color rgb="FF000000"/>
        <rFont val="WenQuanYi Zen Hei"/>
        <family val="2"/>
      </rPr>
      <t xml:space="preserve">책임성</t>
    </r>
    <r>
      <rPr>
        <sz val="10"/>
        <color rgb="FF000000"/>
        <rFont val="맑은 고딕"/>
        <family val="0"/>
        <charset val="1"/>
      </rPr>
      <t xml:space="preserve">·</t>
    </r>
    <r>
      <rPr>
        <sz val="10"/>
        <color rgb="FF000000"/>
        <rFont val="WenQuanYi Zen Hei"/>
        <family val="2"/>
      </rPr>
      <t xml:space="preserve">최신성과 일부 겹칠 수 있음</t>
    </r>
    <r>
      <rPr>
        <sz val="10"/>
        <color rgb="FF000000"/>
        <rFont val="맑은 고딕"/>
        <family val="0"/>
        <charset val="1"/>
      </rPr>
      <t xml:space="preserve">. </t>
    </r>
    <r>
      <rPr>
        <sz val="10"/>
        <color rgb="FF000000"/>
        <rFont val="WenQuanYi Zen Hei"/>
        <family val="2"/>
      </rPr>
      <t xml:space="preserve">환류 연결 </t>
    </r>
    <r>
      <rPr>
        <sz val="10"/>
        <color rgb="FF000000"/>
        <rFont val="맑은 고딕"/>
        <family val="0"/>
        <charset val="1"/>
      </rPr>
      <t xml:space="preserve">8</t>
    </r>
    <r>
      <rPr>
        <sz val="10"/>
        <color rgb="FF000000"/>
        <rFont val="WenQuanYi Zen Hei"/>
        <family val="2"/>
      </rPr>
      <t xml:space="preserve">개에만 적용되므로 비교 시 주의</t>
    </r>
  </si>
  <si>
    <r>
      <rPr>
        <b val="true"/>
        <sz val="14"/>
        <color rgb="FF101828"/>
        <rFont val="WenQuanYi Zen Hei"/>
        <family val="2"/>
      </rPr>
      <t xml:space="preserve">외부 학술 근거 후보 </t>
    </r>
    <r>
      <rPr>
        <b val="true"/>
        <sz val="14"/>
        <color rgb="FF101828"/>
        <rFont val="맑은 고딕"/>
        <family val="0"/>
        <charset val="1"/>
      </rPr>
      <t xml:space="preserve">12</t>
    </r>
    <r>
      <rPr>
        <b val="true"/>
        <sz val="14"/>
        <color rgb="FF101828"/>
        <rFont val="WenQuanYi Zen Hei"/>
        <family val="2"/>
      </rPr>
      <t xml:space="preserve">건 — 서지는 확인</t>
    </r>
    <r>
      <rPr>
        <b val="true"/>
        <sz val="14"/>
        <color rgb="FF101828"/>
        <rFont val="맑은 고딕"/>
        <family val="0"/>
        <charset val="1"/>
      </rPr>
      <t xml:space="preserve">, </t>
    </r>
    <r>
      <rPr>
        <b val="true"/>
        <sz val="14"/>
        <color rgb="FF101828"/>
        <rFont val="WenQuanYi Zen Hei"/>
        <family val="2"/>
      </rPr>
      <t xml:space="preserve">원문 문장은 미확인</t>
    </r>
  </si>
  <si>
    <r>
      <rPr>
        <i val="true"/>
        <sz val="10"/>
        <color rgb="FF475467"/>
        <rFont val="WenQuanYi Zen Hei"/>
        <family val="2"/>
      </rPr>
      <t xml:space="preserve">네트워크 정책</t>
    </r>
    <r>
      <rPr>
        <i val="true"/>
        <sz val="10"/>
        <color rgb="FF475467"/>
        <rFont val="맑은 고딕"/>
        <family val="0"/>
        <charset val="1"/>
      </rPr>
      <t xml:space="preserve">(egress </t>
    </r>
    <r>
      <rPr>
        <i val="true"/>
        <sz val="10"/>
        <color rgb="FF475467"/>
        <rFont val="WenQuanYi Zen Hei"/>
        <family val="2"/>
      </rPr>
      <t xml:space="preserve">차단</t>
    </r>
    <r>
      <rPr>
        <i val="true"/>
        <sz val="10"/>
        <color rgb="FF475467"/>
        <rFont val="맑은 고딕"/>
        <family val="0"/>
        <charset val="1"/>
      </rPr>
      <t xml:space="preserve">)</t>
    </r>
    <r>
      <rPr>
        <i val="true"/>
        <sz val="10"/>
        <color rgb="FF475467"/>
        <rFont val="WenQuanYi Zen Hei"/>
        <family val="2"/>
      </rPr>
      <t xml:space="preserve">으로 원문을 열람하지 못했다</t>
    </r>
    <r>
      <rPr>
        <i val="true"/>
        <sz val="10"/>
        <color rgb="FF475467"/>
        <rFont val="맑은 고딕"/>
        <family val="0"/>
        <charset val="1"/>
      </rPr>
      <t xml:space="preserve">. </t>
    </r>
    <r>
      <rPr>
        <i val="true"/>
        <sz val="10"/>
        <color rgb="FF475467"/>
        <rFont val="WenQuanYi Zen Hei"/>
        <family val="2"/>
      </rPr>
      <t xml:space="preserve">연구자가 원문에서 정의</t>
    </r>
    <r>
      <rPr>
        <i val="true"/>
        <sz val="10"/>
        <color rgb="FF475467"/>
        <rFont val="맑은 고딕"/>
        <family val="0"/>
        <charset val="1"/>
      </rPr>
      <t xml:space="preserve">·</t>
    </r>
    <r>
      <rPr>
        <i val="true"/>
        <sz val="10"/>
        <color rgb="FF475467"/>
        <rFont val="WenQuanYi Zen Hei"/>
        <family val="2"/>
      </rPr>
      <t xml:space="preserve">문장을 확인해 노란 칸에 쪽 번호와 원문을 기입하면 근거가 확정된다</t>
    </r>
    <r>
      <rPr>
        <i val="true"/>
        <sz val="10"/>
        <color rgb="FF475467"/>
        <rFont val="맑은 고딕"/>
        <family val="0"/>
        <charset val="1"/>
      </rPr>
      <t xml:space="preserve">.</t>
    </r>
  </si>
  <si>
    <r>
      <rPr>
        <b val="true"/>
        <sz val="10"/>
        <color rgb="FFFFFFFF"/>
        <rFont val="WenQuanYi Zen Hei"/>
        <family val="2"/>
      </rPr>
      <t xml:space="preserve">서지</t>
    </r>
    <r>
      <rPr>
        <b val="true"/>
        <sz val="10"/>
        <color rgb="FFFFFFFF"/>
        <rFont val="맑은 고딕"/>
        <family val="0"/>
        <charset val="1"/>
      </rPr>
      <t xml:space="preserve">(APA </t>
    </r>
    <r>
      <rPr>
        <b val="true"/>
        <sz val="10"/>
        <color rgb="FFFFFFFF"/>
        <rFont val="WenQuanYi Zen Hei"/>
        <family val="2"/>
      </rPr>
      <t xml:space="preserve">형식</t>
    </r>
    <r>
      <rPr>
        <b val="true"/>
        <sz val="10"/>
        <color rgb="FFFFFFFF"/>
        <rFont val="맑은 고딕"/>
        <family val="0"/>
        <charset val="1"/>
      </rPr>
      <t xml:space="preserve">)</t>
    </r>
  </si>
  <si>
    <t xml:space="preserve">연도</t>
  </si>
  <si>
    <t xml:space="preserve">품질 차원</t>
  </si>
  <si>
    <r>
      <rPr>
        <b val="true"/>
        <sz val="10"/>
        <color rgb="FFFFFFFF"/>
        <rFont val="WenQuanYi Zen Hei"/>
        <family val="2"/>
      </rPr>
      <t xml:space="preserve">요지 </t>
    </r>
    <r>
      <rPr>
        <b val="true"/>
        <sz val="10"/>
        <color rgb="FFFFFFFF"/>
        <rFont val="맑은 고딕"/>
        <family val="0"/>
        <charset val="1"/>
      </rPr>
      <t xml:space="preserve">(</t>
    </r>
    <r>
      <rPr>
        <b val="true"/>
        <sz val="10"/>
        <color rgb="FFFFFFFF"/>
        <rFont val="WenQuanYi Zen Hei"/>
        <family val="2"/>
      </rPr>
      <t xml:space="preserve">검색 결과 요약 기준</t>
    </r>
    <r>
      <rPr>
        <b val="true"/>
        <sz val="10"/>
        <color rgb="FFFFFFFF"/>
        <rFont val="맑은 고딕"/>
        <family val="0"/>
        <charset val="1"/>
      </rPr>
      <t xml:space="preserve">, </t>
    </r>
    <r>
      <rPr>
        <b val="true"/>
        <sz val="10"/>
        <color rgb="FFFFFFFF"/>
        <rFont val="WenQuanYi Zen Hei"/>
        <family val="2"/>
      </rPr>
      <t xml:space="preserve">인용 아님</t>
    </r>
    <r>
      <rPr>
        <b val="true"/>
        <sz val="10"/>
        <color rgb="FFFFFFFF"/>
        <rFont val="맑은 고딕"/>
        <family val="0"/>
        <charset val="1"/>
      </rPr>
      <t xml:space="preserve">)</t>
    </r>
  </si>
  <si>
    <t xml:space="preserve">서지 확인</t>
  </si>
  <si>
    <t xml:space="preserve">원문 확인 상태</t>
  </si>
  <si>
    <t xml:space="preserve">DOI / URL</t>
  </si>
  <si>
    <r>
      <rPr>
        <b val="true"/>
        <sz val="10"/>
        <color rgb="FFFFFFFF"/>
        <rFont val="WenQuanYi Zen Hei"/>
        <family val="2"/>
      </rPr>
      <t xml:space="preserve">원문 쪽 번호 </t>
    </r>
    <r>
      <rPr>
        <b val="true"/>
        <sz val="10"/>
        <color rgb="FFFFFFFF"/>
        <rFont val="맑은 고딕"/>
        <family val="0"/>
        <charset val="1"/>
      </rPr>
      <t xml:space="preserve">(</t>
    </r>
    <r>
      <rPr>
        <b val="true"/>
        <sz val="10"/>
        <color rgb="FFFFFFFF"/>
        <rFont val="WenQuanYi Zen Hei"/>
        <family val="2"/>
      </rPr>
      <t xml:space="preserve">연구자 기입</t>
    </r>
    <r>
      <rPr>
        <b val="true"/>
        <sz val="10"/>
        <color rgb="FFFFFFFF"/>
        <rFont val="맑은 고딕"/>
        <family val="0"/>
        <charset val="1"/>
      </rPr>
      <t xml:space="preserve">)</t>
    </r>
  </si>
  <si>
    <r>
      <rPr>
        <b val="true"/>
        <sz val="10"/>
        <color rgb="FFFFFFFF"/>
        <rFont val="WenQuanYi Zen Hei"/>
        <family val="2"/>
      </rPr>
      <t xml:space="preserve">원문 문장 </t>
    </r>
    <r>
      <rPr>
        <b val="true"/>
        <sz val="10"/>
        <color rgb="FFFFFFFF"/>
        <rFont val="맑은 고딕"/>
        <family val="0"/>
        <charset val="1"/>
      </rPr>
      <t xml:space="preserve">(</t>
    </r>
    <r>
      <rPr>
        <b val="true"/>
        <sz val="10"/>
        <color rgb="FFFFFFFF"/>
        <rFont val="WenQuanYi Zen Hei"/>
        <family val="2"/>
      </rPr>
      <t xml:space="preserve">연구자 기입</t>
    </r>
    <r>
      <rPr>
        <b val="true"/>
        <sz val="10"/>
        <color rgb="FFFFFFFF"/>
        <rFont val="맑은 고딕"/>
        <family val="0"/>
        <charset val="1"/>
      </rPr>
      <t xml:space="preserve">)</t>
    </r>
  </si>
  <si>
    <r>
      <rPr>
        <b val="true"/>
        <sz val="10"/>
        <color rgb="FFFFFFFF"/>
        <rFont val="WenQuanYi Zen Hei"/>
        <family val="2"/>
      </rPr>
      <t xml:space="preserve">확인 완료 </t>
    </r>
    <r>
      <rPr>
        <b val="true"/>
        <sz val="10"/>
        <color rgb="FFFFFFFF"/>
        <rFont val="맑은 고딕"/>
        <family val="0"/>
        <charset val="1"/>
      </rPr>
      <t xml:space="preserve">(Y/N)</t>
    </r>
  </si>
  <si>
    <t xml:space="preserve">S01</t>
  </si>
  <si>
    <r>
      <rPr>
        <sz val="10"/>
        <color rgb="FF000000"/>
        <rFont val="WenQuanYi Zen Hei"/>
        <family val="2"/>
      </rPr>
      <t xml:space="preserve">학술논문</t>
    </r>
    <r>
      <rPr>
        <sz val="10"/>
        <color rgb="FF000000"/>
        <rFont val="맑은 고딕"/>
        <family val="0"/>
        <charset val="1"/>
      </rPr>
      <t xml:space="preserve">(</t>
    </r>
    <r>
      <rPr>
        <sz val="10"/>
        <color rgb="FF000000"/>
        <rFont val="WenQuanYi Zen Hei"/>
        <family val="2"/>
      </rPr>
      <t xml:space="preserve">학회</t>
    </r>
    <r>
      <rPr>
        <sz val="10"/>
        <color rgb="FF000000"/>
        <rFont val="맑은 고딕"/>
        <family val="0"/>
        <charset val="1"/>
      </rPr>
      <t xml:space="preserve">)</t>
    </r>
  </si>
  <si>
    <t xml:space="preserve">Gotel, O. C. Z., &amp; Finkelstein, A. C. W. (1994). An analysis of the requirements traceability problem. In Proc. 1st Int. Conf. on Requirements Engineering (ICRE), pp. 94–101. IEEE Computer Society Press.</t>
  </si>
  <si>
    <r>
      <rPr>
        <sz val="10"/>
        <color rgb="FF000000"/>
        <rFont val="WenQuanYi Zen Hei"/>
        <family val="2"/>
      </rPr>
      <t xml:space="preserve">요구사항 추적성 문제의 성격을 분석하고 </t>
    </r>
    <r>
      <rPr>
        <sz val="10"/>
        <color rgb="FF000000"/>
        <rFont val="맑은 고딕"/>
        <family val="0"/>
        <charset val="1"/>
      </rPr>
      <t xml:space="preserve">pre-RS/post-RS </t>
    </r>
    <r>
      <rPr>
        <sz val="10"/>
        <color rgb="FF000000"/>
        <rFont val="WenQuanYi Zen Hei"/>
        <family val="2"/>
      </rPr>
      <t xml:space="preserve">추적성으로 구분한다</t>
    </r>
    <r>
      <rPr>
        <sz val="10"/>
        <color rgb="FF000000"/>
        <rFont val="맑은 고딕"/>
        <family val="0"/>
        <charset val="1"/>
      </rPr>
      <t xml:space="preserve">(</t>
    </r>
    <r>
      <rPr>
        <sz val="10"/>
        <color rgb="FF000000"/>
        <rFont val="WenQuanYi Zen Hei"/>
        <family val="2"/>
      </rPr>
      <t xml:space="preserve">검색 결과 요약 기준</t>
    </r>
    <r>
      <rPr>
        <sz val="10"/>
        <color rgb="FF000000"/>
        <rFont val="맑은 고딕"/>
        <family val="0"/>
        <charset val="1"/>
      </rPr>
      <t xml:space="preserve">).</t>
    </r>
  </si>
  <si>
    <r>
      <rPr>
        <sz val="10"/>
        <color rgb="FF000000"/>
        <rFont val="WenQuanYi Zen Hei"/>
        <family val="2"/>
      </rPr>
      <t xml:space="preserve">서지 확인됨</t>
    </r>
    <r>
      <rPr>
        <sz val="10"/>
        <color rgb="FF000000"/>
        <rFont val="맑은 고딕"/>
        <family val="0"/>
        <charset val="1"/>
      </rPr>
      <t xml:space="preserve">(</t>
    </r>
    <r>
      <rPr>
        <sz val="10"/>
        <color rgb="FF000000"/>
        <rFont val="WenQuanYi Zen Hei"/>
        <family val="2"/>
      </rPr>
      <t xml:space="preserve">웹 검색</t>
    </r>
    <r>
      <rPr>
        <sz val="10"/>
        <color rgb="FF000000"/>
        <rFont val="맑은 고딕"/>
        <family val="0"/>
        <charset val="1"/>
      </rPr>
      <t xml:space="preserve">, 2026-10-09)</t>
    </r>
  </si>
  <si>
    <r>
      <rPr>
        <sz val="10"/>
        <color rgb="FF000000"/>
        <rFont val="WenQuanYi Zen Hei"/>
        <family val="2"/>
      </rPr>
      <t xml:space="preserve">원문 미열람 — 이 세션의 네트워크 정책으로 접근 차단</t>
    </r>
    <r>
      <rPr>
        <sz val="10"/>
        <color rgb="FF000000"/>
        <rFont val="맑은 고딕"/>
        <family val="0"/>
        <charset val="1"/>
      </rPr>
      <t xml:space="preserve">. </t>
    </r>
    <r>
      <rPr>
        <sz val="10"/>
        <color rgb="FF000000"/>
        <rFont val="WenQuanYi Zen Hei"/>
        <family val="2"/>
      </rPr>
      <t xml:space="preserve">인용 문장은 확인되지 않음</t>
    </r>
  </si>
  <si>
    <t xml:space="preserve">doi:10.1109/ICRE.1994.292398 / https://discovery.ucl.ac.uk/749/</t>
  </si>
  <si>
    <t xml:space="preserve">S02</t>
  </si>
  <si>
    <t xml:space="preserve">Cleland-Huang, J., Gotel, O. C. Z., Huffman Hayes, J., Mäder, P., &amp; Zisman, A. (2014). Software traceability: Trends and future directions. In Proc. Future of Software Engineering (FOSE 2014), pp. 55–69. ACM.</t>
  </si>
  <si>
    <r>
      <rPr>
        <sz val="10"/>
        <color rgb="FF000000"/>
        <rFont val="WenQuanYi Zen Hei"/>
        <family val="2"/>
      </rPr>
      <t xml:space="preserve">소프트웨어 추적성의 연구 현황과 향후 과제를 개관한다</t>
    </r>
    <r>
      <rPr>
        <sz val="10"/>
        <color rgb="FF000000"/>
        <rFont val="맑은 고딕"/>
        <family val="0"/>
        <charset val="1"/>
      </rPr>
      <t xml:space="preserve">(</t>
    </r>
    <r>
      <rPr>
        <sz val="10"/>
        <color rgb="FF000000"/>
        <rFont val="WenQuanYi Zen Hei"/>
        <family val="2"/>
      </rPr>
      <t xml:space="preserve">검색 결과 요약 기준</t>
    </r>
    <r>
      <rPr>
        <sz val="10"/>
        <color rgb="FF000000"/>
        <rFont val="맑은 고딕"/>
        <family val="0"/>
        <charset val="1"/>
      </rPr>
      <t xml:space="preserve">).</t>
    </r>
  </si>
  <si>
    <t xml:space="preserve">doi:10.1145/2593882.2593891</t>
  </si>
  <si>
    <t xml:space="preserve">S03</t>
  </si>
  <si>
    <t xml:space="preserve">학술논문</t>
  </si>
  <si>
    <t xml:space="preserve">Wang, R. Y., &amp; Strong, D. M. (1996). Beyond accuracy: What data quality means to data consumers. Journal of Management Information Systems, 12(4), 5–33.</t>
  </si>
  <si>
    <r>
      <rPr>
        <sz val="10"/>
        <color rgb="FF000000"/>
        <rFont val="WenQuanYi Zen Hei"/>
        <family val="2"/>
      </rPr>
      <t xml:space="preserve">정합성</t>
    </r>
    <r>
      <rPr>
        <sz val="10"/>
        <color rgb="FF000000"/>
        <rFont val="맑은 고딕"/>
        <family val="0"/>
        <charset val="1"/>
      </rPr>
      <t xml:space="preserve">, </t>
    </r>
    <r>
      <rPr>
        <sz val="10"/>
        <color rgb="FF000000"/>
        <rFont val="WenQuanYi Zen Hei"/>
        <family val="2"/>
      </rPr>
      <t xml:space="preserve">최신성</t>
    </r>
  </si>
  <si>
    <r>
      <rPr>
        <sz val="10"/>
        <color rgb="FF000000"/>
        <rFont val="WenQuanYi Zen Hei"/>
        <family val="2"/>
      </rPr>
      <t xml:space="preserve">데이터 소비자 관점의 데이터 품질 차원을 </t>
    </r>
    <r>
      <rPr>
        <sz val="10"/>
        <color rgb="FF000000"/>
        <rFont val="맑은 고딕"/>
        <family val="0"/>
        <charset val="1"/>
      </rPr>
      <t xml:space="preserve">2</t>
    </r>
    <r>
      <rPr>
        <sz val="10"/>
        <color rgb="FF000000"/>
        <rFont val="WenQuanYi Zen Hei"/>
        <family val="2"/>
      </rPr>
      <t xml:space="preserve">단계 설문과 분류 연구로 도출한 위계적 틀을 제시한다</t>
    </r>
    <r>
      <rPr>
        <sz val="10"/>
        <color rgb="FF000000"/>
        <rFont val="맑은 고딕"/>
        <family val="0"/>
        <charset val="1"/>
      </rPr>
      <t xml:space="preserve">(</t>
    </r>
    <r>
      <rPr>
        <sz val="10"/>
        <color rgb="FF000000"/>
        <rFont val="WenQuanYi Zen Hei"/>
        <family val="2"/>
      </rPr>
      <t xml:space="preserve">검색 결과 요약 기준</t>
    </r>
    <r>
      <rPr>
        <sz val="10"/>
        <color rgb="FF000000"/>
        <rFont val="맑은 고딕"/>
        <family val="0"/>
        <charset val="1"/>
      </rPr>
      <t xml:space="preserve">). </t>
    </r>
    <r>
      <rPr>
        <sz val="10"/>
        <color rgb="FF000000"/>
        <rFont val="WenQuanYi Zen Hei"/>
        <family val="2"/>
      </rPr>
      <t xml:space="preserve">시의성</t>
    </r>
    <r>
      <rPr>
        <sz val="10"/>
        <color rgb="FF000000"/>
        <rFont val="맑은 고딕"/>
        <family val="0"/>
        <charset val="1"/>
      </rPr>
      <t xml:space="preserve">·</t>
    </r>
    <r>
      <rPr>
        <sz val="10"/>
        <color rgb="FF000000"/>
        <rFont val="WenQuanYi Zen Hei"/>
        <family val="2"/>
      </rPr>
      <t xml:space="preserve">표현 일관성 등 차원 정의는 원문에서 확인해야 한다</t>
    </r>
    <r>
      <rPr>
        <sz val="10"/>
        <color rgb="FF000000"/>
        <rFont val="맑은 고딕"/>
        <family val="0"/>
        <charset val="1"/>
      </rPr>
      <t xml:space="preserve">.</t>
    </r>
  </si>
  <si>
    <t xml:space="preserve">http://www.jstor.org/stable/40398176</t>
  </si>
  <si>
    <t xml:space="preserve">S04</t>
  </si>
  <si>
    <t xml:space="preserve">Pipino, L. L., Lee, Y. W., &amp; Wang, R. Y. (2002). Data quality assessment. Communications of the ACM, 45(4), 211–218.</t>
  </si>
  <si>
    <r>
      <rPr>
        <sz val="10"/>
        <color rgb="FF000000"/>
        <rFont val="WenQuanYi Zen Hei"/>
        <family val="2"/>
      </rPr>
      <t xml:space="preserve">데이터 품질 평가</t>
    </r>
    <r>
      <rPr>
        <sz val="10"/>
        <color rgb="FF000000"/>
        <rFont val="맑은 고딕"/>
        <family val="0"/>
        <charset val="1"/>
      </rPr>
      <t xml:space="preserve">(</t>
    </r>
    <r>
      <rPr>
        <sz val="10"/>
        <color rgb="FF000000"/>
        <rFont val="WenQuanYi Zen Hei"/>
        <family val="2"/>
      </rPr>
      <t xml:space="preserve">측정</t>
    </r>
    <r>
      <rPr>
        <sz val="10"/>
        <color rgb="FF000000"/>
        <rFont val="맑은 고딕"/>
        <family val="0"/>
        <charset val="1"/>
      </rPr>
      <t xml:space="preserve">)</t>
    </r>
    <r>
      <rPr>
        <sz val="10"/>
        <color rgb="FF000000"/>
        <rFont val="WenQuanYi Zen Hei"/>
        <family val="2"/>
      </rPr>
      <t xml:space="preserve">를 다룬다</t>
    </r>
    <r>
      <rPr>
        <sz val="10"/>
        <color rgb="FF000000"/>
        <rFont val="맑은 고딕"/>
        <family val="0"/>
        <charset val="1"/>
      </rPr>
      <t xml:space="preserve">. </t>
    </r>
    <r>
      <rPr>
        <sz val="10"/>
        <color rgb="FF000000"/>
        <rFont val="WenQuanYi Zen Hei"/>
        <family val="2"/>
      </rPr>
      <t xml:space="preserve">초록</t>
    </r>
    <r>
      <rPr>
        <sz val="10"/>
        <color rgb="FF000000"/>
        <rFont val="맑은 고딕"/>
        <family val="0"/>
        <charset val="1"/>
      </rPr>
      <t xml:space="preserve">·</t>
    </r>
    <r>
      <rPr>
        <sz val="10"/>
        <color rgb="FF000000"/>
        <rFont val="WenQuanYi Zen Hei"/>
        <family val="2"/>
      </rPr>
      <t xml:space="preserve">본문은 이 세션에서 확인하지 못했다</t>
    </r>
    <r>
      <rPr>
        <sz val="10"/>
        <color rgb="FF000000"/>
        <rFont val="맑은 고딕"/>
        <family val="0"/>
        <charset val="1"/>
      </rPr>
      <t xml:space="preserve">(</t>
    </r>
    <r>
      <rPr>
        <sz val="10"/>
        <color rgb="FF000000"/>
        <rFont val="WenQuanYi Zen Hei"/>
        <family val="2"/>
      </rPr>
      <t xml:space="preserve">서지만 확인</t>
    </r>
    <r>
      <rPr>
        <sz val="10"/>
        <color rgb="FF000000"/>
        <rFont val="맑은 고딕"/>
        <family val="0"/>
        <charset val="1"/>
      </rPr>
      <t xml:space="preserve">).</t>
    </r>
  </si>
  <si>
    <t xml:space="preserve">doi:10.1145/505248.506010</t>
  </si>
  <si>
    <t xml:space="preserve">S05</t>
  </si>
  <si>
    <r>
      <rPr>
        <sz val="10"/>
        <color rgb="FF000000"/>
        <rFont val="WenQuanYi Zen Hei"/>
        <family val="2"/>
      </rPr>
      <t xml:space="preserve">학술논문</t>
    </r>
    <r>
      <rPr>
        <sz val="10"/>
        <color rgb="FF000000"/>
        <rFont val="맑은 고딕"/>
        <family val="0"/>
        <charset val="1"/>
      </rPr>
      <t xml:space="preserve">(</t>
    </r>
    <r>
      <rPr>
        <sz val="10"/>
        <color rgb="FF000000"/>
        <rFont val="WenQuanYi Zen Hei"/>
        <family val="2"/>
      </rPr>
      <t xml:space="preserve">서베이</t>
    </r>
    <r>
      <rPr>
        <sz val="10"/>
        <color rgb="FF000000"/>
        <rFont val="맑은 고딕"/>
        <family val="0"/>
        <charset val="1"/>
      </rPr>
      <t xml:space="preserve">)</t>
    </r>
  </si>
  <si>
    <t xml:space="preserve">Batini, C., Cappiello, C., Francalanci, C., &amp; Maurino, A. (2009). Methodologies for data quality assessment and improvement. ACM Computing Surveys, 41(3), 1–52.</t>
  </si>
  <si>
    <r>
      <rPr>
        <sz val="10"/>
        <color rgb="FF000000"/>
        <rFont val="WenQuanYi Zen Hei"/>
        <family val="2"/>
      </rPr>
      <t xml:space="preserve">데이터 품질 평가</t>
    </r>
    <r>
      <rPr>
        <sz val="10"/>
        <color rgb="FF000000"/>
        <rFont val="맑은 고딕"/>
        <family val="0"/>
        <charset val="1"/>
      </rPr>
      <t xml:space="preserve">·</t>
    </r>
    <r>
      <rPr>
        <sz val="10"/>
        <color rgb="FF000000"/>
        <rFont val="WenQuanYi Zen Hei"/>
        <family val="2"/>
      </rPr>
      <t xml:space="preserve">개선 방법론을 단계</t>
    </r>
    <r>
      <rPr>
        <sz val="10"/>
        <color rgb="FF000000"/>
        <rFont val="맑은 고딕"/>
        <family val="0"/>
        <charset val="1"/>
      </rPr>
      <t xml:space="preserve">·</t>
    </r>
    <r>
      <rPr>
        <sz val="10"/>
        <color rgb="FF000000"/>
        <rFont val="WenQuanYi Zen Hei"/>
        <family val="2"/>
      </rPr>
      <t xml:space="preserve">기법</t>
    </r>
    <r>
      <rPr>
        <sz val="10"/>
        <color rgb="FF000000"/>
        <rFont val="맑은 고딕"/>
        <family val="0"/>
        <charset val="1"/>
      </rPr>
      <t xml:space="preserve">·</t>
    </r>
    <r>
      <rPr>
        <sz val="10"/>
        <color rgb="FF000000"/>
        <rFont val="WenQuanYi Zen Hei"/>
        <family val="2"/>
      </rPr>
      <t xml:space="preserve">차원별로 비교한다</t>
    </r>
    <r>
      <rPr>
        <sz val="10"/>
        <color rgb="FF000000"/>
        <rFont val="맑은 고딕"/>
        <family val="0"/>
        <charset val="1"/>
      </rPr>
      <t xml:space="preserve">(</t>
    </r>
    <r>
      <rPr>
        <sz val="10"/>
        <color rgb="FF000000"/>
        <rFont val="WenQuanYi Zen Hei"/>
        <family val="2"/>
      </rPr>
      <t xml:space="preserve">검색 결과 요약 기준</t>
    </r>
    <r>
      <rPr>
        <sz val="10"/>
        <color rgb="FF000000"/>
        <rFont val="맑은 고딕"/>
        <family val="0"/>
        <charset val="1"/>
      </rPr>
      <t xml:space="preserve">). </t>
    </r>
    <r>
      <rPr>
        <sz val="10"/>
        <color rgb="FF000000"/>
        <rFont val="WenQuanYi Zen Hei"/>
        <family val="2"/>
      </rPr>
      <t xml:space="preserve">일관성</t>
    </r>
    <r>
      <rPr>
        <sz val="10"/>
        <color rgb="FF000000"/>
        <rFont val="맑은 고딕"/>
        <family val="0"/>
        <charset val="1"/>
      </rPr>
      <t xml:space="preserve">·</t>
    </r>
    <r>
      <rPr>
        <sz val="10"/>
        <color rgb="FF000000"/>
        <rFont val="WenQuanYi Zen Hei"/>
        <family val="2"/>
      </rPr>
      <t xml:space="preserve">최신성 정의는 </t>
    </r>
    <r>
      <rPr>
        <sz val="10"/>
        <color rgb="FF000000"/>
        <rFont val="맑은 고딕"/>
        <family val="0"/>
        <charset val="1"/>
      </rPr>
      <t xml:space="preserve">2</t>
    </r>
    <r>
      <rPr>
        <sz val="10"/>
        <color rgb="FF000000"/>
        <rFont val="WenQuanYi Zen Hei"/>
        <family val="2"/>
      </rPr>
      <t xml:space="preserve">차 문헌이 인용하나 </t>
    </r>
    <r>
      <rPr>
        <sz val="10"/>
        <color rgb="FF000000"/>
        <rFont val="맑은 고딕"/>
        <family val="0"/>
        <charset val="1"/>
      </rPr>
      <t xml:space="preserve">2009 </t>
    </r>
    <r>
      <rPr>
        <sz val="10"/>
        <color rgb="FF000000"/>
        <rFont val="WenQuanYi Zen Hei"/>
        <family val="2"/>
      </rPr>
      <t xml:space="preserve">원문 문장은 확인하지 못했다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</si>
  <si>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서지만</t>
    </r>
    <r>
      <rPr>
        <sz val="10"/>
        <color rgb="FF000000"/>
        <rFont val="맑은 고딕"/>
        <family val="0"/>
        <charset val="1"/>
      </rPr>
      <t xml:space="preserve">)</t>
    </r>
  </si>
  <si>
    <t xml:space="preserve">S06</t>
  </si>
  <si>
    <t xml:space="preserve">Zowghi, D., &amp; Gervasi, V. (2003). On the interplay between consistency, completeness, and correctness in requirements evolution. Information and Software Technology, 45(14), 993–1009.</t>
  </si>
  <si>
    <r>
      <rPr>
        <sz val="10"/>
        <color rgb="FF000000"/>
        <rFont val="WenQuanYi Zen Hei"/>
        <family val="2"/>
      </rPr>
      <t xml:space="preserve">요구사항 진화에서 일관성</t>
    </r>
    <r>
      <rPr>
        <sz val="10"/>
        <color rgb="FF000000"/>
        <rFont val="맑은 고딕"/>
        <family val="0"/>
        <charset val="1"/>
      </rPr>
      <t xml:space="preserve">·</t>
    </r>
    <r>
      <rPr>
        <sz val="10"/>
        <color rgb="FF000000"/>
        <rFont val="WenQuanYi Zen Hei"/>
        <family val="2"/>
      </rPr>
      <t xml:space="preserve">완전성</t>
    </r>
    <r>
      <rPr>
        <sz val="10"/>
        <color rgb="FF000000"/>
        <rFont val="맑은 고딕"/>
        <family val="0"/>
        <charset val="1"/>
      </rPr>
      <t xml:space="preserve">·</t>
    </r>
    <r>
      <rPr>
        <sz val="10"/>
        <color rgb="FF000000"/>
        <rFont val="WenQuanYi Zen Hei"/>
        <family val="2"/>
      </rPr>
      <t xml:space="preserve">정확성의 관계와 검증 점검을 다룬다</t>
    </r>
    <r>
      <rPr>
        <sz val="10"/>
        <color rgb="FF000000"/>
        <rFont val="맑은 고딕"/>
        <family val="0"/>
        <charset val="1"/>
      </rPr>
      <t xml:space="preserve">(</t>
    </r>
    <r>
      <rPr>
        <sz val="10"/>
        <color rgb="FF000000"/>
        <rFont val="WenQuanYi Zen Hei"/>
        <family val="2"/>
      </rPr>
      <t xml:space="preserve">검색 결과 요약 기준</t>
    </r>
    <r>
      <rPr>
        <sz val="10"/>
        <color rgb="FF000000"/>
        <rFont val="맑은 고딕"/>
        <family val="0"/>
        <charset val="1"/>
      </rPr>
      <t xml:space="preserve">). 2004</t>
    </r>
    <r>
      <rPr>
        <sz val="10"/>
        <color rgb="FF000000"/>
        <rFont val="WenQuanYi Zen Hei"/>
        <family val="2"/>
      </rPr>
      <t xml:space="preserve">년 정오표</t>
    </r>
    <r>
      <rPr>
        <sz val="10"/>
        <color rgb="FF000000"/>
        <rFont val="맑은 고딕"/>
        <family val="0"/>
        <charset val="1"/>
      </rPr>
      <t xml:space="preserve">(erratum)</t>
    </r>
    <r>
      <rPr>
        <sz val="10"/>
        <color rgb="FF000000"/>
        <rFont val="WenQuanYi Zen Hei"/>
        <family val="2"/>
      </rPr>
      <t xml:space="preserve">가 있다</t>
    </r>
    <r>
      <rPr>
        <sz val="10"/>
        <color rgb="FF000000"/>
        <rFont val="맑은 고딕"/>
        <family val="0"/>
        <charset val="1"/>
      </rPr>
      <t xml:space="preserve">.</t>
    </r>
  </si>
  <si>
    <t xml:space="preserve">https://opus.cloud1.lib.uts.edu.au/handle/10453/4025</t>
  </si>
  <si>
    <t xml:space="preserve">S07</t>
  </si>
  <si>
    <t xml:space="preserve">Bovens, M. (2007). Analysing and assessing accountability: A conceptual framework. European Law Journal, 13(4), 447–468.</t>
  </si>
  <si>
    <r>
      <rPr>
        <sz val="10"/>
        <color rgb="FF000000"/>
        <rFont val="WenQuanYi Zen Hei"/>
        <family val="2"/>
      </rPr>
      <t xml:space="preserve">책임성을 행위자와 포럼 사이의 관계</t>
    </r>
    <r>
      <rPr>
        <sz val="10"/>
        <color rgb="FF000000"/>
        <rFont val="맑은 고딕"/>
        <family val="0"/>
        <charset val="1"/>
      </rPr>
      <t xml:space="preserve">(</t>
    </r>
    <r>
      <rPr>
        <sz val="10"/>
        <color rgb="FF000000"/>
        <rFont val="WenQuanYi Zen Hei"/>
        <family val="2"/>
      </rPr>
      <t xml:space="preserve">설명 의무</t>
    </r>
    <r>
      <rPr>
        <sz val="10"/>
        <color rgb="FF000000"/>
        <rFont val="맑은 고딕"/>
        <family val="0"/>
        <charset val="1"/>
      </rPr>
      <t xml:space="preserve">, </t>
    </r>
    <r>
      <rPr>
        <sz val="10"/>
        <color rgb="FF000000"/>
        <rFont val="WenQuanYi Zen Hei"/>
        <family val="2"/>
      </rPr>
      <t xml:space="preserve">질문</t>
    </r>
    <r>
      <rPr>
        <sz val="10"/>
        <color rgb="FF000000"/>
        <rFont val="맑은 고딕"/>
        <family val="0"/>
        <charset val="1"/>
      </rPr>
      <t xml:space="preserve">·</t>
    </r>
    <r>
      <rPr>
        <sz val="10"/>
        <color rgb="FF000000"/>
        <rFont val="WenQuanYi Zen Hei"/>
        <family val="2"/>
      </rPr>
      <t xml:space="preserve">판단</t>
    </r>
    <r>
      <rPr>
        <sz val="10"/>
        <color rgb="FF000000"/>
        <rFont val="맑은 고딕"/>
        <family val="0"/>
        <charset val="1"/>
      </rPr>
      <t xml:space="preserve">, </t>
    </r>
    <r>
      <rPr>
        <sz val="10"/>
        <color rgb="FF000000"/>
        <rFont val="WenQuanYi Zen Hei"/>
        <family val="2"/>
      </rPr>
      <t xml:space="preserve">결과 부담</t>
    </r>
    <r>
      <rPr>
        <sz val="10"/>
        <color rgb="FF000000"/>
        <rFont val="맑은 고딕"/>
        <family val="0"/>
        <charset val="1"/>
      </rPr>
      <t xml:space="preserve">)</t>
    </r>
    <r>
      <rPr>
        <sz val="10"/>
        <color rgb="FF000000"/>
        <rFont val="WenQuanYi Zen Hei"/>
        <family val="2"/>
      </rPr>
      <t xml:space="preserve">로 좁게 개념화하고 분석</t>
    </r>
    <r>
      <rPr>
        <sz val="10"/>
        <color rgb="FF000000"/>
        <rFont val="맑은 고딕"/>
        <family val="0"/>
        <charset val="1"/>
      </rPr>
      <t xml:space="preserve">·</t>
    </r>
    <r>
      <rPr>
        <sz val="10"/>
        <color rgb="FF000000"/>
        <rFont val="WenQuanYi Zen Hei"/>
        <family val="2"/>
      </rPr>
      <t xml:space="preserve">평가 틀을 제시한다</t>
    </r>
    <r>
      <rPr>
        <sz val="10"/>
        <color rgb="FF000000"/>
        <rFont val="맑은 고딕"/>
        <family val="0"/>
        <charset val="1"/>
      </rPr>
      <t xml:space="preserve">(</t>
    </r>
    <r>
      <rPr>
        <sz val="10"/>
        <color rgb="FF000000"/>
        <rFont val="WenQuanYi Zen Hei"/>
        <family val="2"/>
      </rPr>
      <t xml:space="preserve">검색 결과 요약 기준</t>
    </r>
    <r>
      <rPr>
        <sz val="10"/>
        <color rgb="FF000000"/>
        <rFont val="맑은 고딕"/>
        <family val="0"/>
        <charset val="1"/>
      </rPr>
      <t xml:space="preserve">).</t>
    </r>
  </si>
  <si>
    <t xml:space="preserve">doi:10.1111/j.1468-0386.2007.00378.x / https://dspace.library.uu.nl/handle/1874/35005</t>
  </si>
  <si>
    <r>
      <rPr>
        <sz val="10"/>
        <color rgb="FF000000"/>
        <rFont val="WenQuanYi Zen Hei"/>
        <family val="2"/>
      </rPr>
      <t xml:space="preserve">학술</t>
    </r>
    <r>
      <rPr>
        <sz val="10"/>
        <color rgb="FF000000"/>
        <rFont val="맑은 고딕"/>
        <family val="0"/>
        <charset val="1"/>
      </rPr>
      <t xml:space="preserve">·</t>
    </r>
    <r>
      <rPr>
        <sz val="10"/>
        <color rgb="FF000000"/>
        <rFont val="WenQuanYi Zen Hei"/>
        <family val="2"/>
      </rPr>
      <t xml:space="preserve">실무 논문</t>
    </r>
  </si>
  <si>
    <t xml:space="preserve">Argyris, C. (1977). Double loop learning in organizations. Harvard Business Review, 55(5), 115–125.</t>
  </si>
  <si>
    <r>
      <rPr>
        <sz val="10"/>
        <color rgb="FF000000"/>
        <rFont val="WenQuanYi Zen Hei"/>
        <family val="2"/>
      </rPr>
      <t xml:space="preserve">조직학습을 오류의 탐지와 수정으로 보고 </t>
    </r>
    <r>
      <rPr>
        <sz val="10"/>
        <color rgb="FF000000"/>
        <rFont val="맑은 고딕"/>
        <family val="0"/>
        <charset val="1"/>
      </rPr>
      <t xml:space="preserve">single-loop</t>
    </r>
    <r>
      <rPr>
        <sz val="10"/>
        <color rgb="FF000000"/>
        <rFont val="WenQuanYi Zen Hei"/>
        <family val="2"/>
      </rPr>
      <t xml:space="preserve">와 </t>
    </r>
    <r>
      <rPr>
        <sz val="10"/>
        <color rgb="FF000000"/>
        <rFont val="맑은 고딕"/>
        <family val="0"/>
        <charset val="1"/>
      </rPr>
      <t xml:space="preserve">double-loop</t>
    </r>
    <r>
      <rPr>
        <sz val="10"/>
        <color rgb="FF000000"/>
        <rFont val="WenQuanYi Zen Hei"/>
        <family val="2"/>
      </rPr>
      <t xml:space="preserve">를 구분한다</t>
    </r>
    <r>
      <rPr>
        <sz val="10"/>
        <color rgb="FF000000"/>
        <rFont val="맑은 고딕"/>
        <family val="0"/>
        <charset val="1"/>
      </rPr>
      <t xml:space="preserve">(2</t>
    </r>
    <r>
      <rPr>
        <sz val="10"/>
        <color rgb="FF000000"/>
        <rFont val="WenQuanYi Zen Hei"/>
        <family val="2"/>
      </rPr>
      <t xml:space="preserve">차 요약 기준</t>
    </r>
    <r>
      <rPr>
        <sz val="10"/>
        <color rgb="FF000000"/>
        <rFont val="맑은 고딕"/>
        <family val="0"/>
        <charset val="1"/>
      </rPr>
      <t xml:space="preserve">; </t>
    </r>
    <r>
      <rPr>
        <sz val="10"/>
        <color rgb="FF000000"/>
        <rFont val="WenQuanYi Zen Hei"/>
        <family val="2"/>
      </rPr>
      <t xml:space="preserve">원문 미열람</t>
    </r>
    <r>
      <rPr>
        <sz val="10"/>
        <color rgb="FF000000"/>
        <rFont val="맑은 고딕"/>
        <family val="0"/>
        <charset val="1"/>
      </rPr>
      <t xml:space="preserve">).</t>
    </r>
  </si>
  <si>
    <t xml:space="preserve">S09</t>
  </si>
  <si>
    <r>
      <rPr>
        <sz val="10"/>
        <color rgb="FF000000"/>
        <rFont val="WenQuanYi Zen Hei"/>
        <family val="2"/>
      </rPr>
      <t xml:space="preserve">학술논문</t>
    </r>
    <r>
      <rPr>
        <sz val="10"/>
        <color rgb="FF000000"/>
        <rFont val="맑은 고딕"/>
        <family val="0"/>
        <charset val="1"/>
      </rPr>
      <t xml:space="preserve">(</t>
    </r>
    <r>
      <rPr>
        <sz val="10"/>
        <color rgb="FF000000"/>
        <rFont val="WenQuanYi Zen Hei"/>
        <family val="2"/>
      </rPr>
      <t xml:space="preserve">방법</t>
    </r>
    <r>
      <rPr>
        <sz val="10"/>
        <color rgb="FF000000"/>
        <rFont val="맑은 고딕"/>
        <family val="0"/>
        <charset val="1"/>
      </rPr>
      <t xml:space="preserve">)</t>
    </r>
  </si>
  <si>
    <t xml:space="preserve">Diamantopoulos, A., &amp; Winklhofer, H. M. (2001). Index construction with formative indicators: An alternative to scale development. Journal of Marketing Research, 38(2), 269–277.</t>
  </si>
  <si>
    <r>
      <rPr>
        <sz val="10"/>
        <color rgb="FF000000"/>
        <rFont val="WenQuanYi Zen Hei"/>
        <family val="2"/>
      </rPr>
      <t xml:space="preserve">방법</t>
    </r>
    <r>
      <rPr>
        <sz val="10"/>
        <color rgb="FF000000"/>
        <rFont val="맑은 고딕"/>
        <family val="0"/>
        <charset val="1"/>
      </rPr>
      <t xml:space="preserve">(</t>
    </r>
    <r>
      <rPr>
        <sz val="10"/>
        <color rgb="FF000000"/>
        <rFont val="WenQuanYi Zen Hei"/>
        <family val="2"/>
      </rPr>
      <t xml:space="preserve">구성</t>
    </r>
    <r>
      <rPr>
        <sz val="10"/>
        <color rgb="FF000000"/>
        <rFont val="맑은 고딕"/>
        <family val="0"/>
        <charset val="1"/>
      </rPr>
      <t xml:space="preserve">·</t>
    </r>
    <r>
      <rPr>
        <sz val="10"/>
        <color rgb="FF000000"/>
        <rFont val="WenQuanYi Zen Hei"/>
        <family val="2"/>
      </rPr>
      <t xml:space="preserve">검증</t>
    </r>
    <r>
      <rPr>
        <sz val="10"/>
        <color rgb="FF000000"/>
        <rFont val="맑은 고딕"/>
        <family val="0"/>
        <charset val="1"/>
      </rPr>
      <t xml:space="preserve">)</t>
    </r>
  </si>
  <si>
    <r>
      <rPr>
        <sz val="10"/>
        <color rgb="FF000000"/>
        <rFont val="WenQuanYi Zen Hei"/>
        <family val="2"/>
      </rPr>
      <t xml:space="preserve">형성적 지표로 지수를 구성하는 방법을 다룬다</t>
    </r>
    <r>
      <rPr>
        <sz val="10"/>
        <color rgb="FF000000"/>
        <rFont val="맑은 고딕"/>
        <family val="0"/>
        <charset val="1"/>
      </rPr>
      <t xml:space="preserve">. </t>
    </r>
    <r>
      <rPr>
        <sz val="10"/>
        <color rgb="FF000000"/>
        <rFont val="WenQuanYi Zen Hei"/>
        <family val="2"/>
      </rPr>
      <t xml:space="preserve">연결 품질을 </t>
    </r>
    <r>
      <rPr>
        <sz val="10"/>
        <color rgb="FF000000"/>
        <rFont val="맑은 고딕"/>
        <family val="0"/>
        <charset val="1"/>
      </rPr>
      <t xml:space="preserve">6</t>
    </r>
    <r>
      <rPr>
        <sz val="10"/>
        <color rgb="FF000000"/>
        <rFont val="WenQuanYi Zen Hei"/>
        <family val="2"/>
      </rPr>
      <t xml:space="preserve">개 차원의 합으로 구성할 때의 방법 근거 후보</t>
    </r>
    <r>
      <rPr>
        <sz val="10"/>
        <color rgb="FF000000"/>
        <rFont val="맑은 고딕"/>
        <family val="0"/>
        <charset val="1"/>
      </rPr>
      <t xml:space="preserve">(</t>
    </r>
    <r>
      <rPr>
        <sz val="10"/>
        <color rgb="FF000000"/>
        <rFont val="WenQuanYi Zen Hei"/>
        <family val="2"/>
      </rPr>
      <t xml:space="preserve">검색 결과 요약 기준</t>
    </r>
    <r>
      <rPr>
        <sz val="10"/>
        <color rgb="FF000000"/>
        <rFont val="맑은 고딕"/>
        <family val="0"/>
        <charset val="1"/>
      </rPr>
      <t xml:space="preserve">).</t>
    </r>
  </si>
  <si>
    <t xml:space="preserve">doi:10.1509/jmkr.38.2.269.18845</t>
  </si>
  <si>
    <t xml:space="preserve">S10</t>
  </si>
  <si>
    <t xml:space="preserve">MacKenzie, S. B., Podsakoff, P. M., &amp; Podsakoff, N. P. (2011). Construct measurement and validation procedures in MIS and behavioral research: Integrating new and existing techniques. MIS Quarterly, 35(2), 293–334.</t>
  </si>
  <si>
    <r>
      <rPr>
        <sz val="10"/>
        <color rgb="FF000000"/>
        <rFont val="WenQuanYi Zen Hei"/>
        <family val="2"/>
      </rPr>
      <t xml:space="preserve">개념 정의</t>
    </r>
    <r>
      <rPr>
        <sz val="10"/>
        <color rgb="FF000000"/>
        <rFont val="맑은 고딕"/>
        <family val="0"/>
        <charset val="1"/>
      </rPr>
      <t xml:space="preserve">, </t>
    </r>
    <r>
      <rPr>
        <sz val="10"/>
        <color rgb="FF000000"/>
        <rFont val="WenQuanYi Zen Hei"/>
        <family val="2"/>
      </rPr>
      <t xml:space="preserve">측정모형 명시</t>
    </r>
    <r>
      <rPr>
        <sz val="10"/>
        <color rgb="FF000000"/>
        <rFont val="맑은 고딕"/>
        <family val="0"/>
        <charset val="1"/>
      </rPr>
      <t xml:space="preserve">, </t>
    </r>
    <r>
      <rPr>
        <sz val="10"/>
        <color rgb="FF000000"/>
        <rFont val="WenQuanYi Zen Hei"/>
        <family val="2"/>
      </rPr>
      <t xml:space="preserve">타당화 기법을 형성적</t>
    </r>
    <r>
      <rPr>
        <sz val="10"/>
        <color rgb="FF000000"/>
        <rFont val="맑은 고딕"/>
        <family val="0"/>
        <charset val="1"/>
      </rPr>
      <t xml:space="preserve">·</t>
    </r>
    <r>
      <rPr>
        <sz val="10"/>
        <color rgb="FF000000"/>
        <rFont val="WenQuanYi Zen Hei"/>
        <family val="2"/>
      </rPr>
      <t xml:space="preserve">반영적 지표 구분과 함께 정리한다</t>
    </r>
    <r>
      <rPr>
        <sz val="10"/>
        <color rgb="FF000000"/>
        <rFont val="맑은 고딕"/>
        <family val="0"/>
        <charset val="1"/>
      </rPr>
      <t xml:space="preserve">(</t>
    </r>
    <r>
      <rPr>
        <sz val="10"/>
        <color rgb="FF000000"/>
        <rFont val="WenQuanYi Zen Hei"/>
        <family val="2"/>
      </rPr>
      <t xml:space="preserve">검색 결과 요약 기준</t>
    </r>
    <r>
      <rPr>
        <sz val="10"/>
        <color rgb="FF000000"/>
        <rFont val="맑은 고딕"/>
        <family val="0"/>
        <charset val="1"/>
      </rPr>
      <t xml:space="preserve">). </t>
    </r>
    <r>
      <rPr>
        <sz val="10"/>
        <color rgb="FF000000"/>
        <rFont val="WenQuanYi Zen Hei"/>
        <family val="2"/>
      </rPr>
      <t xml:space="preserve">문항 개발</t>
    </r>
    <r>
      <rPr>
        <sz val="10"/>
        <color rgb="FF000000"/>
        <rFont val="맑은 고딕"/>
        <family val="0"/>
        <charset val="1"/>
      </rPr>
      <t xml:space="preserve">·</t>
    </r>
    <r>
      <rPr>
        <sz val="10"/>
        <color rgb="FF000000"/>
        <rFont val="WenQuanYi Zen Hei"/>
        <family val="2"/>
      </rPr>
      <t xml:space="preserve">검증 절차의 근거 후보</t>
    </r>
    <r>
      <rPr>
        <sz val="10"/>
        <color rgb="FF000000"/>
        <rFont val="맑은 고딕"/>
        <family val="0"/>
        <charset val="1"/>
      </rPr>
      <t xml:space="preserve">.</t>
    </r>
  </si>
  <si>
    <t xml:space="preserve">S11</t>
  </si>
  <si>
    <t xml:space="preserve">표준</t>
  </si>
  <si>
    <t xml:space="preserve">ISO 19011:2018. Guidelines for auditing management systems. International Organization for Standardization.</t>
  </si>
  <si>
    <r>
      <rPr>
        <sz val="10"/>
        <color rgb="FF000000"/>
        <rFont val="맑은 고딕"/>
        <family val="0"/>
        <charset val="1"/>
      </rPr>
      <t xml:space="preserve">"audit evidence"</t>
    </r>
    <r>
      <rPr>
        <sz val="10"/>
        <color rgb="FF000000"/>
        <rFont val="WenQuanYi Zen Hei"/>
        <family val="2"/>
      </rPr>
      <t xml:space="preserve">를 감사 기준과 관련되고 검증 가능한 기록</t>
    </r>
    <r>
      <rPr>
        <sz val="10"/>
        <color rgb="FF000000"/>
        <rFont val="맑은 고딕"/>
        <family val="0"/>
        <charset val="1"/>
      </rPr>
      <t xml:space="preserve">·</t>
    </r>
    <r>
      <rPr>
        <sz val="10"/>
        <color rgb="FF000000"/>
        <rFont val="WenQuanYi Zen Hei"/>
        <family val="2"/>
      </rPr>
      <t xml:space="preserve">사실 진술</t>
    </r>
    <r>
      <rPr>
        <sz val="10"/>
        <color rgb="FF000000"/>
        <rFont val="맑은 고딕"/>
        <family val="0"/>
        <charset val="1"/>
      </rPr>
      <t xml:space="preserve">·</t>
    </r>
    <r>
      <rPr>
        <sz val="10"/>
        <color rgb="FF000000"/>
        <rFont val="WenQuanYi Zen Hei"/>
        <family val="2"/>
      </rPr>
      <t xml:space="preserve">기타 정보로 정의한다고 </t>
    </r>
    <r>
      <rPr>
        <sz val="10"/>
        <color rgb="FF000000"/>
        <rFont val="맑은 고딕"/>
        <family val="0"/>
        <charset val="1"/>
      </rPr>
      <t xml:space="preserve">2</t>
    </r>
    <r>
      <rPr>
        <sz val="10"/>
        <color rgb="FF000000"/>
        <rFont val="WenQuanYi Zen Hei"/>
        <family val="2"/>
      </rPr>
      <t xml:space="preserve">차 사이트가 인용한다</t>
    </r>
    <r>
      <rPr>
        <sz val="10"/>
        <color rgb="FF000000"/>
        <rFont val="맑은 고딕"/>
        <family val="0"/>
        <charset val="1"/>
      </rPr>
      <t xml:space="preserve">(</t>
    </r>
    <r>
      <rPr>
        <sz val="10"/>
        <color rgb="FF000000"/>
        <rFont val="WenQuanYi Zen Hei"/>
        <family val="2"/>
      </rPr>
      <t xml:space="preserve">표준 원문 미확인</t>
    </r>
    <r>
      <rPr>
        <sz val="10"/>
        <color rgb="FF000000"/>
        <rFont val="맑은 고딕"/>
        <family val="0"/>
        <charset val="1"/>
      </rPr>
      <t xml:space="preserve">).</t>
    </r>
  </si>
  <si>
    <t xml:space="preserve">S12</t>
  </si>
  <si>
    <t xml:space="preserve">ISO 22301:2019. Security and resilience — Business continuity management systems — Requirements. International Organization for Standardization.</t>
  </si>
  <si>
    <r>
      <rPr>
        <sz val="10"/>
        <color rgb="FF000000"/>
        <rFont val="WenQuanYi Zen Hei"/>
        <family val="2"/>
      </rPr>
      <t xml:space="preserve">증빙성</t>
    </r>
    <r>
      <rPr>
        <sz val="10"/>
        <color rgb="FF000000"/>
        <rFont val="맑은 고딕"/>
        <family val="0"/>
        <charset val="1"/>
      </rPr>
      <t xml:space="preserve">, </t>
    </r>
    <r>
      <rPr>
        <sz val="10"/>
        <color rgb="FF000000"/>
        <rFont val="WenQuanYi Zen Hei"/>
        <family val="2"/>
      </rPr>
      <t xml:space="preserve">책임성</t>
    </r>
  </si>
  <si>
    <r>
      <rPr>
        <sz val="10"/>
        <color rgb="FF000000"/>
        <rFont val="맑은 고딕"/>
        <family val="0"/>
        <charset val="1"/>
      </rPr>
      <t xml:space="preserve">Arias</t>
    </r>
    <r>
      <rPr>
        <sz val="10"/>
        <color rgb="FF000000"/>
        <rFont val="WenQuanYi Zen Hei"/>
        <family val="2"/>
      </rPr>
      <t xml:space="preserve">가 인용한 조항</t>
    </r>
    <r>
      <rPr>
        <sz val="10"/>
        <color rgb="FF000000"/>
        <rFont val="맑은 고딕"/>
        <family val="0"/>
        <charset val="1"/>
      </rPr>
      <t xml:space="preserve">(4.1, 4.2.2, 4.4, 7.4, 8.2–8.4)</t>
    </r>
    <r>
      <rPr>
        <sz val="10"/>
        <color rgb="FF000000"/>
        <rFont val="WenQuanYi Zen Hei"/>
        <family val="2"/>
      </rPr>
      <t xml:space="preserve">만 </t>
    </r>
    <r>
      <rPr>
        <sz val="10"/>
        <color rgb="FF000000"/>
        <rFont val="맑은 고딕"/>
        <family val="0"/>
        <charset val="1"/>
      </rPr>
      <t xml:space="preserve">Arias </t>
    </r>
    <r>
      <rPr>
        <sz val="10"/>
        <color rgb="FF000000"/>
        <rFont val="WenQuanYi Zen Hei"/>
        <family val="2"/>
      </rPr>
      <t xml:space="preserve">본문으로 확인했다</t>
    </r>
    <r>
      <rPr>
        <sz val="10"/>
        <color rgb="FF000000"/>
        <rFont val="맑은 고딕"/>
        <family val="0"/>
        <charset val="1"/>
      </rPr>
      <t xml:space="preserve">. </t>
    </r>
    <r>
      <rPr>
        <sz val="10"/>
        <color rgb="FF000000"/>
        <rFont val="WenQuanYi Zen Hei"/>
        <family val="2"/>
      </rPr>
      <t xml:space="preserve">역할</t>
    </r>
    <r>
      <rPr>
        <sz val="10"/>
        <color rgb="FF000000"/>
        <rFont val="맑은 고딕"/>
        <family val="0"/>
        <charset val="1"/>
      </rPr>
      <t xml:space="preserve">·</t>
    </r>
    <r>
      <rPr>
        <sz val="10"/>
        <color rgb="FF000000"/>
        <rFont val="WenQuanYi Zen Hei"/>
        <family val="2"/>
      </rPr>
      <t xml:space="preserve">책임</t>
    </r>
    <r>
      <rPr>
        <sz val="10"/>
        <color rgb="FF000000"/>
        <rFont val="맑은 고딕"/>
        <family val="0"/>
        <charset val="1"/>
      </rPr>
      <t xml:space="preserve">, </t>
    </r>
    <r>
      <rPr>
        <sz val="10"/>
        <color rgb="FF000000"/>
        <rFont val="WenQuanYi Zen Hei"/>
        <family val="2"/>
      </rPr>
      <t xml:space="preserve">문서화된 정보</t>
    </r>
    <r>
      <rPr>
        <sz val="10"/>
        <color rgb="FF000000"/>
        <rFont val="맑은 고딕"/>
        <family val="0"/>
        <charset val="1"/>
      </rPr>
      <t xml:space="preserve">, </t>
    </r>
    <r>
      <rPr>
        <sz val="10"/>
        <color rgb="FF000000"/>
        <rFont val="WenQuanYi Zen Hei"/>
        <family val="2"/>
      </rPr>
      <t xml:space="preserve">시정조치</t>
    </r>
    <r>
      <rPr>
        <sz val="10"/>
        <color rgb="FF000000"/>
        <rFont val="맑은 고딕"/>
        <family val="0"/>
        <charset val="1"/>
      </rPr>
      <t xml:space="preserve">·</t>
    </r>
    <r>
      <rPr>
        <sz val="10"/>
        <color rgb="FF000000"/>
        <rFont val="WenQuanYi Zen Hei"/>
        <family val="2"/>
      </rPr>
      <t xml:space="preserve">개선 조항의 내용은 표준 원문에서 확인해야 한다</t>
    </r>
    <r>
      <rPr>
        <sz val="10"/>
        <color rgb="FF000000"/>
        <rFont val="맑은 고딕"/>
        <family val="0"/>
        <charset val="1"/>
      </rPr>
      <t xml:space="preserve">.</t>
    </r>
  </si>
  <si>
    <r>
      <rPr>
        <b val="true"/>
        <sz val="14"/>
        <color rgb="FF101828"/>
        <rFont val="WenQuanYi Zen Hei"/>
        <family val="2"/>
      </rPr>
      <t xml:space="preserve">인용 근거 라이브러리 — </t>
    </r>
    <r>
      <rPr>
        <b val="true"/>
        <sz val="14"/>
        <color rgb="FF101828"/>
        <rFont val="맑은 고딕"/>
        <family val="0"/>
        <charset val="1"/>
      </rPr>
      <t xml:space="preserve">Arias·Białas </t>
    </r>
    <r>
      <rPr>
        <b val="true"/>
        <sz val="14"/>
        <color rgb="FF101828"/>
        <rFont val="WenQuanYi Zen Hei"/>
        <family val="2"/>
      </rPr>
      <t xml:space="preserve">원문과 자동 대조한 인용문 </t>
    </r>
    <r>
      <rPr>
        <b val="true"/>
        <sz val="14"/>
        <color rgb="FF101828"/>
        <rFont val="맑은 고딕"/>
        <family val="0"/>
        <charset val="1"/>
      </rPr>
      <t xml:space="preserve">72</t>
    </r>
    <r>
      <rPr>
        <b val="true"/>
        <sz val="14"/>
        <color rgb="FF101828"/>
        <rFont val="WenQuanYi Zen Hei"/>
        <family val="2"/>
      </rPr>
      <t xml:space="preserve">개</t>
    </r>
  </si>
  <si>
    <r>
      <rPr>
        <i val="true"/>
        <sz val="10"/>
        <color rgb="FF475467"/>
        <rFont val="WenQuanYi Zen Hei"/>
        <family val="2"/>
      </rPr>
      <t xml:space="preserve">쪽 </t>
    </r>
    <r>
      <rPr>
        <i val="true"/>
        <sz val="10"/>
        <color rgb="FF475467"/>
        <rFont val="맑은 고딕"/>
        <family val="0"/>
        <charset val="1"/>
      </rPr>
      <t xml:space="preserve">= PDF </t>
    </r>
    <r>
      <rPr>
        <i val="true"/>
        <sz val="10"/>
        <color rgb="FF475467"/>
        <rFont val="WenQuanYi Zen Hei"/>
        <family val="2"/>
      </rPr>
      <t xml:space="preserve">쪽 번호</t>
    </r>
    <r>
      <rPr>
        <i val="true"/>
        <sz val="10"/>
        <color rgb="FF475467"/>
        <rFont val="맑은 고딕"/>
        <family val="0"/>
        <charset val="1"/>
      </rPr>
      <t xml:space="preserve">(Arias</t>
    </r>
    <r>
      <rPr>
        <i val="true"/>
        <sz val="10"/>
        <color rgb="FF475467"/>
        <rFont val="WenQuanYi Zen Hei"/>
        <family val="2"/>
      </rPr>
      <t xml:space="preserve">는 저널 쪽 번호와 동일</t>
    </r>
    <r>
      <rPr>
        <i val="true"/>
        <sz val="10"/>
        <color rgb="FF475467"/>
        <rFont val="맑은 고딕"/>
        <family val="0"/>
        <charset val="1"/>
      </rPr>
      <t xml:space="preserve">). </t>
    </r>
    <r>
      <rPr>
        <i val="true"/>
        <sz val="10"/>
        <color rgb="FF475467"/>
        <rFont val="WenQuanYi Zen Hei"/>
        <family val="2"/>
      </rPr>
      <t xml:space="preserve">한국어 번역은 연구자 번역</t>
    </r>
    <r>
      <rPr>
        <i val="true"/>
        <sz val="10"/>
        <color rgb="FF475467"/>
        <rFont val="맑은 고딕"/>
        <family val="0"/>
        <charset val="1"/>
      </rPr>
      <t xml:space="preserve">(</t>
    </r>
    <r>
      <rPr>
        <i val="true"/>
        <sz val="10"/>
        <color rgb="FF475467"/>
        <rFont val="WenQuanYi Zen Hei"/>
        <family val="2"/>
      </rPr>
      <t xml:space="preserve">참고용</t>
    </r>
    <r>
      <rPr>
        <i val="true"/>
        <sz val="10"/>
        <color rgb="FF475467"/>
        <rFont val="맑은 고딕"/>
        <family val="0"/>
        <charset val="1"/>
      </rPr>
      <t xml:space="preserve">)</t>
    </r>
    <r>
      <rPr>
        <i val="true"/>
        <sz val="10"/>
        <color rgb="FF475467"/>
        <rFont val="WenQuanYi Zen Hei"/>
        <family val="2"/>
      </rPr>
      <t xml:space="preserve">이며 대조 대상이 아님</t>
    </r>
    <r>
      <rPr>
        <i val="true"/>
        <sz val="10"/>
        <color rgb="FF475467"/>
        <rFont val="맑은 고딕"/>
        <family val="0"/>
        <charset val="1"/>
      </rPr>
      <t xml:space="preserve">.</t>
    </r>
  </si>
  <si>
    <r>
      <rPr>
        <b val="true"/>
        <sz val="10"/>
        <color rgb="FFFFFFFF"/>
        <rFont val="WenQuanYi Zen Hei"/>
        <family val="2"/>
      </rPr>
      <t xml:space="preserve">인용</t>
    </r>
    <r>
      <rPr>
        <b val="true"/>
        <sz val="10"/>
        <color rgb="FFFFFFFF"/>
        <rFont val="맑은 고딕"/>
        <family val="0"/>
        <charset val="1"/>
      </rPr>
      <t xml:space="preserve">ID</t>
    </r>
  </si>
  <si>
    <t xml:space="preserve">출처</t>
  </si>
  <si>
    <r>
      <rPr>
        <b val="true"/>
        <sz val="10"/>
        <color rgb="FFFFFFFF"/>
        <rFont val="맑은 고딕"/>
        <family val="0"/>
        <charset val="1"/>
      </rPr>
      <t xml:space="preserve">PDF </t>
    </r>
    <r>
      <rPr>
        <b val="true"/>
        <sz val="10"/>
        <color rgb="FFFFFFFF"/>
        <rFont val="WenQuanYi Zen Hei"/>
        <family val="2"/>
      </rPr>
      <t xml:space="preserve">쪽</t>
    </r>
  </si>
  <si>
    <t xml:space="preserve">절</t>
  </si>
  <si>
    <r>
      <rPr>
        <b val="true"/>
        <sz val="10"/>
        <color rgb="FFFFFFFF"/>
        <rFont val="WenQuanYi Zen Hei"/>
        <family val="2"/>
      </rPr>
      <t xml:space="preserve">원문</t>
    </r>
    <r>
      <rPr>
        <b val="true"/>
        <sz val="10"/>
        <color rgb="FFFFFFFF"/>
        <rFont val="맑은 고딕"/>
        <family val="0"/>
        <charset val="1"/>
      </rPr>
      <t xml:space="preserve">(</t>
    </r>
    <r>
      <rPr>
        <b val="true"/>
        <sz val="10"/>
        <color rgb="FFFFFFFF"/>
        <rFont val="WenQuanYi Zen Hei"/>
        <family val="2"/>
      </rPr>
      <t xml:space="preserve">영어</t>
    </r>
    <r>
      <rPr>
        <b val="true"/>
        <sz val="10"/>
        <color rgb="FFFFFFFF"/>
        <rFont val="맑은 고딕"/>
        <family val="0"/>
        <charset val="1"/>
      </rPr>
      <t xml:space="preserve">, verbatim)</t>
    </r>
  </si>
  <si>
    <r>
      <rPr>
        <b val="true"/>
        <sz val="10"/>
        <color rgb="FFFFFFFF"/>
        <rFont val="WenQuanYi Zen Hei"/>
        <family val="2"/>
      </rPr>
      <t xml:space="preserve">한국어 번역</t>
    </r>
    <r>
      <rPr>
        <b val="true"/>
        <sz val="10"/>
        <color rgb="FFFFFFFF"/>
        <rFont val="맑은 고딕"/>
        <family val="0"/>
        <charset val="1"/>
      </rPr>
      <t xml:space="preserve">(</t>
    </r>
    <r>
      <rPr>
        <b val="true"/>
        <sz val="10"/>
        <color rgb="FFFFFFFF"/>
        <rFont val="WenQuanYi Zen Hei"/>
        <family val="2"/>
      </rPr>
      <t xml:space="preserve">연구자 번역</t>
    </r>
    <r>
      <rPr>
        <b val="true"/>
        <sz val="10"/>
        <color rgb="FFFFFFFF"/>
        <rFont val="맑은 고딕"/>
        <family val="0"/>
        <charset val="1"/>
      </rPr>
      <t xml:space="preserve">·</t>
    </r>
    <r>
      <rPr>
        <b val="true"/>
        <sz val="10"/>
        <color rgb="FFFFFFFF"/>
        <rFont val="WenQuanYi Zen Hei"/>
        <family val="2"/>
      </rPr>
      <t xml:space="preserve">참고</t>
    </r>
    <r>
      <rPr>
        <b val="true"/>
        <sz val="10"/>
        <color rgb="FFFFFFFF"/>
        <rFont val="맑은 고딕"/>
        <family val="0"/>
        <charset val="1"/>
      </rPr>
      <t xml:space="preserve">)</t>
    </r>
  </si>
  <si>
    <t xml:space="preserve">사용처</t>
  </si>
  <si>
    <t xml:space="preserve">원문 대조</t>
  </si>
  <si>
    <t xml:space="preserve">A01</t>
  </si>
  <si>
    <t xml:space="preserve">Arias</t>
  </si>
  <si>
    <t xml:space="preserve">4</t>
  </si>
  <si>
    <t xml:space="preserve">§2.1</t>
  </si>
  <si>
    <t xml:space="preserve">Activities utilizing resources must be managed to convert inputs into outputs through a series of interconnected or interacting activities, also called processes</t>
  </si>
  <si>
    <r>
      <rPr>
        <sz val="10"/>
        <color rgb="FF000000"/>
        <rFont val="WenQuanYi Zen Hei"/>
        <family val="2"/>
      </rPr>
      <t xml:space="preserve">자원을 사용하는 활동은 입력을 출력으로 전환하는</t>
    </r>
    <r>
      <rPr>
        <sz val="10"/>
        <color rgb="FF000000"/>
        <rFont val="맑은 고딕"/>
        <family val="0"/>
        <charset val="1"/>
      </rPr>
      <t xml:space="preserve">, </t>
    </r>
    <r>
      <rPr>
        <sz val="10"/>
        <color rgb="FF000000"/>
        <rFont val="WenQuanYi Zen Hei"/>
        <family val="2"/>
      </rPr>
      <t xml:space="preserve">상호 연결되거나 상호작용하는 일련의 활동</t>
    </r>
    <r>
      <rPr>
        <sz val="10"/>
        <color rgb="FF000000"/>
        <rFont val="맑은 고딕"/>
        <family val="0"/>
        <charset val="1"/>
      </rPr>
      <t xml:space="preserve">, </t>
    </r>
    <r>
      <rPr>
        <sz val="10"/>
        <color rgb="FF000000"/>
        <rFont val="WenQuanYi Zen Hei"/>
        <family val="2"/>
      </rPr>
      <t xml:space="preserve">즉 프로세스를 통해 관리되어야 한다</t>
    </r>
    <r>
      <rPr>
        <sz val="10"/>
        <color rgb="FF000000"/>
        <rFont val="맑은 고딕"/>
        <family val="0"/>
        <charset val="1"/>
      </rPr>
      <t xml:space="preserve">.</t>
    </r>
  </si>
  <si>
    <r>
      <rPr>
        <sz val="10"/>
        <color rgb="FF000000"/>
        <rFont val="WenQuanYi Zen Hei"/>
        <family val="2"/>
      </rPr>
      <t xml:space="preserve">연계성 정의의 근거</t>
    </r>
    <r>
      <rPr>
        <sz val="10"/>
        <color rgb="FF000000"/>
        <rFont val="맑은 고딕"/>
        <family val="0"/>
        <charset val="1"/>
      </rPr>
      <t xml:space="preserve">(</t>
    </r>
    <r>
      <rPr>
        <sz val="10"/>
        <color rgb="FF000000"/>
        <rFont val="WenQuanYi Zen Hei"/>
        <family val="2"/>
      </rPr>
      <t xml:space="preserve">프로세스 </t>
    </r>
    <r>
      <rPr>
        <sz val="10"/>
        <color rgb="FF000000"/>
        <rFont val="맑은 고딕"/>
        <family val="0"/>
        <charset val="1"/>
      </rPr>
      <t xml:space="preserve">= </t>
    </r>
    <r>
      <rPr>
        <sz val="10"/>
        <color rgb="FF000000"/>
        <rFont val="WenQuanYi Zen Hei"/>
        <family val="2"/>
      </rPr>
      <t xml:space="preserve">상호 연결</t>
    </r>
    <r>
      <rPr>
        <sz val="10"/>
        <color rgb="FF000000"/>
        <rFont val="맑은 고딕"/>
        <family val="0"/>
        <charset val="1"/>
      </rPr>
      <t xml:space="preserve">·</t>
    </r>
    <r>
      <rPr>
        <sz val="10"/>
        <color rgb="FF000000"/>
        <rFont val="WenQuanYi Zen Hei"/>
        <family val="2"/>
      </rPr>
      <t xml:space="preserve">상호작용 활동</t>
    </r>
    <r>
      <rPr>
        <sz val="10"/>
        <color rgb="FF000000"/>
        <rFont val="맑은 고딕"/>
        <family val="0"/>
        <charset val="1"/>
      </rPr>
      <t xml:space="preserve">)</t>
    </r>
  </si>
  <si>
    <r>
      <rPr>
        <sz val="10"/>
        <color rgb="FF000000"/>
        <rFont val="WenQuanYi Zen Hei"/>
        <family val="2"/>
      </rPr>
      <t xml:space="preserve">일치 </t>
    </r>
    <r>
      <rPr>
        <sz val="10"/>
        <color rgb="FF000000"/>
        <rFont val="맑은 고딕"/>
        <family val="0"/>
        <charset val="1"/>
      </rPr>
      <t xml:space="preserve">(2026-10-09)</t>
    </r>
  </si>
  <si>
    <t xml:space="preserve">A02</t>
  </si>
  <si>
    <t xml:space="preserve">5</t>
  </si>
  <si>
    <r>
      <rPr>
        <sz val="10"/>
        <color rgb="FF000000"/>
        <rFont val="맑은 고딕"/>
        <family val="0"/>
        <charset val="1"/>
      </rPr>
      <t xml:space="preserve">§2.1 (ISO/IEC 33004 </t>
    </r>
    <r>
      <rPr>
        <sz val="10"/>
        <color rgb="FF000000"/>
        <rFont val="WenQuanYi Zen Hei"/>
        <family val="2"/>
      </rPr>
      <t xml:space="preserve">기준 </t>
    </r>
    <r>
      <rPr>
        <sz val="10"/>
        <color rgb="FF000000"/>
        <rFont val="맑은 고딕"/>
        <family val="0"/>
        <charset val="1"/>
      </rPr>
      <t xml:space="preserve">4)</t>
    </r>
  </si>
  <si>
    <t xml:space="preserve">A process reference model should delineate the interconnections among the processes outlined within it.</t>
  </si>
  <si>
    <r>
      <rPr>
        <sz val="10"/>
        <color rgb="FF000000"/>
        <rFont val="WenQuanYi Zen Hei"/>
        <family val="2"/>
      </rPr>
      <t xml:space="preserve">프로세스 참조모델은 그 안에 기술된 프로세스들 사이의 상호 연결을 명시해야 한다</t>
    </r>
    <r>
      <rPr>
        <sz val="10"/>
        <color rgb="FF000000"/>
        <rFont val="맑은 고딕"/>
        <family val="0"/>
        <charset val="1"/>
      </rPr>
      <t xml:space="preserve">.</t>
    </r>
  </si>
  <si>
    <r>
      <rPr>
        <sz val="10"/>
        <color rgb="FF000000"/>
        <rFont val="WenQuanYi Zen Hei"/>
        <family val="2"/>
      </rPr>
      <t xml:space="preserve">연계성 정의의 근거</t>
    </r>
    <r>
      <rPr>
        <sz val="10"/>
        <color rgb="FF000000"/>
        <rFont val="맑은 고딕"/>
        <family val="0"/>
        <charset val="1"/>
      </rPr>
      <t xml:space="preserve">(</t>
    </r>
    <r>
      <rPr>
        <sz val="10"/>
        <color rgb="FF000000"/>
        <rFont val="WenQuanYi Zen Hei"/>
        <family val="2"/>
      </rPr>
      <t xml:space="preserve">프로세스 간 상호 연결 명시 요구</t>
    </r>
    <r>
      <rPr>
        <sz val="10"/>
        <color rgb="FF000000"/>
        <rFont val="맑은 고딕"/>
        <family val="0"/>
        <charset val="1"/>
      </rPr>
      <t xml:space="preserve">)</t>
    </r>
  </si>
  <si>
    <t xml:space="preserve">A03</t>
  </si>
  <si>
    <t xml:space="preserve">3</t>
  </si>
  <si>
    <t xml:space="preserve">§1</t>
  </si>
  <si>
    <t xml:space="preserve">A detailed reference model outlining BCMS processes—including inputs, outputs, interfaces, and interactions at the activity level—facilitates optimal coordination of these processes.</t>
  </si>
  <si>
    <r>
      <rPr>
        <sz val="10"/>
        <color rgb="FF000000"/>
        <rFont val="맑은 고딕"/>
        <family val="0"/>
        <charset val="1"/>
      </rPr>
      <t xml:space="preserve">BCMS </t>
    </r>
    <r>
      <rPr>
        <sz val="10"/>
        <color rgb="FF000000"/>
        <rFont val="WenQuanYi Zen Hei"/>
        <family val="2"/>
      </rPr>
      <t xml:space="preserve">프로세스를 활동 수준의 입력</t>
    </r>
    <r>
      <rPr>
        <sz val="10"/>
        <color rgb="FF000000"/>
        <rFont val="맑은 고딕"/>
        <family val="0"/>
        <charset val="1"/>
      </rPr>
      <t xml:space="preserve">·</t>
    </r>
    <r>
      <rPr>
        <sz val="10"/>
        <color rgb="FF000000"/>
        <rFont val="WenQuanYi Zen Hei"/>
        <family val="2"/>
      </rPr>
      <t xml:space="preserve">출력</t>
    </r>
    <r>
      <rPr>
        <sz val="10"/>
        <color rgb="FF000000"/>
        <rFont val="맑은 고딕"/>
        <family val="0"/>
        <charset val="1"/>
      </rPr>
      <t xml:space="preserve">·</t>
    </r>
    <r>
      <rPr>
        <sz val="10"/>
        <color rgb="FF000000"/>
        <rFont val="WenQuanYi Zen Hei"/>
        <family val="2"/>
      </rPr>
      <t xml:space="preserve">인터페이스</t>
    </r>
    <r>
      <rPr>
        <sz val="10"/>
        <color rgb="FF000000"/>
        <rFont val="맑은 고딕"/>
        <family val="0"/>
        <charset val="1"/>
      </rPr>
      <t xml:space="preserve">·</t>
    </r>
    <r>
      <rPr>
        <sz val="10"/>
        <color rgb="FF000000"/>
        <rFont val="WenQuanYi Zen Hei"/>
        <family val="2"/>
      </rPr>
      <t xml:space="preserve">상호작용까지 상세히 기술한 참조모델은 이들 프로세스의 최적 조정을 촉진한다</t>
    </r>
    <r>
      <rPr>
        <sz val="10"/>
        <color rgb="FF000000"/>
        <rFont val="맑은 고딕"/>
        <family val="0"/>
        <charset val="1"/>
      </rPr>
      <t xml:space="preserve">.</t>
    </r>
  </si>
  <si>
    <r>
      <rPr>
        <sz val="10"/>
        <color rgb="FF000000"/>
        <rFont val="WenQuanYi Zen Hei"/>
        <family val="2"/>
      </rPr>
      <t xml:space="preserve">연계성 정의의 근거</t>
    </r>
    <r>
      <rPr>
        <sz val="10"/>
        <color rgb="FF000000"/>
        <rFont val="맑은 고딕"/>
        <family val="0"/>
        <charset val="1"/>
      </rPr>
      <t xml:space="preserve">(</t>
    </r>
    <r>
      <rPr>
        <sz val="10"/>
        <color rgb="FF000000"/>
        <rFont val="WenQuanYi Zen Hei"/>
        <family val="2"/>
      </rPr>
      <t xml:space="preserve">입력</t>
    </r>
    <r>
      <rPr>
        <sz val="10"/>
        <color rgb="FF000000"/>
        <rFont val="맑은 고딕"/>
        <family val="0"/>
        <charset val="1"/>
      </rPr>
      <t xml:space="preserve">·</t>
    </r>
    <r>
      <rPr>
        <sz val="10"/>
        <color rgb="FF000000"/>
        <rFont val="WenQuanYi Zen Hei"/>
        <family val="2"/>
      </rPr>
      <t xml:space="preserve">출력</t>
    </r>
    <r>
      <rPr>
        <sz val="10"/>
        <color rgb="FF000000"/>
        <rFont val="맑은 고딕"/>
        <family val="0"/>
        <charset val="1"/>
      </rPr>
      <t xml:space="preserve">·</t>
    </r>
    <r>
      <rPr>
        <sz val="10"/>
        <color rgb="FF000000"/>
        <rFont val="WenQuanYi Zen Hei"/>
        <family val="2"/>
      </rPr>
      <t xml:space="preserve">인터페이스</t>
    </r>
    <r>
      <rPr>
        <sz val="10"/>
        <color rgb="FF000000"/>
        <rFont val="맑은 고딕"/>
        <family val="0"/>
        <charset val="1"/>
      </rPr>
      <t xml:space="preserve">)</t>
    </r>
  </si>
  <si>
    <t xml:space="preserve">A04</t>
  </si>
  <si>
    <t xml:space="preserve">6</t>
  </si>
  <si>
    <t xml:space="preserve">§2.2 (ISO 22301 Clause 4.4)</t>
  </si>
  <si>
    <t xml:space="preserve">taking into account their order, interactions, inputs, outputs, resources, and assigned roles</t>
  </si>
  <si>
    <r>
      <rPr>
        <sz val="10"/>
        <color rgb="FF000000"/>
        <rFont val="맑은 고딕"/>
        <family val="0"/>
        <charset val="1"/>
      </rPr>
      <t xml:space="preserve">(BCMS </t>
    </r>
    <r>
      <rPr>
        <sz val="10"/>
        <color rgb="FF000000"/>
        <rFont val="WenQuanYi Zen Hei"/>
        <family val="2"/>
      </rPr>
      <t xml:space="preserve">프로세스를 정의</t>
    </r>
    <r>
      <rPr>
        <sz val="10"/>
        <color rgb="FF000000"/>
        <rFont val="맑은 고딕"/>
        <family val="0"/>
        <charset val="1"/>
      </rPr>
      <t xml:space="preserve">·</t>
    </r>
    <r>
      <rPr>
        <sz val="10"/>
        <color rgb="FF000000"/>
        <rFont val="WenQuanYi Zen Hei"/>
        <family val="2"/>
      </rPr>
      <t xml:space="preserve">이행</t>
    </r>
    <r>
      <rPr>
        <sz val="10"/>
        <color rgb="FF000000"/>
        <rFont val="맑은 고딕"/>
        <family val="0"/>
        <charset val="1"/>
      </rPr>
      <t xml:space="preserve">·</t>
    </r>
    <r>
      <rPr>
        <sz val="10"/>
        <color rgb="FF000000"/>
        <rFont val="WenQuanYi Zen Hei"/>
        <family val="2"/>
      </rPr>
      <t xml:space="preserve">유지할 때</t>
    </r>
    <r>
      <rPr>
        <sz val="10"/>
        <color rgb="FF000000"/>
        <rFont val="맑은 고딕"/>
        <family val="0"/>
        <charset val="1"/>
      </rPr>
      <t xml:space="preserve">) </t>
    </r>
    <r>
      <rPr>
        <sz val="10"/>
        <color rgb="FF000000"/>
        <rFont val="WenQuanYi Zen Hei"/>
        <family val="2"/>
      </rPr>
      <t xml:space="preserve">프로세스의 순서</t>
    </r>
    <r>
      <rPr>
        <sz val="10"/>
        <color rgb="FF000000"/>
        <rFont val="맑은 고딕"/>
        <family val="0"/>
        <charset val="1"/>
      </rPr>
      <t xml:space="preserve">, </t>
    </r>
    <r>
      <rPr>
        <sz val="10"/>
        <color rgb="FF000000"/>
        <rFont val="WenQuanYi Zen Hei"/>
        <family val="2"/>
      </rPr>
      <t xml:space="preserve">상호작용</t>
    </r>
    <r>
      <rPr>
        <sz val="10"/>
        <color rgb="FF000000"/>
        <rFont val="맑은 고딕"/>
        <family val="0"/>
        <charset val="1"/>
      </rPr>
      <t xml:space="preserve">, </t>
    </r>
    <r>
      <rPr>
        <sz val="10"/>
        <color rgb="FF000000"/>
        <rFont val="WenQuanYi Zen Hei"/>
        <family val="2"/>
      </rPr>
      <t xml:space="preserve">입력</t>
    </r>
    <r>
      <rPr>
        <sz val="10"/>
        <color rgb="FF000000"/>
        <rFont val="맑은 고딕"/>
        <family val="0"/>
        <charset val="1"/>
      </rPr>
      <t xml:space="preserve">, </t>
    </r>
    <r>
      <rPr>
        <sz val="10"/>
        <color rgb="FF000000"/>
        <rFont val="WenQuanYi Zen Hei"/>
        <family val="2"/>
      </rPr>
      <t xml:space="preserve">출력</t>
    </r>
    <r>
      <rPr>
        <sz val="10"/>
        <color rgb="FF000000"/>
        <rFont val="맑은 고딕"/>
        <family val="0"/>
        <charset val="1"/>
      </rPr>
      <t xml:space="preserve">, </t>
    </r>
    <r>
      <rPr>
        <sz val="10"/>
        <color rgb="FF000000"/>
        <rFont val="WenQuanYi Zen Hei"/>
        <family val="2"/>
      </rPr>
      <t xml:space="preserve">자원</t>
    </r>
    <r>
      <rPr>
        <sz val="10"/>
        <color rgb="FF000000"/>
        <rFont val="맑은 고딕"/>
        <family val="0"/>
        <charset val="1"/>
      </rPr>
      <t xml:space="preserve">, </t>
    </r>
    <r>
      <rPr>
        <sz val="10"/>
        <color rgb="FF000000"/>
        <rFont val="WenQuanYi Zen Hei"/>
        <family val="2"/>
      </rPr>
      <t xml:space="preserve">부여된 역할을 고려한다</t>
    </r>
    <r>
      <rPr>
        <sz val="10"/>
        <color rgb="FF000000"/>
        <rFont val="맑은 고딕"/>
        <family val="0"/>
        <charset val="1"/>
      </rPr>
      <t xml:space="preserve">.</t>
    </r>
  </si>
  <si>
    <r>
      <rPr>
        <sz val="10"/>
        <color rgb="FF000000"/>
        <rFont val="WenQuanYi Zen Hei"/>
        <family val="2"/>
      </rPr>
      <t xml:space="preserve">연계성 정의의 근거</t>
    </r>
    <r>
      <rPr>
        <sz val="10"/>
        <color rgb="FF000000"/>
        <rFont val="맑은 고딕"/>
        <family val="0"/>
        <charset val="1"/>
      </rPr>
      <t xml:space="preserve">(ISO 22301 4.4)</t>
    </r>
  </si>
  <si>
    <t xml:space="preserve">A05</t>
  </si>
  <si>
    <t xml:space="preserve">2</t>
  </si>
  <si>
    <t xml:space="preserve">Organizations often struggle with performing a checklist approach regarding the BCMS requirements because it does not necessarily lead to a sustainable operated management system.</t>
  </si>
  <si>
    <r>
      <rPr>
        <sz val="10"/>
        <color rgb="FF000000"/>
        <rFont val="WenQuanYi Zen Hei"/>
        <family val="2"/>
      </rPr>
      <t xml:space="preserve">조직은 </t>
    </r>
    <r>
      <rPr>
        <sz val="10"/>
        <color rgb="FF000000"/>
        <rFont val="맑은 고딕"/>
        <family val="0"/>
        <charset val="1"/>
      </rPr>
      <t xml:space="preserve">BCMS </t>
    </r>
    <r>
      <rPr>
        <sz val="10"/>
        <color rgb="FF000000"/>
        <rFont val="WenQuanYi Zen Hei"/>
        <family val="2"/>
      </rPr>
      <t xml:space="preserve">요구사항에 대해 체크리스트 방식을 수행하는 데 종종 어려움을 겪는데</t>
    </r>
    <r>
      <rPr>
        <sz val="10"/>
        <color rgb="FF000000"/>
        <rFont val="맑은 고딕"/>
        <family val="0"/>
        <charset val="1"/>
      </rPr>
      <t xml:space="preserve">, </t>
    </r>
    <r>
      <rPr>
        <sz val="10"/>
        <color rgb="FF000000"/>
        <rFont val="WenQuanYi Zen Hei"/>
        <family val="2"/>
      </rPr>
      <t xml:space="preserve">이는 지속 가능하게 운영되는 경영시스템으로 반드시 이어지지 않기 때문이다</t>
    </r>
    <r>
      <rPr>
        <sz val="10"/>
        <color rgb="FF000000"/>
        <rFont val="맑은 고딕"/>
        <family val="0"/>
        <charset val="1"/>
      </rPr>
      <t xml:space="preserve">.</t>
    </r>
  </si>
  <si>
    <r>
      <rPr>
        <sz val="10"/>
        <color rgb="FF000000"/>
        <rFont val="WenQuanYi Zen Hei"/>
        <family val="2"/>
      </rPr>
      <t xml:space="preserve">연결 유지 정도를 측정하는 이유</t>
    </r>
    <r>
      <rPr>
        <sz val="10"/>
        <color rgb="FF000000"/>
        <rFont val="맑은 고딕"/>
        <family val="0"/>
        <charset val="1"/>
      </rPr>
      <t xml:space="preserve">(</t>
    </r>
    <r>
      <rPr>
        <sz val="10"/>
        <color rgb="FF000000"/>
        <rFont val="WenQuanYi Zen Hei"/>
        <family val="2"/>
      </rPr>
      <t xml:space="preserve">체크리스트의 한계</t>
    </r>
    <r>
      <rPr>
        <sz val="10"/>
        <color rgb="FF000000"/>
        <rFont val="맑은 고딕"/>
        <family val="0"/>
        <charset val="1"/>
      </rPr>
      <t xml:space="preserve">)</t>
    </r>
  </si>
  <si>
    <t xml:space="preserve">A06</t>
  </si>
  <si>
    <t xml:space="preserve">3-4</t>
  </si>
  <si>
    <t xml:space="preserve">including process descriptions (process profiles) and process flow charts, though the latter are omitted here to maintain the scope of the paper</t>
  </si>
  <si>
    <r>
      <rPr>
        <sz val="10"/>
        <color rgb="FF000000"/>
        <rFont val="맑은 고딕"/>
        <family val="0"/>
        <charset val="1"/>
      </rPr>
      <t xml:space="preserve">(</t>
    </r>
    <r>
      <rPr>
        <sz val="10"/>
        <color rgb="FF000000"/>
        <rFont val="WenQuanYi Zen Hei"/>
        <family val="2"/>
      </rPr>
      <t xml:space="preserve">참조모델 결과물에는</t>
    </r>
    <r>
      <rPr>
        <sz val="10"/>
        <color rgb="FF000000"/>
        <rFont val="맑은 고딕"/>
        <family val="0"/>
        <charset val="1"/>
      </rPr>
      <t xml:space="preserve">) </t>
    </r>
    <r>
      <rPr>
        <sz val="10"/>
        <color rgb="FF000000"/>
        <rFont val="WenQuanYi Zen Hei"/>
        <family val="2"/>
      </rPr>
      <t xml:space="preserve">프로세스 설명</t>
    </r>
    <r>
      <rPr>
        <sz val="10"/>
        <color rgb="FF000000"/>
        <rFont val="맑은 고딕"/>
        <family val="0"/>
        <charset val="1"/>
      </rPr>
      <t xml:space="preserve">(</t>
    </r>
    <r>
      <rPr>
        <sz val="10"/>
        <color rgb="FF000000"/>
        <rFont val="WenQuanYi Zen Hei"/>
        <family val="2"/>
      </rPr>
      <t xml:space="preserve">프로세스 프로파일</t>
    </r>
    <r>
      <rPr>
        <sz val="10"/>
        <color rgb="FF000000"/>
        <rFont val="맑은 고딕"/>
        <family val="0"/>
        <charset val="1"/>
      </rPr>
      <t xml:space="preserve">)</t>
    </r>
    <r>
      <rPr>
        <sz val="10"/>
        <color rgb="FF000000"/>
        <rFont val="WenQuanYi Zen Hei"/>
        <family val="2"/>
      </rPr>
      <t xml:space="preserve">과 프로세스 흐름도가 포함되나</t>
    </r>
    <r>
      <rPr>
        <sz val="10"/>
        <color rgb="FF000000"/>
        <rFont val="맑은 고딕"/>
        <family val="0"/>
        <charset val="1"/>
      </rPr>
      <t xml:space="preserve">, </t>
    </r>
    <r>
      <rPr>
        <sz val="10"/>
        <color rgb="FF000000"/>
        <rFont val="WenQuanYi Zen Hei"/>
        <family val="2"/>
      </rPr>
      <t xml:space="preserve">후자는 논문 범위 유지를 위해 여기서는 생략한다</t>
    </r>
    <r>
      <rPr>
        <sz val="10"/>
        <color rgb="FF000000"/>
        <rFont val="맑은 고딕"/>
        <family val="0"/>
        <charset val="1"/>
      </rPr>
      <t xml:space="preserve">.</t>
    </r>
  </si>
  <si>
    <t xml:space="preserve">연결 목록이 이 논문에서 완전하지 않을 수 있는 근거</t>
  </si>
  <si>
    <t xml:space="preserve">A07</t>
  </si>
  <si>
    <t xml:space="preserve">18</t>
  </si>
  <si>
    <t xml:space="preserve">§5</t>
  </si>
  <si>
    <t xml:space="preserve">A key finding of this pilot initiative is the reinforcement of the systemic nature of the BCMS, emphasizing the interplay between processes and the roles within the BCMS framework.</t>
  </si>
  <si>
    <r>
      <rPr>
        <sz val="10"/>
        <color rgb="FF000000"/>
        <rFont val="WenQuanYi Zen Hei"/>
        <family val="2"/>
      </rPr>
      <t xml:space="preserve">이 시범사업의 핵심 발견은 </t>
    </r>
    <r>
      <rPr>
        <sz val="10"/>
        <color rgb="FF000000"/>
        <rFont val="맑은 고딕"/>
        <family val="0"/>
        <charset val="1"/>
      </rPr>
      <t xml:space="preserve">BCMS</t>
    </r>
    <r>
      <rPr>
        <sz val="10"/>
        <color rgb="FF000000"/>
        <rFont val="WenQuanYi Zen Hei"/>
        <family val="2"/>
      </rPr>
      <t xml:space="preserve">의 체계적 성격이 강화되었다는 점이며</t>
    </r>
    <r>
      <rPr>
        <sz val="10"/>
        <color rgb="FF000000"/>
        <rFont val="맑은 고딕"/>
        <family val="0"/>
        <charset val="1"/>
      </rPr>
      <t xml:space="preserve">, BCMS </t>
    </r>
    <r>
      <rPr>
        <sz val="10"/>
        <color rgb="FF000000"/>
        <rFont val="WenQuanYi Zen Hei"/>
        <family val="2"/>
      </rPr>
      <t xml:space="preserve">틀 안에서 프로세스와 역할 간의 상호작용이 강조된다</t>
    </r>
    <r>
      <rPr>
        <sz val="10"/>
        <color rgb="FF000000"/>
        <rFont val="맑은 고딕"/>
        <family val="0"/>
        <charset val="1"/>
      </rPr>
      <t xml:space="preserve">.</t>
    </r>
  </si>
  <si>
    <r>
      <rPr>
        <sz val="10"/>
        <color rgb="FF000000"/>
        <rFont val="WenQuanYi Zen Hei"/>
        <family val="2"/>
      </rPr>
      <t xml:space="preserve">연계성이 </t>
    </r>
    <r>
      <rPr>
        <sz val="10"/>
        <color rgb="FF000000"/>
        <rFont val="맑은 고딕"/>
        <family val="0"/>
        <charset val="1"/>
      </rPr>
      <t xml:space="preserve">BCMS </t>
    </r>
    <r>
      <rPr>
        <sz val="10"/>
        <color rgb="FF000000"/>
        <rFont val="WenQuanYi Zen Hei"/>
        <family val="2"/>
      </rPr>
      <t xml:space="preserve">운영의 핵심 특성이라는 근거</t>
    </r>
  </si>
  <si>
    <t xml:space="preserve">A08</t>
  </si>
  <si>
    <t xml:space="preserve">17</t>
  </si>
  <si>
    <t xml:space="preserve">An unmodified application of the BCMS process reference model is inadequate; customization of BCMS processes according to the organization's specific needs is imperative.</t>
  </si>
  <si>
    <r>
      <rPr>
        <sz val="10"/>
        <color rgb="FF000000"/>
        <rFont val="맑은 고딕"/>
        <family val="0"/>
        <charset val="1"/>
      </rPr>
      <t xml:space="preserve">BCMS </t>
    </r>
    <r>
      <rPr>
        <sz val="10"/>
        <color rgb="FF000000"/>
        <rFont val="WenQuanYi Zen Hei"/>
        <family val="2"/>
      </rPr>
      <t xml:space="preserve">프로세스 참조모델을 수정 없이 적용하는 것은 부적절하며</t>
    </r>
    <r>
      <rPr>
        <sz val="10"/>
        <color rgb="FF000000"/>
        <rFont val="맑은 고딕"/>
        <family val="0"/>
        <charset val="1"/>
      </rPr>
      <t xml:space="preserve">, </t>
    </r>
    <r>
      <rPr>
        <sz val="10"/>
        <color rgb="FF000000"/>
        <rFont val="WenQuanYi Zen Hei"/>
        <family val="2"/>
      </rPr>
      <t xml:space="preserve">조직의 요구에 맞춘 </t>
    </r>
    <r>
      <rPr>
        <sz val="10"/>
        <color rgb="FF000000"/>
        <rFont val="맑은 고딕"/>
        <family val="0"/>
        <charset val="1"/>
      </rPr>
      <t xml:space="preserve">BCMS </t>
    </r>
    <r>
      <rPr>
        <sz val="10"/>
        <color rgb="FF000000"/>
        <rFont val="WenQuanYi Zen Hei"/>
        <family val="2"/>
      </rPr>
      <t xml:space="preserve">프로세스의 맞춤화가 필수적이다</t>
    </r>
    <r>
      <rPr>
        <sz val="10"/>
        <color rgb="FF000000"/>
        <rFont val="맑은 고딕"/>
        <family val="0"/>
        <charset val="1"/>
      </rPr>
      <t xml:space="preserve">.</t>
    </r>
  </si>
  <si>
    <t xml:space="preserve">연결 목록의 조직별 조정 필요성</t>
  </si>
  <si>
    <t xml:space="preserve">A09</t>
  </si>
  <si>
    <t xml:space="preserve">10</t>
  </si>
  <si>
    <t xml:space="preserve">Figure 4</t>
  </si>
  <si>
    <t xml:space="preserve">Regularity – interrelated and interacting tasks are repeated on a regular basis.</t>
  </si>
  <si>
    <r>
      <rPr>
        <sz val="10"/>
        <color rgb="FF000000"/>
        <rFont val="WenQuanYi Zen Hei"/>
        <family val="2"/>
      </rPr>
      <t xml:space="preserve">규칙성 – 상호 관련되고 상호작용하는 과업이 정기적으로 반복된다</t>
    </r>
    <r>
      <rPr>
        <sz val="10"/>
        <color rgb="FF000000"/>
        <rFont val="맑은 고딕"/>
        <family val="0"/>
        <charset val="1"/>
      </rPr>
      <t xml:space="preserve">.</t>
    </r>
  </si>
  <si>
    <r>
      <rPr>
        <sz val="10"/>
        <color rgb="FF000000"/>
        <rFont val="WenQuanYi Zen Hei"/>
        <family val="2"/>
      </rPr>
      <t xml:space="preserve">종합 문항 </t>
    </r>
    <r>
      <rPr>
        <sz val="10"/>
        <color rgb="FF000000"/>
        <rFont val="맑은 고딕"/>
        <family val="0"/>
        <charset val="1"/>
      </rPr>
      <t xml:space="preserve">G06 </t>
    </r>
    <r>
      <rPr>
        <sz val="10"/>
        <color rgb="FF000000"/>
        <rFont val="WenQuanYi Zen Hei"/>
        <family val="2"/>
      </rPr>
      <t xml:space="preserve">근거</t>
    </r>
  </si>
  <si>
    <t xml:space="preserve">A10</t>
  </si>
  <si>
    <t xml:space="preserve">Accountability/responsibility – business continuity manager is the process owner or process manager and the process is a core competency of the BCMS.</t>
  </si>
  <si>
    <r>
      <rPr>
        <sz val="10"/>
        <color rgb="FF000000"/>
        <rFont val="WenQuanYi Zen Hei"/>
        <family val="2"/>
      </rPr>
      <t xml:space="preserve">책임성 – 업무연속성 관리자가 프로세스 소유자 또는 관리자이며 해당 프로세스는 </t>
    </r>
    <r>
      <rPr>
        <sz val="10"/>
        <color rgb="FF000000"/>
        <rFont val="맑은 고딕"/>
        <family val="0"/>
        <charset val="1"/>
      </rPr>
      <t xml:space="preserve">BCMS</t>
    </r>
    <r>
      <rPr>
        <sz val="10"/>
        <color rgb="FF000000"/>
        <rFont val="WenQuanYi Zen Hei"/>
        <family val="2"/>
      </rPr>
      <t xml:space="preserve">의 핵심 역량이다</t>
    </r>
    <r>
      <rPr>
        <sz val="10"/>
        <color rgb="FF000000"/>
        <rFont val="맑은 고딕"/>
        <family val="0"/>
        <charset val="1"/>
      </rPr>
      <t xml:space="preserve">.</t>
    </r>
  </si>
  <si>
    <r>
      <rPr>
        <sz val="10"/>
        <color rgb="FF000000"/>
        <rFont val="WenQuanYi Zen Hei"/>
        <family val="2"/>
      </rPr>
      <t xml:space="preserve">종합 문항 </t>
    </r>
    <r>
      <rPr>
        <sz val="10"/>
        <color rgb="FF000000"/>
        <rFont val="맑은 고딕"/>
        <family val="0"/>
        <charset val="1"/>
      </rPr>
      <t xml:space="preserve">G04 </t>
    </r>
    <r>
      <rPr>
        <sz val="10"/>
        <color rgb="FF000000"/>
        <rFont val="WenQuanYi Zen Hei"/>
        <family val="2"/>
      </rPr>
      <t xml:space="preserve">근거</t>
    </r>
  </si>
  <si>
    <t xml:space="preserve">A11</t>
  </si>
  <si>
    <t xml:space="preserve">15</t>
  </si>
  <si>
    <t xml:space="preserve">§4.3</t>
  </si>
  <si>
    <t xml:space="preserve">These requirements inform processes such as business impact assessment and criticality analysis, risk assessment, internal audits, and supply chain management.</t>
  </si>
  <si>
    <r>
      <rPr>
        <sz val="10"/>
        <color rgb="FF000000"/>
        <rFont val="WenQuanYi Zen Hei"/>
        <family val="2"/>
      </rPr>
      <t xml:space="preserve">이 요구사항들은 </t>
    </r>
    <r>
      <rPr>
        <sz val="10"/>
        <color rgb="FF000000"/>
        <rFont val="맑은 고딕"/>
        <family val="0"/>
        <charset val="1"/>
      </rPr>
      <t xml:space="preserve">BIA·</t>
    </r>
    <r>
      <rPr>
        <sz val="10"/>
        <color rgb="FF000000"/>
        <rFont val="WenQuanYi Zen Hei"/>
        <family val="2"/>
      </rPr>
      <t xml:space="preserve">중요도 분석</t>
    </r>
    <r>
      <rPr>
        <sz val="10"/>
        <color rgb="FF000000"/>
        <rFont val="맑은 고딕"/>
        <family val="0"/>
        <charset val="1"/>
      </rPr>
      <t xml:space="preserve">, </t>
    </r>
    <r>
      <rPr>
        <sz val="10"/>
        <color rgb="FF000000"/>
        <rFont val="WenQuanYi Zen Hei"/>
        <family val="2"/>
      </rPr>
      <t xml:space="preserve">리스크평가</t>
    </r>
    <r>
      <rPr>
        <sz val="10"/>
        <color rgb="FF000000"/>
        <rFont val="맑은 고딕"/>
        <family val="0"/>
        <charset val="1"/>
      </rPr>
      <t xml:space="preserve">, </t>
    </r>
    <r>
      <rPr>
        <sz val="10"/>
        <color rgb="FF000000"/>
        <rFont val="WenQuanYi Zen Hei"/>
        <family val="2"/>
      </rPr>
      <t xml:space="preserve">내부감사</t>
    </r>
    <r>
      <rPr>
        <sz val="10"/>
        <color rgb="FF000000"/>
        <rFont val="맑은 고딕"/>
        <family val="0"/>
        <charset val="1"/>
      </rPr>
      <t xml:space="preserve">, </t>
    </r>
    <r>
      <rPr>
        <sz val="10"/>
        <color rgb="FF000000"/>
        <rFont val="WenQuanYi Zen Hei"/>
        <family val="2"/>
      </rPr>
      <t xml:space="preserve">공급망관리와 같은 프로세스에 정보를 제공한다</t>
    </r>
    <r>
      <rPr>
        <sz val="10"/>
        <color rgb="FF000000"/>
        <rFont val="맑은 고딕"/>
        <family val="0"/>
        <charset val="1"/>
      </rPr>
      <t xml:space="preserve">.</t>
    </r>
  </si>
  <si>
    <t xml:space="preserve">L01, L02, L04, L05</t>
  </si>
  <si>
    <t xml:space="preserve">A12</t>
  </si>
  <si>
    <t xml:space="preserve">The risk assessment process, which focuses on identifying potential disruptions, relies on the outcomes of the business impact assessment and criticality analysis as its foundation.</t>
  </si>
  <si>
    <r>
      <rPr>
        <sz val="10"/>
        <color rgb="FF000000"/>
        <rFont val="WenQuanYi Zen Hei"/>
        <family val="2"/>
      </rPr>
      <t xml:space="preserve">잠재적 중단을 식별하는 데 초점을 둔 리스크평가 프로세스는 </t>
    </r>
    <r>
      <rPr>
        <sz val="10"/>
        <color rgb="FF000000"/>
        <rFont val="맑은 고딕"/>
        <family val="0"/>
        <charset val="1"/>
      </rPr>
      <t xml:space="preserve">BIA·</t>
    </r>
    <r>
      <rPr>
        <sz val="10"/>
        <color rgb="FF000000"/>
        <rFont val="WenQuanYi Zen Hei"/>
        <family val="2"/>
      </rPr>
      <t xml:space="preserve">중요도 분석의 결과를 기반으로 한다</t>
    </r>
    <r>
      <rPr>
        <sz val="10"/>
        <color rgb="FF000000"/>
        <rFont val="맑은 고딕"/>
        <family val="0"/>
        <charset val="1"/>
      </rPr>
      <t xml:space="preserve">.</t>
    </r>
  </si>
  <si>
    <t xml:space="preserve">L03</t>
  </si>
  <si>
    <t xml:space="preserve">A13</t>
  </si>
  <si>
    <t xml:space="preserve">The final result is a documented statement accompanied by a rationale outlining the organization's business continuity requirements.</t>
  </si>
  <si>
    <r>
      <rPr>
        <sz val="10"/>
        <color rgb="FF000000"/>
        <rFont val="WenQuanYi Zen Hei"/>
        <family val="2"/>
      </rPr>
      <t xml:space="preserve">최종 결과는 조직의 업무연속성 요구사항을 개괄하는</t>
    </r>
    <r>
      <rPr>
        <sz val="10"/>
        <color rgb="FF000000"/>
        <rFont val="맑은 고딕"/>
        <family val="0"/>
        <charset val="1"/>
      </rPr>
      <t xml:space="preserve">, </t>
    </r>
    <r>
      <rPr>
        <sz val="10"/>
        <color rgb="FF000000"/>
        <rFont val="WenQuanYi Zen Hei"/>
        <family val="2"/>
      </rPr>
      <t xml:space="preserve">근거가 첨부된 문서화된 진술이다</t>
    </r>
    <r>
      <rPr>
        <sz val="10"/>
        <color rgb="FF000000"/>
        <rFont val="맑은 고딕"/>
        <family val="0"/>
        <charset val="1"/>
      </rPr>
      <t xml:space="preserve">.</t>
    </r>
  </si>
  <si>
    <r>
      <rPr>
        <sz val="10"/>
        <color rgb="FF000000"/>
        <rFont val="맑은 고딕"/>
        <family val="0"/>
        <charset val="1"/>
      </rPr>
      <t xml:space="preserve">L03, L06 (BIA </t>
    </r>
    <r>
      <rPr>
        <sz val="10"/>
        <color rgb="FF000000"/>
        <rFont val="WenQuanYi Zen Hei"/>
        <family val="2"/>
      </rPr>
      <t xml:space="preserve">산출물의 정의</t>
    </r>
    <r>
      <rPr>
        <sz val="10"/>
        <color rgb="FF000000"/>
        <rFont val="맑은 고딕"/>
        <family val="0"/>
        <charset val="1"/>
      </rPr>
      <t xml:space="preserve">)</t>
    </r>
  </si>
  <si>
    <t xml:space="preserve">A14</t>
  </si>
  <si>
    <t xml:space="preserve">After the completion of the business impact assessment and criticality analysis process, the approved business continuity requirements guide the determination and selection of suitable BC strategies and solutions</t>
  </si>
  <si>
    <r>
      <rPr>
        <sz val="10"/>
        <color rgb="FF000000"/>
        <rFont val="맑은 고딕"/>
        <family val="0"/>
        <charset val="1"/>
      </rPr>
      <t xml:space="preserve">BIA·</t>
    </r>
    <r>
      <rPr>
        <sz val="10"/>
        <color rgb="FF000000"/>
        <rFont val="WenQuanYi Zen Hei"/>
        <family val="2"/>
      </rPr>
      <t xml:space="preserve">중요도 분석 프로세스가 완료된 후</t>
    </r>
    <r>
      <rPr>
        <sz val="10"/>
        <color rgb="FF000000"/>
        <rFont val="맑은 고딕"/>
        <family val="0"/>
        <charset val="1"/>
      </rPr>
      <t xml:space="preserve">, </t>
    </r>
    <r>
      <rPr>
        <sz val="10"/>
        <color rgb="FF000000"/>
        <rFont val="WenQuanYi Zen Hei"/>
        <family val="2"/>
      </rPr>
      <t xml:space="preserve">승인된 업무연속성 요구사항이 적절한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솔루션의 결정과 선정을 안내한다</t>
    </r>
    <r>
      <rPr>
        <sz val="10"/>
        <color rgb="FF000000"/>
        <rFont val="맑은 고딕"/>
        <family val="0"/>
        <charset val="1"/>
      </rPr>
      <t xml:space="preserve">.</t>
    </r>
  </si>
  <si>
    <t xml:space="preserve">L06</t>
  </si>
  <si>
    <t xml:space="preserve">A15</t>
  </si>
  <si>
    <t xml:space="preserve">This process ensures that the BC strategies, solutions, and necessary changes are executed as planned.</t>
  </si>
  <si>
    <r>
      <rPr>
        <sz val="10"/>
        <color rgb="FF000000"/>
        <rFont val="WenQuanYi Zen Hei"/>
        <family val="2"/>
      </rPr>
      <t xml:space="preserve">이 프로세스는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 </t>
    </r>
    <r>
      <rPr>
        <sz val="10"/>
        <color rgb="FF000000"/>
        <rFont val="WenQuanYi Zen Hei"/>
        <family val="2"/>
      </rPr>
      <t xml:space="preserve">솔루션 및 필요한 변경이 계획대로 실행되도록 보장한다</t>
    </r>
    <r>
      <rPr>
        <sz val="10"/>
        <color rgb="FF000000"/>
        <rFont val="맑은 고딕"/>
        <family val="0"/>
        <charset val="1"/>
      </rPr>
      <t xml:space="preserve">.</t>
    </r>
  </si>
  <si>
    <t xml:space="preserve">L07</t>
  </si>
  <si>
    <t xml:space="preserve">A16</t>
  </si>
  <si>
    <t xml:space="preserve">Corresponding BC plans and procedures, derived from the identified BC strategies and solutions, are developed within the process of developing BC plans and procedures.</t>
  </si>
  <si>
    <r>
      <rPr>
        <sz val="10"/>
        <color rgb="FF000000"/>
        <rFont val="WenQuanYi Zen Hei"/>
        <family val="2"/>
      </rPr>
      <t xml:space="preserve">식별된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솔루션에서 도출된 해당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 프로세스 안에서 개발된다</t>
    </r>
    <r>
      <rPr>
        <sz val="10"/>
        <color rgb="FF000000"/>
        <rFont val="맑은 고딕"/>
        <family val="0"/>
        <charset val="1"/>
      </rPr>
      <t xml:space="preserve">.</t>
    </r>
  </si>
  <si>
    <t xml:space="preserve">L08</t>
  </si>
  <si>
    <t xml:space="preserve">A17</t>
  </si>
  <si>
    <t xml:space="preserve">Furthermore, it includes risks associated with proposed changes, providing essential input for both communication activities and the development of business continuity plans and procedures.</t>
  </si>
  <si>
    <r>
      <rPr>
        <sz val="10"/>
        <color rgb="FF000000"/>
        <rFont val="WenQuanYi Zen Hei"/>
        <family val="2"/>
      </rPr>
      <t xml:space="preserve">또한 </t>
    </r>
    <r>
      <rPr>
        <sz val="10"/>
        <color rgb="FF000000"/>
        <rFont val="맑은 고딕"/>
        <family val="0"/>
        <charset val="1"/>
      </rPr>
      <t xml:space="preserve">(</t>
    </r>
    <r>
      <rPr>
        <sz val="10"/>
        <color rgb="FF000000"/>
        <rFont val="WenQuanYi Zen Hei"/>
        <family val="2"/>
      </rPr>
      <t xml:space="preserve">리스크평가는</t>
    </r>
    <r>
      <rPr>
        <sz val="10"/>
        <color rgb="FF000000"/>
        <rFont val="맑은 고딕"/>
        <family val="0"/>
        <charset val="1"/>
      </rPr>
      <t xml:space="preserve">) </t>
    </r>
    <r>
      <rPr>
        <sz val="10"/>
        <color rgb="FF000000"/>
        <rFont val="WenQuanYi Zen Hei"/>
        <family val="2"/>
      </rPr>
      <t xml:space="preserve">제안된 변경과 관련된 리스크를 포함하며</t>
    </r>
    <r>
      <rPr>
        <sz val="10"/>
        <color rgb="FF000000"/>
        <rFont val="맑은 고딕"/>
        <family val="0"/>
        <charset val="1"/>
      </rPr>
      <t xml:space="preserve">, </t>
    </r>
    <r>
      <rPr>
        <sz val="10"/>
        <color rgb="FF000000"/>
        <rFont val="WenQuanYi Zen Hei"/>
        <family val="2"/>
      </rPr>
      <t xml:space="preserve">커뮤니케이션 활동과 업무연속성 계획</t>
    </r>
    <r>
      <rPr>
        <sz val="10"/>
        <color rgb="FF000000"/>
        <rFont val="맑은 고딕"/>
        <family val="0"/>
        <charset val="1"/>
      </rPr>
      <t xml:space="preserve">·</t>
    </r>
    <r>
      <rPr>
        <sz val="10"/>
        <color rgb="FF000000"/>
        <rFont val="WenQuanYi Zen Hei"/>
        <family val="2"/>
      </rPr>
      <t xml:space="preserve">절차 개발 모두에 필수적인 입력을 제공한다</t>
    </r>
    <r>
      <rPr>
        <sz val="10"/>
        <color rgb="FF000000"/>
        <rFont val="맑은 고딕"/>
        <family val="0"/>
        <charset val="1"/>
      </rPr>
      <t xml:space="preserve">.</t>
    </r>
  </si>
  <si>
    <t xml:space="preserve">L09</t>
  </si>
  <si>
    <t xml:space="preserve">A18</t>
  </si>
  <si>
    <t xml:space="preserve">16</t>
  </si>
  <si>
    <t xml:space="preserve">Outputs from this process include documented resources for implementing and running selected strategies, as well as resources for operating core BCMS processes, along with reports on resource utilization for BCMS core processes and the customer relationship management process</t>
  </si>
  <si>
    <r>
      <rPr>
        <sz val="10"/>
        <color rgb="FF000000"/>
        <rFont val="WenQuanYi Zen Hei"/>
        <family val="2"/>
      </rPr>
      <t xml:space="preserve">이 프로세스</t>
    </r>
    <r>
      <rPr>
        <sz val="10"/>
        <color rgb="FF000000"/>
        <rFont val="맑은 고딕"/>
        <family val="0"/>
        <charset val="1"/>
      </rPr>
      <t xml:space="preserve">(</t>
    </r>
    <r>
      <rPr>
        <sz val="10"/>
        <color rgb="FF000000"/>
        <rFont val="WenQuanYi Zen Hei"/>
        <family val="2"/>
      </rPr>
      <t xml:space="preserve">자원관리</t>
    </r>
    <r>
      <rPr>
        <sz val="10"/>
        <color rgb="FF000000"/>
        <rFont val="맑은 고딕"/>
        <family val="0"/>
        <charset val="1"/>
      </rPr>
      <t xml:space="preserve">)</t>
    </r>
    <r>
      <rPr>
        <sz val="10"/>
        <color rgb="FF000000"/>
        <rFont val="WenQuanYi Zen Hei"/>
        <family val="2"/>
      </rPr>
      <t xml:space="preserve">의 산출물에는 선정된 전략의 이행</t>
    </r>
    <r>
      <rPr>
        <sz val="10"/>
        <color rgb="FF000000"/>
        <rFont val="맑은 고딕"/>
        <family val="0"/>
        <charset val="1"/>
      </rPr>
      <t xml:space="preserve">·</t>
    </r>
    <r>
      <rPr>
        <sz val="10"/>
        <color rgb="FF000000"/>
        <rFont val="WenQuanYi Zen Hei"/>
        <family val="2"/>
      </rPr>
      <t xml:space="preserve">운영을 위한 문서화된 자원</t>
    </r>
    <r>
      <rPr>
        <sz val="10"/>
        <color rgb="FF000000"/>
        <rFont val="맑은 고딕"/>
        <family val="0"/>
        <charset val="1"/>
      </rPr>
      <t xml:space="preserve">, </t>
    </r>
    <r>
      <rPr>
        <sz val="10"/>
        <color rgb="FF000000"/>
        <rFont val="WenQuanYi Zen Hei"/>
        <family val="2"/>
      </rPr>
      <t xml:space="preserve">핵심 </t>
    </r>
    <r>
      <rPr>
        <sz val="10"/>
        <color rgb="FF000000"/>
        <rFont val="맑은 고딕"/>
        <family val="0"/>
        <charset val="1"/>
      </rPr>
      <t xml:space="preserve">BCMS </t>
    </r>
    <r>
      <rPr>
        <sz val="10"/>
        <color rgb="FF000000"/>
        <rFont val="WenQuanYi Zen Hei"/>
        <family val="2"/>
      </rPr>
      <t xml:space="preserve">프로세스 운영을 위한 자원</t>
    </r>
    <r>
      <rPr>
        <sz val="10"/>
        <color rgb="FF000000"/>
        <rFont val="맑은 고딕"/>
        <family val="0"/>
        <charset val="1"/>
      </rPr>
      <t xml:space="preserve">, </t>
    </r>
    <r>
      <rPr>
        <sz val="10"/>
        <color rgb="FF000000"/>
        <rFont val="WenQuanYi Zen Hei"/>
        <family val="2"/>
      </rPr>
      <t xml:space="preserve">그리고 </t>
    </r>
    <r>
      <rPr>
        <sz val="10"/>
        <color rgb="FF000000"/>
        <rFont val="맑은 고딕"/>
        <family val="0"/>
        <charset val="1"/>
      </rPr>
      <t xml:space="preserve">BCMS </t>
    </r>
    <r>
      <rPr>
        <sz val="10"/>
        <color rgb="FF000000"/>
        <rFont val="WenQuanYi Zen Hei"/>
        <family val="2"/>
      </rPr>
      <t xml:space="preserve">핵심 프로세스와 고객관계관리 프로세스에 대한 자원 사용 보고가 포함된다</t>
    </r>
    <r>
      <rPr>
        <sz val="10"/>
        <color rgb="FF000000"/>
        <rFont val="맑은 고딕"/>
        <family val="0"/>
        <charset val="1"/>
      </rPr>
      <t xml:space="preserve">.</t>
    </r>
  </si>
  <si>
    <t xml:space="preserve">L10, L30, L31</t>
  </si>
  <si>
    <t xml:space="preserve">A19</t>
  </si>
  <si>
    <t xml:space="preserve">The activation of certain BC strategies and solutions is triggered when required, typically in response to a disruptive event, through the execution of BC plans and procedures.</t>
  </si>
  <si>
    <r>
      <rPr>
        <sz val="10"/>
        <color rgb="FF000000"/>
        <rFont val="WenQuanYi Zen Hei"/>
        <family val="2"/>
      </rPr>
      <t xml:space="preserve">특정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솔루션의 가동은 필요 시</t>
    </r>
    <r>
      <rPr>
        <sz val="10"/>
        <color rgb="FF000000"/>
        <rFont val="맑은 고딕"/>
        <family val="0"/>
        <charset val="1"/>
      </rPr>
      <t xml:space="preserve">, </t>
    </r>
    <r>
      <rPr>
        <sz val="10"/>
        <color rgb="FF000000"/>
        <rFont val="WenQuanYi Zen Hei"/>
        <family val="2"/>
      </rPr>
      <t xml:space="preserve">통상 중단 사건에 대응하여</t>
    </r>
    <r>
      <rPr>
        <sz val="10"/>
        <color rgb="FF000000"/>
        <rFont val="맑은 고딕"/>
        <family val="0"/>
        <charset val="1"/>
      </rPr>
      <t xml:space="preserv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실행을 통해 개시된다</t>
    </r>
    <r>
      <rPr>
        <sz val="10"/>
        <color rgb="FF000000"/>
        <rFont val="맑은 고딕"/>
        <family val="0"/>
        <charset val="1"/>
      </rPr>
      <t xml:space="preserve">.</t>
    </r>
  </si>
  <si>
    <t xml:space="preserve">L12</t>
  </si>
  <si>
    <t xml:space="preserve">A20</t>
  </si>
  <si>
    <t xml:space="preserve">facilitating appropriate alerting of potentially affected parties and coordinating responses within the organization's BC plans and procedures</t>
  </si>
  <si>
    <r>
      <rPr>
        <sz val="10"/>
        <color rgb="FF000000"/>
        <rFont val="맑은 고딕"/>
        <family val="0"/>
        <charset val="1"/>
      </rPr>
      <t xml:space="preserve">(</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커뮤니케이션은</t>
    </r>
    <r>
      <rPr>
        <sz val="10"/>
        <color rgb="FF000000"/>
        <rFont val="맑은 고딕"/>
        <family val="0"/>
        <charset val="1"/>
      </rPr>
      <t xml:space="preserve">) </t>
    </r>
    <r>
      <rPr>
        <sz val="10"/>
        <color rgb="FF000000"/>
        <rFont val="WenQuanYi Zen Hei"/>
        <family val="2"/>
      </rPr>
      <t xml:space="preserve">영향을 받을 수 있는 당사자에 대한 적절한 경보를 촉진하고 조직의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안에서 대응을 조정한다</t>
    </r>
    <r>
      <rPr>
        <sz val="10"/>
        <color rgb="FF000000"/>
        <rFont val="맑은 고딕"/>
        <family val="0"/>
        <charset val="1"/>
      </rPr>
      <t xml:space="preserve">.</t>
    </r>
  </si>
  <si>
    <t xml:space="preserve">L12, L13</t>
  </si>
  <si>
    <t xml:space="preserve">A21</t>
  </si>
  <si>
    <t xml:space="preserve">It includes two primary subprocesses: the warning and communication process and the recovery process.</t>
  </si>
  <si>
    <r>
      <rPr>
        <sz val="10"/>
        <color rgb="FF000000"/>
        <rFont val="맑은 고딕"/>
        <family val="0"/>
        <charset val="1"/>
      </rPr>
      <t xml:space="preserve">(</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프로세스는</t>
    </r>
    <r>
      <rPr>
        <sz val="10"/>
        <color rgb="FF000000"/>
        <rFont val="맑은 고딕"/>
        <family val="0"/>
        <charset val="1"/>
      </rPr>
      <t xml:space="preserve">) </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 프로세스와 복구 프로세스라는 두 가지 주요 하위 프로세스를 포함한다</t>
    </r>
    <r>
      <rPr>
        <sz val="10"/>
        <color rgb="FF000000"/>
        <rFont val="맑은 고딕"/>
        <family val="0"/>
        <charset val="1"/>
      </rPr>
      <t xml:space="preserve">.</t>
    </r>
  </si>
  <si>
    <t xml:space="preserve">L13, L14</t>
  </si>
  <si>
    <t xml:space="preserve">A22</t>
  </si>
  <si>
    <t xml:space="preserve">The recovery process, on the other hand, involves restoring and resuming regular business activities from the state of temporary measures that have been adopted to support normal operations during and after a disruption.</t>
  </si>
  <si>
    <r>
      <rPr>
        <sz val="10"/>
        <color rgb="FF000000"/>
        <rFont val="WenQuanYi Zen Hei"/>
        <family val="2"/>
      </rPr>
      <t xml:space="preserve">복구 프로세스는 중단 중</t>
    </r>
    <r>
      <rPr>
        <sz val="10"/>
        <color rgb="FF000000"/>
        <rFont val="맑은 고딕"/>
        <family val="0"/>
        <charset val="1"/>
      </rPr>
      <t xml:space="preserve">·</t>
    </r>
    <r>
      <rPr>
        <sz val="10"/>
        <color rgb="FF000000"/>
        <rFont val="WenQuanYi Zen Hei"/>
        <family val="2"/>
      </rPr>
      <t xml:space="preserve">후 정상 운영을 지원하기 위해 채택한 임시 조치 상태에서 일상 업무 활동을 회복</t>
    </r>
    <r>
      <rPr>
        <sz val="10"/>
        <color rgb="FF000000"/>
        <rFont val="맑은 고딕"/>
        <family val="0"/>
        <charset val="1"/>
      </rPr>
      <t xml:space="preserve">·</t>
    </r>
    <r>
      <rPr>
        <sz val="10"/>
        <color rgb="FF000000"/>
        <rFont val="WenQuanYi Zen Hei"/>
        <family val="2"/>
      </rPr>
      <t xml:space="preserve">재개하는 것을 포함한다</t>
    </r>
    <r>
      <rPr>
        <sz val="10"/>
        <color rgb="FF000000"/>
        <rFont val="맑은 고딕"/>
        <family val="0"/>
        <charset val="1"/>
      </rPr>
      <t xml:space="preserve">.</t>
    </r>
  </si>
  <si>
    <t xml:space="preserve">L14</t>
  </si>
  <si>
    <t xml:space="preserve">A23</t>
  </si>
  <si>
    <t xml:space="preserve">The process of exercising BC plans and procedures ensures that BC strategies and solutions and their corresponding BC plans and procedures, including warning and communication procedures, are tested regularly to validate their effectiveness and prompt any necessary adjustments or enhancements.</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</si>
  <si>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 프로세스는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솔루션과 이에 대응하는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r>
      <rPr>
        <sz val="10"/>
        <color rgb="FF000000"/>
        <rFont val="맑은 고딕"/>
        <family val="0"/>
        <charset val="1"/>
      </rPr>
      <t xml:space="preserve">(</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 절차 포함</t>
    </r>
    <r>
      <rPr>
        <sz val="10"/>
        <color rgb="FF000000"/>
        <rFont val="맑은 고딕"/>
        <family val="0"/>
        <charset val="1"/>
      </rPr>
      <t xml:space="preserve">)</t>
    </r>
    <r>
      <rPr>
        <sz val="10"/>
        <color rgb="FF000000"/>
        <rFont val="WenQuanYi Zen Hei"/>
        <family val="2"/>
      </rPr>
      <t xml:space="preserve">가 정기적으로 시험되어 그 유효성을 검증하고 필요한 조정</t>
    </r>
    <r>
      <rPr>
        <sz val="10"/>
        <color rgb="FF000000"/>
        <rFont val="맑은 고딕"/>
        <family val="0"/>
        <charset val="1"/>
      </rPr>
      <t xml:space="preserve">·</t>
    </r>
    <r>
      <rPr>
        <sz val="10"/>
        <color rgb="FF000000"/>
        <rFont val="WenQuanYi Zen Hei"/>
        <family val="2"/>
      </rPr>
      <t xml:space="preserve">개선을 촉구하도록 보장한다</t>
    </r>
    <r>
      <rPr>
        <sz val="10"/>
        <color rgb="FF000000"/>
        <rFont val="맑은 고딕"/>
        <family val="0"/>
        <charset val="1"/>
      </rPr>
      <t xml:space="preserve">.</t>
    </r>
  </si>
  <si>
    <t xml:space="preserve">L15, L16</t>
  </si>
  <si>
    <t xml:space="preserve">A24</t>
  </si>
  <si>
    <t xml:space="preserve">a business continuity awareness, training, and education program is developed and implemented to foster necessary awareness and competence among personnel</t>
  </si>
  <si>
    <r>
      <rPr>
        <sz val="10"/>
        <color rgb="FF000000"/>
        <rFont val="WenQuanYi Zen Hei"/>
        <family val="2"/>
      </rPr>
      <t xml:space="preserve">업무연속성 인식</t>
    </r>
    <r>
      <rPr>
        <sz val="10"/>
        <color rgb="FF000000"/>
        <rFont val="맑은 고딕"/>
        <family val="0"/>
        <charset val="1"/>
      </rPr>
      <t xml:space="preserve">·</t>
    </r>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교육 프로그램이 개발</t>
    </r>
    <r>
      <rPr>
        <sz val="10"/>
        <color rgb="FF000000"/>
        <rFont val="맑은 고딕"/>
        <family val="0"/>
        <charset val="1"/>
      </rPr>
      <t xml:space="preserve">·</t>
    </r>
    <r>
      <rPr>
        <sz val="10"/>
        <color rgb="FF000000"/>
        <rFont val="WenQuanYi Zen Hei"/>
        <family val="2"/>
      </rPr>
      <t xml:space="preserve">이행되어 인력의 필요한 인식과 역량을 키운다</t>
    </r>
    <r>
      <rPr>
        <sz val="10"/>
        <color rgb="FF000000"/>
        <rFont val="맑은 고딕"/>
        <family val="0"/>
        <charset val="1"/>
      </rPr>
      <t xml:space="preserve">.</t>
    </r>
  </si>
  <si>
    <r>
      <rPr>
        <sz val="10"/>
        <color rgb="FF000000"/>
        <rFont val="맑은 고딕"/>
        <family val="0"/>
        <charset val="1"/>
      </rPr>
      <t xml:space="preserve">L17(</t>
    </r>
    <r>
      <rPr>
        <sz val="10"/>
        <color rgb="FF000000"/>
        <rFont val="WenQuanYi Zen Hei"/>
        <family val="2"/>
      </rPr>
      <t xml:space="preserve">연결 자체를 서술하지는 않음</t>
    </r>
    <r>
      <rPr>
        <sz val="10"/>
        <color rgb="FF000000"/>
        <rFont val="맑은 고딕"/>
        <family val="0"/>
        <charset val="1"/>
      </rPr>
      <t xml:space="preserve">)</t>
    </r>
  </si>
  <si>
    <t xml:space="preserve">A25</t>
  </si>
  <si>
    <t xml:space="preserve">Results from the performance evaluation process, the internal audit process, and the supply chain management process are used to improve the effectiveness, efficiency, suitability, and adequacy of the BCMS and the strategies, solutions, plans, and procedures.</t>
  </si>
  <si>
    <r>
      <rPr>
        <sz val="10"/>
        <color rgb="FF000000"/>
        <rFont val="WenQuanYi Zen Hei"/>
        <family val="2"/>
      </rPr>
      <t xml:space="preserve">성과평가</t>
    </r>
    <r>
      <rPr>
        <sz val="10"/>
        <color rgb="FF000000"/>
        <rFont val="맑은 고딕"/>
        <family val="0"/>
        <charset val="1"/>
      </rPr>
      <t xml:space="preserve">, </t>
    </r>
    <r>
      <rPr>
        <sz val="10"/>
        <color rgb="FF000000"/>
        <rFont val="WenQuanYi Zen Hei"/>
        <family val="2"/>
      </rPr>
      <t xml:space="preserve">내부감사</t>
    </r>
    <r>
      <rPr>
        <sz val="10"/>
        <color rgb="FF000000"/>
        <rFont val="맑은 고딕"/>
        <family val="0"/>
        <charset val="1"/>
      </rPr>
      <t xml:space="preserve">, </t>
    </r>
    <r>
      <rPr>
        <sz val="10"/>
        <color rgb="FF000000"/>
        <rFont val="WenQuanYi Zen Hei"/>
        <family val="2"/>
      </rPr>
      <t xml:space="preserve">공급망관리 프로세스의 결과는 </t>
    </r>
    <r>
      <rPr>
        <sz val="10"/>
        <color rgb="FF000000"/>
        <rFont val="맑은 고딕"/>
        <family val="0"/>
        <charset val="1"/>
      </rPr>
      <t xml:space="preserve">BCMS</t>
    </r>
    <r>
      <rPr>
        <sz val="10"/>
        <color rgb="FF000000"/>
        <rFont val="WenQuanYi Zen Hei"/>
        <family val="2"/>
      </rPr>
      <t xml:space="preserve">와 전략</t>
    </r>
    <r>
      <rPr>
        <sz val="10"/>
        <color rgb="FF000000"/>
        <rFont val="맑은 고딕"/>
        <family val="0"/>
        <charset val="1"/>
      </rPr>
      <t xml:space="preserve">·</t>
    </r>
    <r>
      <rPr>
        <sz val="10"/>
        <color rgb="FF000000"/>
        <rFont val="WenQuanYi Zen Hei"/>
        <family val="2"/>
      </rPr>
      <t xml:space="preserve">솔루션</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효과성</t>
    </r>
    <r>
      <rPr>
        <sz val="10"/>
        <color rgb="FF000000"/>
        <rFont val="맑은 고딕"/>
        <family val="0"/>
        <charset val="1"/>
      </rPr>
      <t xml:space="preserve">, </t>
    </r>
    <r>
      <rPr>
        <sz val="10"/>
        <color rgb="FF000000"/>
        <rFont val="WenQuanYi Zen Hei"/>
        <family val="2"/>
      </rPr>
      <t xml:space="preserve">효율성</t>
    </r>
    <r>
      <rPr>
        <sz val="10"/>
        <color rgb="FF000000"/>
        <rFont val="맑은 고딕"/>
        <family val="0"/>
        <charset val="1"/>
      </rPr>
      <t xml:space="preserve">, </t>
    </r>
    <r>
      <rPr>
        <sz val="10"/>
        <color rgb="FF000000"/>
        <rFont val="WenQuanYi Zen Hei"/>
        <family val="2"/>
      </rPr>
      <t xml:space="preserve">적합성</t>
    </r>
    <r>
      <rPr>
        <sz val="10"/>
        <color rgb="FF000000"/>
        <rFont val="맑은 고딕"/>
        <family val="0"/>
        <charset val="1"/>
      </rPr>
      <t xml:space="preserve">, </t>
    </r>
    <r>
      <rPr>
        <sz val="10"/>
        <color rgb="FF000000"/>
        <rFont val="WenQuanYi Zen Hei"/>
        <family val="2"/>
      </rPr>
      <t xml:space="preserve">충분성을 개선하는 데 사용된다</t>
    </r>
    <r>
      <rPr>
        <sz val="10"/>
        <color rgb="FF000000"/>
        <rFont val="맑은 고딕"/>
        <family val="0"/>
        <charset val="1"/>
      </rPr>
      <t xml:space="preserve">.</t>
    </r>
  </si>
  <si>
    <t xml:space="preserve">L18, L19, L20</t>
  </si>
  <si>
    <t xml:space="preserve">A26</t>
  </si>
  <si>
    <r>
      <rPr>
        <sz val="10"/>
        <color rgb="FF000000"/>
        <rFont val="맑은 고딕"/>
        <family val="0"/>
        <charset val="1"/>
      </rPr>
      <t xml:space="preserve">§4.3 (</t>
    </r>
    <r>
      <rPr>
        <sz val="10"/>
        <color rgb="FF000000"/>
        <rFont val="WenQuanYi Zen Hei"/>
        <family val="2"/>
      </rPr>
      <t xml:space="preserve">변경관리 산출물 </t>
    </r>
    <r>
      <rPr>
        <sz val="10"/>
        <color rgb="FF000000"/>
        <rFont val="맑은 고딕"/>
        <family val="0"/>
        <charset val="1"/>
      </rPr>
      <t xml:space="preserve">2</t>
    </r>
    <r>
      <rPr>
        <sz val="10"/>
        <color rgb="FF000000"/>
        <rFont val="WenQuanYi Zen Hei"/>
        <family val="2"/>
      </rPr>
      <t xml:space="preserve">번째</t>
    </r>
    <r>
      <rPr>
        <sz val="10"/>
        <color rgb="FF000000"/>
        <rFont val="맑은 고딕"/>
        <family val="0"/>
        <charset val="1"/>
      </rPr>
      <t xml:space="preserve">)</t>
    </r>
  </si>
  <si>
    <t xml:space="preserve">Proposed and necessary changes, as well as results of changes (for and from the risk assessment process);</t>
  </si>
  <si>
    <r>
      <rPr>
        <sz val="10"/>
        <color rgb="FF000000"/>
        <rFont val="WenQuanYi Zen Hei"/>
        <family val="2"/>
      </rPr>
      <t xml:space="preserve">제안된 변경과 필요한 변경</t>
    </r>
    <r>
      <rPr>
        <sz val="10"/>
        <color rgb="FF000000"/>
        <rFont val="맑은 고딕"/>
        <family val="0"/>
        <charset val="1"/>
      </rPr>
      <t xml:space="preserve">, </t>
    </r>
    <r>
      <rPr>
        <sz val="10"/>
        <color rgb="FF000000"/>
        <rFont val="WenQuanYi Zen Hei"/>
        <family val="2"/>
      </rPr>
      <t xml:space="preserve">그리고 변경의 결과</t>
    </r>
    <r>
      <rPr>
        <sz val="10"/>
        <color rgb="FF000000"/>
        <rFont val="맑은 고딕"/>
        <family val="0"/>
        <charset val="1"/>
      </rPr>
      <t xml:space="preserve">(</t>
    </r>
    <r>
      <rPr>
        <sz val="10"/>
        <color rgb="FF000000"/>
        <rFont val="WenQuanYi Zen Hei"/>
        <family val="2"/>
      </rPr>
      <t xml:space="preserve">리스크평가 프로세스로 가는 것과 그로부터 오는 것</t>
    </r>
    <r>
      <rPr>
        <sz val="10"/>
        <color rgb="FF000000"/>
        <rFont val="맑은 고딕"/>
        <family val="0"/>
        <charset val="1"/>
      </rPr>
      <t xml:space="preserve">).</t>
    </r>
  </si>
  <si>
    <t xml:space="preserve">L21</t>
  </si>
  <si>
    <t xml:space="preserve">A27</t>
  </si>
  <si>
    <r>
      <rPr>
        <sz val="10"/>
        <color rgb="FF000000"/>
        <rFont val="맑은 고딕"/>
        <family val="0"/>
        <charset val="1"/>
      </rPr>
      <t xml:space="preserve">§4.3 (</t>
    </r>
    <r>
      <rPr>
        <sz val="10"/>
        <color rgb="FF000000"/>
        <rFont val="WenQuanYi Zen Hei"/>
        <family val="2"/>
      </rPr>
      <t xml:space="preserve">변경관리 산출물 </t>
    </r>
    <r>
      <rPr>
        <sz val="10"/>
        <color rgb="FF000000"/>
        <rFont val="맑은 고딕"/>
        <family val="0"/>
        <charset val="1"/>
      </rPr>
      <t xml:space="preserve">3</t>
    </r>
    <r>
      <rPr>
        <sz val="10"/>
        <color rgb="FF000000"/>
        <rFont val="WenQuanYi Zen Hei"/>
        <family val="2"/>
      </rPr>
      <t xml:space="preserve">번째</t>
    </r>
    <r>
      <rPr>
        <sz val="10"/>
        <color rgb="FF000000"/>
        <rFont val="맑은 고딕"/>
        <family val="0"/>
        <charset val="1"/>
      </rPr>
      <t xml:space="preserve">)</t>
    </r>
  </si>
  <si>
    <t xml:space="preserve">Initiation of risk assessment in response to significant proposed or occurring changes; and</t>
  </si>
  <si>
    <r>
      <rPr>
        <sz val="10"/>
        <color rgb="FF000000"/>
        <rFont val="WenQuanYi Zen Hei"/>
        <family val="2"/>
      </rPr>
      <t xml:space="preserve">중대한 제안</t>
    </r>
    <r>
      <rPr>
        <sz val="10"/>
        <color rgb="FF000000"/>
        <rFont val="맑은 고딕"/>
        <family val="0"/>
        <charset val="1"/>
      </rPr>
      <t xml:space="preserve">·</t>
    </r>
    <r>
      <rPr>
        <sz val="10"/>
        <color rgb="FF000000"/>
        <rFont val="WenQuanYi Zen Hei"/>
        <family val="2"/>
      </rPr>
      <t xml:space="preserve">발생 변경에 대응한 리스크평가의 개시</t>
    </r>
    <r>
      <rPr>
        <sz val="10"/>
        <color rgb="FF000000"/>
        <rFont val="맑은 고딕"/>
        <family val="0"/>
        <charset val="1"/>
      </rPr>
      <t xml:space="preserve">.</t>
    </r>
  </si>
  <si>
    <t xml:space="preserve">A28</t>
  </si>
  <si>
    <r>
      <rPr>
        <sz val="10"/>
        <color rgb="FF000000"/>
        <rFont val="맑은 고딕"/>
        <family val="0"/>
        <charset val="1"/>
      </rPr>
      <t xml:space="preserve">§4.3 (</t>
    </r>
    <r>
      <rPr>
        <sz val="10"/>
        <color rgb="FF000000"/>
        <rFont val="WenQuanYi Zen Hei"/>
        <family val="2"/>
      </rPr>
      <t xml:space="preserve">변경관리 산출물 </t>
    </r>
    <r>
      <rPr>
        <sz val="10"/>
        <color rgb="FF000000"/>
        <rFont val="맑은 고딕"/>
        <family val="0"/>
        <charset val="1"/>
      </rPr>
      <t xml:space="preserve">1</t>
    </r>
    <r>
      <rPr>
        <sz val="10"/>
        <color rgb="FF000000"/>
        <rFont val="WenQuanYi Zen Hei"/>
        <family val="2"/>
      </rPr>
      <t xml:space="preserve">번째</t>
    </r>
    <r>
      <rPr>
        <sz val="10"/>
        <color rgb="FF000000"/>
        <rFont val="맑은 고딕"/>
        <family val="0"/>
        <charset val="1"/>
      </rPr>
      <t xml:space="preserve">)</t>
    </r>
  </si>
  <si>
    <t xml:space="preserve">Necessary changes (for the process of controlling documented information);</t>
  </si>
  <si>
    <r>
      <rPr>
        <sz val="10"/>
        <color rgb="FF000000"/>
        <rFont val="WenQuanYi Zen Hei"/>
        <family val="2"/>
      </rPr>
      <t xml:space="preserve">필요한 변경</t>
    </r>
    <r>
      <rPr>
        <sz val="10"/>
        <color rgb="FF000000"/>
        <rFont val="맑은 고딕"/>
        <family val="0"/>
        <charset val="1"/>
      </rPr>
      <t xml:space="preserve">(</t>
    </r>
    <r>
      <rPr>
        <sz val="10"/>
        <color rgb="FF000000"/>
        <rFont val="WenQuanYi Zen Hei"/>
        <family val="2"/>
      </rPr>
      <t xml:space="preserve">문서화된 정보 통제 프로세스를 위한 것</t>
    </r>
    <r>
      <rPr>
        <sz val="10"/>
        <color rgb="FF000000"/>
        <rFont val="맑은 고딕"/>
        <family val="0"/>
        <charset val="1"/>
      </rPr>
      <t xml:space="preserve">).</t>
    </r>
  </si>
  <si>
    <t xml:space="preserve">L22</t>
  </si>
  <si>
    <t xml:space="preserve">A29</t>
  </si>
  <si>
    <r>
      <rPr>
        <sz val="10"/>
        <color rgb="FF000000"/>
        <rFont val="맑은 고딕"/>
        <family val="0"/>
        <charset val="1"/>
      </rPr>
      <t xml:space="preserve">§4.3 (</t>
    </r>
    <r>
      <rPr>
        <sz val="10"/>
        <color rgb="FF000000"/>
        <rFont val="WenQuanYi Zen Hei"/>
        <family val="2"/>
      </rPr>
      <t xml:space="preserve">변경관리 산출물 </t>
    </r>
    <r>
      <rPr>
        <sz val="10"/>
        <color rgb="FF000000"/>
        <rFont val="맑은 고딕"/>
        <family val="0"/>
        <charset val="1"/>
      </rPr>
      <t xml:space="preserve">4</t>
    </r>
    <r>
      <rPr>
        <sz val="10"/>
        <color rgb="FF000000"/>
        <rFont val="WenQuanYi Zen Hei"/>
        <family val="2"/>
      </rPr>
      <t xml:space="preserve">번째</t>
    </r>
    <r>
      <rPr>
        <sz val="10"/>
        <color rgb="FF000000"/>
        <rFont val="맑은 고딕"/>
        <family val="0"/>
        <charset val="1"/>
      </rPr>
      <t xml:space="preserve">)</t>
    </r>
  </si>
  <si>
    <t xml:space="preserve">The results of changes to the incident and emergency handling process or the process of exercising BC plans and procedures—as those processes initiated them.</t>
  </si>
  <si>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프로세스 또는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 프로세스에 대한 변경의 결과 — 해당 프로세스들이 변경을 개시한 경우</t>
    </r>
    <r>
      <rPr>
        <sz val="10"/>
        <color rgb="FF000000"/>
        <rFont val="맑은 고딕"/>
        <family val="0"/>
        <charset val="1"/>
      </rPr>
      <t xml:space="preserve">.</t>
    </r>
  </si>
  <si>
    <t xml:space="preserve">L23, L24, L25, L26</t>
  </si>
  <si>
    <t xml:space="preserve">A30</t>
  </si>
  <si>
    <t xml:space="preserve">The outcomes of nearly all BCMS processes are communicated centrally to stakeholders external to the BCMS as part of the consultation and communication process.</t>
  </si>
  <si>
    <r>
      <rPr>
        <sz val="10"/>
        <color rgb="FF000000"/>
        <rFont val="WenQuanYi Zen Hei"/>
        <family val="2"/>
      </rPr>
      <t xml:space="preserve">거의 모든 </t>
    </r>
    <r>
      <rPr>
        <sz val="10"/>
        <color rgb="FF000000"/>
        <rFont val="맑은 고딕"/>
        <family val="0"/>
        <charset val="1"/>
      </rPr>
      <t xml:space="preserve">BCMS </t>
    </r>
    <r>
      <rPr>
        <sz val="10"/>
        <color rgb="FF000000"/>
        <rFont val="WenQuanYi Zen Hei"/>
        <family val="2"/>
      </rPr>
      <t xml:space="preserve">프로세스의 결과는 협의</t>
    </r>
    <r>
      <rPr>
        <sz val="10"/>
        <color rgb="FF000000"/>
        <rFont val="맑은 고딕"/>
        <family val="0"/>
        <charset val="1"/>
      </rPr>
      <t xml:space="preserve">·</t>
    </r>
    <r>
      <rPr>
        <sz val="10"/>
        <color rgb="FF000000"/>
        <rFont val="WenQuanYi Zen Hei"/>
        <family val="2"/>
      </rPr>
      <t xml:space="preserve">커뮤니케이션 프로세스의 일부로서 </t>
    </r>
    <r>
      <rPr>
        <sz val="10"/>
        <color rgb="FF000000"/>
        <rFont val="맑은 고딕"/>
        <family val="0"/>
        <charset val="1"/>
      </rPr>
      <t xml:space="preserve">BCMS </t>
    </r>
    <r>
      <rPr>
        <sz val="10"/>
        <color rgb="FF000000"/>
        <rFont val="WenQuanYi Zen Hei"/>
        <family val="2"/>
      </rPr>
      <t xml:space="preserve">외부의 이해관계자에게 중앙에서 전달된다</t>
    </r>
    <r>
      <rPr>
        <sz val="10"/>
        <color rgb="FF000000"/>
        <rFont val="맑은 고딕"/>
        <family val="0"/>
        <charset val="1"/>
      </rPr>
      <t xml:space="preserve">.</t>
    </r>
  </si>
  <si>
    <t xml:space="preserve">L27</t>
  </si>
  <si>
    <t xml:space="preserve">A31</t>
  </si>
  <si>
    <t xml:space="preserve">These reports and identified requirements serve as inputs for the BC governance process.</t>
  </si>
  <si>
    <r>
      <rPr>
        <sz val="10"/>
        <color rgb="FF000000"/>
        <rFont val="WenQuanYi Zen Hei"/>
        <family val="2"/>
      </rPr>
      <t xml:space="preserve">이 보고와 식별된 요구사항은 </t>
    </r>
    <r>
      <rPr>
        <sz val="10"/>
        <color rgb="FF000000"/>
        <rFont val="맑은 고딕"/>
        <family val="0"/>
        <charset val="1"/>
      </rPr>
      <t xml:space="preserve">BC </t>
    </r>
    <r>
      <rPr>
        <sz val="10"/>
        <color rgb="FF000000"/>
        <rFont val="WenQuanYi Zen Hei"/>
        <family val="2"/>
      </rPr>
      <t xml:space="preserve">거버넌스 프로세스의 입력으로 쓰인다</t>
    </r>
    <r>
      <rPr>
        <sz val="10"/>
        <color rgb="FF000000"/>
        <rFont val="맑은 고딕"/>
        <family val="0"/>
        <charset val="1"/>
      </rPr>
      <t xml:space="preserve">.</t>
    </r>
  </si>
  <si>
    <t xml:space="preserve">L28</t>
  </si>
  <si>
    <t xml:space="preserve">A32</t>
  </si>
  <si>
    <t xml:space="preserve">operational management of customer satisfaction levels and continuous demonstration of the added value of investments in business continuity need to be realized</t>
  </si>
  <si>
    <r>
      <rPr>
        <sz val="10"/>
        <color rgb="FF000000"/>
        <rFont val="WenQuanYi Zen Hei"/>
        <family val="2"/>
      </rPr>
      <t xml:space="preserve">고객 만족 수준의 운영적 관리와 업무연속성 투자의 부가가치에 대한 지속적 입증이 실현되어야 한다</t>
    </r>
    <r>
      <rPr>
        <sz val="10"/>
        <color rgb="FF000000"/>
        <rFont val="맑은 고딕"/>
        <family val="0"/>
        <charset val="1"/>
      </rPr>
      <t xml:space="preserve">(</t>
    </r>
    <r>
      <rPr>
        <sz val="10"/>
        <color rgb="FF000000"/>
        <rFont val="WenQuanYi Zen Hei"/>
        <family val="2"/>
      </rPr>
      <t xml:space="preserve">고객관계관리 프로세스에서 수행</t>
    </r>
    <r>
      <rPr>
        <sz val="10"/>
        <color rgb="FF000000"/>
        <rFont val="맑은 고딕"/>
        <family val="0"/>
        <charset val="1"/>
      </rPr>
      <t xml:space="preserve">).</t>
    </r>
  </si>
  <si>
    <t xml:space="preserve">L31</t>
  </si>
  <si>
    <t xml:space="preserve">A33</t>
  </si>
  <si>
    <t xml:space="preserve">14</t>
  </si>
  <si>
    <t xml:space="preserve">The business continuity governance process, in particular, ensures that the BCMS matches the goals and requirements of the stakeholders responsible for oversight.</t>
  </si>
  <si>
    <r>
      <rPr>
        <sz val="10"/>
        <color rgb="FF000000"/>
        <rFont val="맑은 고딕"/>
        <family val="0"/>
        <charset val="1"/>
      </rPr>
      <t xml:space="preserve">BC </t>
    </r>
    <r>
      <rPr>
        <sz val="10"/>
        <color rgb="FF000000"/>
        <rFont val="WenQuanYi Zen Hei"/>
        <family val="2"/>
      </rPr>
      <t xml:space="preserve">거버넌스 프로세스는 특히 </t>
    </r>
    <r>
      <rPr>
        <sz val="10"/>
        <color rgb="FF000000"/>
        <rFont val="맑은 고딕"/>
        <family val="0"/>
        <charset val="1"/>
      </rPr>
      <t xml:space="preserve">BCMS</t>
    </r>
    <r>
      <rPr>
        <sz val="10"/>
        <color rgb="FF000000"/>
        <rFont val="WenQuanYi Zen Hei"/>
        <family val="2"/>
      </rPr>
      <t xml:space="preserve">가 감독 책임이 있는 이해관계자의 목표와 요구사항에 부합하도록 보장한다</t>
    </r>
    <r>
      <rPr>
        <sz val="10"/>
        <color rgb="FF000000"/>
        <rFont val="맑은 고딕"/>
        <family val="0"/>
        <charset val="1"/>
      </rPr>
      <t xml:space="preserve">.</t>
    </r>
  </si>
  <si>
    <t xml:space="preserve">L29</t>
  </si>
  <si>
    <t xml:space="preserve">A34</t>
  </si>
  <si>
    <t xml:space="preserve">The business continuity policy management process facilitates the systematic development, maintenance, and preservation of business continuity policies</t>
  </si>
  <si>
    <r>
      <rPr>
        <sz val="10"/>
        <color rgb="FF000000"/>
        <rFont val="맑은 고딕"/>
        <family val="0"/>
        <charset val="1"/>
      </rPr>
      <t xml:space="preserve">BC </t>
    </r>
    <r>
      <rPr>
        <sz val="10"/>
        <color rgb="FF000000"/>
        <rFont val="WenQuanYi Zen Hei"/>
        <family val="2"/>
      </rPr>
      <t xml:space="preserve">정책관리 프로세스는 업무연속성 정책의 체계적인 개발</t>
    </r>
    <r>
      <rPr>
        <sz val="10"/>
        <color rgb="FF000000"/>
        <rFont val="맑은 고딕"/>
        <family val="0"/>
        <charset val="1"/>
      </rPr>
      <t xml:space="preserve">·</t>
    </r>
    <r>
      <rPr>
        <sz val="10"/>
        <color rgb="FF000000"/>
        <rFont val="WenQuanYi Zen Hei"/>
        <family val="2"/>
      </rPr>
      <t xml:space="preserve">유지</t>
    </r>
    <r>
      <rPr>
        <sz val="10"/>
        <color rgb="FF000000"/>
        <rFont val="맑은 고딕"/>
        <family val="0"/>
        <charset val="1"/>
      </rPr>
      <t xml:space="preserve">·</t>
    </r>
    <r>
      <rPr>
        <sz val="10"/>
        <color rgb="FF000000"/>
        <rFont val="WenQuanYi Zen Hei"/>
        <family val="2"/>
      </rPr>
      <t xml:space="preserve">보존을 촉진한다</t>
    </r>
    <r>
      <rPr>
        <sz val="10"/>
        <color rgb="FF000000"/>
        <rFont val="맑은 고딕"/>
        <family val="0"/>
        <charset val="1"/>
      </rPr>
      <t xml:space="preserve">.</t>
    </r>
  </si>
  <si>
    <t xml:space="preserve">A35</t>
  </si>
  <si>
    <t xml:space="preserve">This process also ensures that BC policies are accessible to, and clearly understood by, the intended audience.</t>
  </si>
  <si>
    <r>
      <rPr>
        <sz val="10"/>
        <color rgb="FF000000"/>
        <rFont val="WenQuanYi Zen Hei"/>
        <family val="2"/>
      </rPr>
      <t xml:space="preserve">이 프로세스는 또한 </t>
    </r>
    <r>
      <rPr>
        <sz val="10"/>
        <color rgb="FF000000"/>
        <rFont val="맑은 고딕"/>
        <family val="0"/>
        <charset val="1"/>
      </rPr>
      <t xml:space="preserve">BC </t>
    </r>
    <r>
      <rPr>
        <sz val="10"/>
        <color rgb="FF000000"/>
        <rFont val="WenQuanYi Zen Hei"/>
        <family val="2"/>
      </rPr>
      <t xml:space="preserve">정책이 대상자에게 접근 가능하고 명확히 이해되도록 보장한다</t>
    </r>
    <r>
      <rPr>
        <sz val="10"/>
        <color rgb="FF000000"/>
        <rFont val="맑은 고딕"/>
        <family val="0"/>
        <charset val="1"/>
      </rPr>
      <t xml:space="preserve">.</t>
    </r>
  </si>
  <si>
    <t xml:space="preserve">A36</t>
  </si>
  <si>
    <t xml:space="preserve">The solution implementation management process involves initiating and verifying BC strategies, solutions, and changes that may result thereof.</t>
  </si>
  <si>
    <r>
      <rPr>
        <sz val="10"/>
        <color rgb="FF000000"/>
        <rFont val="WenQuanYi Zen Hei"/>
        <family val="2"/>
      </rPr>
      <t xml:space="preserve">솔루션 이행관리 프로세스는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및 그로부터 발생할 수 있는 변경을 개시하고 검증하는 것을 포함한다</t>
    </r>
    <r>
      <rPr>
        <sz val="10"/>
        <color rgb="FF000000"/>
        <rFont val="맑은 고딕"/>
        <family val="0"/>
        <charset val="1"/>
      </rPr>
      <t xml:space="preserve">.</t>
    </r>
  </si>
  <si>
    <r>
      <rPr>
        <sz val="10"/>
        <color rgb="FF000000"/>
        <rFont val="맑은 고딕"/>
        <family val="0"/>
        <charset val="1"/>
      </rPr>
      <t xml:space="preserve">L07 (</t>
    </r>
    <r>
      <rPr>
        <sz val="10"/>
        <color rgb="FF000000"/>
        <rFont val="WenQuanYi Zen Hei"/>
        <family val="2"/>
      </rPr>
      <t xml:space="preserve">확인 상태 근거</t>
    </r>
    <r>
      <rPr>
        <sz val="10"/>
        <color rgb="FF000000"/>
        <rFont val="맑은 고딕"/>
        <family val="0"/>
        <charset val="1"/>
      </rPr>
      <t xml:space="preserve">)</t>
    </r>
  </si>
  <si>
    <t xml:space="preserve">A37</t>
  </si>
  <si>
    <t xml:space="preserve">This procedure involves systematic prioritization of products, services, processes, and activities, followed by comprehensive analysis, consolidation, and securing of executive approval of the BIA findings.</t>
  </si>
  <si>
    <r>
      <rPr>
        <sz val="10"/>
        <color rgb="FF000000"/>
        <rFont val="WenQuanYi Zen Hei"/>
        <family val="2"/>
      </rPr>
      <t xml:space="preserve">이 절차는 제품</t>
    </r>
    <r>
      <rPr>
        <sz val="10"/>
        <color rgb="FF000000"/>
        <rFont val="맑은 고딕"/>
        <family val="0"/>
        <charset val="1"/>
      </rPr>
      <t xml:space="preserve">·</t>
    </r>
    <r>
      <rPr>
        <sz val="10"/>
        <color rgb="FF000000"/>
        <rFont val="WenQuanYi Zen Hei"/>
        <family val="2"/>
      </rPr>
      <t xml:space="preserve">서비스</t>
    </r>
    <r>
      <rPr>
        <sz val="10"/>
        <color rgb="FF000000"/>
        <rFont val="맑은 고딕"/>
        <family val="0"/>
        <charset val="1"/>
      </rPr>
      <t xml:space="preserve">·</t>
    </r>
    <r>
      <rPr>
        <sz val="10"/>
        <color rgb="FF000000"/>
        <rFont val="WenQuanYi Zen Hei"/>
        <family val="2"/>
      </rPr>
      <t xml:space="preserve">프로세스</t>
    </r>
    <r>
      <rPr>
        <sz val="10"/>
        <color rgb="FF000000"/>
        <rFont val="맑은 고딕"/>
        <family val="0"/>
        <charset val="1"/>
      </rPr>
      <t xml:space="preserve">·</t>
    </r>
    <r>
      <rPr>
        <sz val="10"/>
        <color rgb="FF000000"/>
        <rFont val="WenQuanYi Zen Hei"/>
        <family val="2"/>
      </rPr>
      <t xml:space="preserve">활동의 체계적 우선순위화</t>
    </r>
    <r>
      <rPr>
        <sz val="10"/>
        <color rgb="FF000000"/>
        <rFont val="맑은 고딕"/>
        <family val="0"/>
        <charset val="1"/>
      </rPr>
      <t xml:space="preserve">, </t>
    </r>
    <r>
      <rPr>
        <sz val="10"/>
        <color rgb="FF000000"/>
        <rFont val="WenQuanYi Zen Hei"/>
        <family val="2"/>
      </rPr>
      <t xml:space="preserve">이어지는 종합 분석</t>
    </r>
    <r>
      <rPr>
        <sz val="10"/>
        <color rgb="FF000000"/>
        <rFont val="맑은 고딕"/>
        <family val="0"/>
        <charset val="1"/>
      </rPr>
      <t xml:space="preserve">·</t>
    </r>
    <r>
      <rPr>
        <sz val="10"/>
        <color rgb="FF000000"/>
        <rFont val="WenQuanYi Zen Hei"/>
        <family val="2"/>
      </rPr>
      <t xml:space="preserve">통합</t>
    </r>
    <r>
      <rPr>
        <sz val="10"/>
        <color rgb="FF000000"/>
        <rFont val="맑은 고딕"/>
        <family val="0"/>
        <charset val="1"/>
      </rPr>
      <t xml:space="preserve">, </t>
    </r>
    <r>
      <rPr>
        <sz val="10"/>
        <color rgb="FF000000"/>
        <rFont val="WenQuanYi Zen Hei"/>
        <family val="2"/>
      </rPr>
      <t xml:space="preserve">그리고 </t>
    </r>
    <r>
      <rPr>
        <sz val="10"/>
        <color rgb="FF000000"/>
        <rFont val="맑은 고딕"/>
        <family val="0"/>
        <charset val="1"/>
      </rPr>
      <t xml:space="preserve">BIA </t>
    </r>
    <r>
      <rPr>
        <sz val="10"/>
        <color rgb="FF000000"/>
        <rFont val="WenQuanYi Zen Hei"/>
        <family val="2"/>
      </rPr>
      <t xml:space="preserve">결과에 대한 경영진 승인 확보를 포함한다</t>
    </r>
    <r>
      <rPr>
        <sz val="10"/>
        <color rgb="FF000000"/>
        <rFont val="맑은 고딕"/>
        <family val="0"/>
        <charset val="1"/>
      </rPr>
      <t xml:space="preserve">.</t>
    </r>
  </si>
  <si>
    <r>
      <rPr>
        <sz val="10"/>
        <color rgb="FF000000"/>
        <rFont val="맑은 고딕"/>
        <family val="0"/>
        <charset val="1"/>
      </rPr>
      <t xml:space="preserve">L06 (BIA </t>
    </r>
    <r>
      <rPr>
        <sz val="10"/>
        <color rgb="FF000000"/>
        <rFont val="WenQuanYi Zen Hei"/>
        <family val="2"/>
      </rPr>
      <t xml:space="preserve">결과의 </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</si>
  <si>
    <t xml:space="preserve">A38</t>
  </si>
  <si>
    <t xml:space="preserve">Resources necessary for executing strategies and BCMS processes are identified, allocated, and monitored within the resource management process.</t>
  </si>
  <si>
    <r>
      <rPr>
        <sz val="10"/>
        <color rgb="FF000000"/>
        <rFont val="WenQuanYi Zen Hei"/>
        <family val="2"/>
      </rPr>
      <t xml:space="preserve">전략과 </t>
    </r>
    <r>
      <rPr>
        <sz val="10"/>
        <color rgb="FF000000"/>
        <rFont val="맑은 고딕"/>
        <family val="0"/>
        <charset val="1"/>
      </rPr>
      <t xml:space="preserve">BCMS </t>
    </r>
    <r>
      <rPr>
        <sz val="10"/>
        <color rgb="FF000000"/>
        <rFont val="WenQuanYi Zen Hei"/>
        <family val="2"/>
      </rPr>
      <t xml:space="preserve">프로세스를 실행하는 데 필요한 자원은 자원관리 프로세스 안에서 식별</t>
    </r>
    <r>
      <rPr>
        <sz val="10"/>
        <color rgb="FF000000"/>
        <rFont val="맑은 고딕"/>
        <family val="0"/>
        <charset val="1"/>
      </rPr>
      <t xml:space="preserve">·</t>
    </r>
    <r>
      <rPr>
        <sz val="10"/>
        <color rgb="FF000000"/>
        <rFont val="WenQuanYi Zen Hei"/>
        <family val="2"/>
      </rPr>
      <t xml:space="preserve">배정</t>
    </r>
    <r>
      <rPr>
        <sz val="10"/>
        <color rgb="FF000000"/>
        <rFont val="맑은 고딕"/>
        <family val="0"/>
        <charset val="1"/>
      </rPr>
      <t xml:space="preserve">·</t>
    </r>
    <r>
      <rPr>
        <sz val="10"/>
        <color rgb="FF000000"/>
        <rFont val="WenQuanYi Zen Hei"/>
        <family val="2"/>
      </rPr>
      <t xml:space="preserve">모니터링된다</t>
    </r>
    <r>
      <rPr>
        <sz val="10"/>
        <color rgb="FF000000"/>
        <rFont val="맑은 고딕"/>
        <family val="0"/>
        <charset val="1"/>
      </rPr>
      <t xml:space="preserve">.</t>
    </r>
  </si>
  <si>
    <t xml:space="preserve">L10, L30</t>
  </si>
  <si>
    <t xml:space="preserve">A39</t>
  </si>
  <si>
    <t xml:space="preserve">outsourced services must be assessed, analyzed, and controlled regarding business continuity considerations</t>
  </si>
  <si>
    <r>
      <rPr>
        <sz val="10"/>
        <color rgb="FF000000"/>
        <rFont val="WenQuanYi Zen Hei"/>
        <family val="2"/>
      </rPr>
      <t xml:space="preserve">외주 서비스는 업무연속성 관점에서 평가</t>
    </r>
    <r>
      <rPr>
        <sz val="10"/>
        <color rgb="FF000000"/>
        <rFont val="맑은 고딕"/>
        <family val="0"/>
        <charset val="1"/>
      </rPr>
      <t xml:space="preserve">·</t>
    </r>
    <r>
      <rPr>
        <sz val="10"/>
        <color rgb="FF000000"/>
        <rFont val="WenQuanYi Zen Hei"/>
        <family val="2"/>
      </rPr>
      <t xml:space="preserve">분석</t>
    </r>
    <r>
      <rPr>
        <sz val="10"/>
        <color rgb="FF000000"/>
        <rFont val="맑은 고딕"/>
        <family val="0"/>
        <charset val="1"/>
      </rPr>
      <t xml:space="preserve">·</t>
    </r>
    <r>
      <rPr>
        <sz val="10"/>
        <color rgb="FF000000"/>
        <rFont val="WenQuanYi Zen Hei"/>
        <family val="2"/>
      </rPr>
      <t xml:space="preserve">통제되어야 한다</t>
    </r>
    <r>
      <rPr>
        <sz val="10"/>
        <color rgb="FF000000"/>
        <rFont val="맑은 고딕"/>
        <family val="0"/>
        <charset val="1"/>
      </rPr>
      <t xml:space="preserve">.</t>
    </r>
  </si>
  <si>
    <r>
      <rPr>
        <sz val="10"/>
        <color rgb="FF000000"/>
        <rFont val="맑은 고딕"/>
        <family val="0"/>
        <charset val="1"/>
      </rPr>
      <t xml:space="preserve">L05 (</t>
    </r>
    <r>
      <rPr>
        <sz val="10"/>
        <color rgb="FF000000"/>
        <rFont val="WenQuanYi Zen Hei"/>
        <family val="2"/>
      </rPr>
      <t xml:space="preserve">측정 지표화 근거</t>
    </r>
    <r>
      <rPr>
        <sz val="10"/>
        <color rgb="FF000000"/>
        <rFont val="맑은 고딕"/>
        <family val="0"/>
        <charset val="1"/>
      </rPr>
      <t xml:space="preserve">)</t>
    </r>
  </si>
  <si>
    <t xml:space="preserve">A40</t>
  </si>
  <si>
    <t xml:space="preserve">the consultation and communication process represents the general mode of communication even in the absence of such an event</t>
  </si>
  <si>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 프로세스는 그러한 사건이 없을 때에도 일반적인 커뮤니케이션 방식을 나타낸다</t>
    </r>
    <r>
      <rPr>
        <sz val="10"/>
        <color rgb="FF000000"/>
        <rFont val="맑은 고딕"/>
        <family val="0"/>
        <charset val="1"/>
      </rPr>
      <t xml:space="preserve">.</t>
    </r>
  </si>
  <si>
    <t xml:space="preserve">A41</t>
  </si>
  <si>
    <t xml:space="preserve">The process of controlling documented information involves identifying, creating, updating, and controlling information essential for the effectiveness of the BCMS.</t>
  </si>
  <si>
    <r>
      <rPr>
        <sz val="10"/>
        <color rgb="FF000000"/>
        <rFont val="WenQuanYi Zen Hei"/>
        <family val="2"/>
      </rPr>
      <t xml:space="preserve">문서화된 정보 통제 프로세스는 </t>
    </r>
    <r>
      <rPr>
        <sz val="10"/>
        <color rgb="FF000000"/>
        <rFont val="맑은 고딕"/>
        <family val="0"/>
        <charset val="1"/>
      </rPr>
      <t xml:space="preserve">BCMS</t>
    </r>
    <r>
      <rPr>
        <sz val="10"/>
        <color rgb="FF000000"/>
        <rFont val="WenQuanYi Zen Hei"/>
        <family val="2"/>
      </rPr>
      <t xml:space="preserve">의 효과성에 필수적인 정보를 식별</t>
    </r>
    <r>
      <rPr>
        <sz val="10"/>
        <color rgb="FF000000"/>
        <rFont val="맑은 고딕"/>
        <family val="0"/>
        <charset val="1"/>
      </rPr>
      <t xml:space="preserve">·</t>
    </r>
    <r>
      <rPr>
        <sz val="10"/>
        <color rgb="FF000000"/>
        <rFont val="WenQuanYi Zen Hei"/>
        <family val="2"/>
      </rPr>
      <t xml:space="preserve">작성</t>
    </r>
    <r>
      <rPr>
        <sz val="10"/>
        <color rgb="FF000000"/>
        <rFont val="맑은 고딕"/>
        <family val="0"/>
        <charset val="1"/>
      </rPr>
      <t xml:space="preserve">·</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통제하는 것을 포함한다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</si>
  <si>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갱신</t>
    </r>
    <r>
      <rPr>
        <sz val="10"/>
        <color rgb="FF000000"/>
        <rFont val="맑은 고딕"/>
        <family val="0"/>
        <charset val="1"/>
      </rPr>
      <t xml:space="preserve">" </t>
    </r>
    <r>
      <rPr>
        <sz val="10"/>
        <color rgb="FF000000"/>
        <rFont val="WenQuanYi Zen Hei"/>
        <family val="2"/>
      </rPr>
      <t xml:space="preserve">상태 정의의 근거 </t>
    </r>
    <r>
      <rPr>
        <sz val="10"/>
        <color rgb="FF000000"/>
        <rFont val="맑은 고딕"/>
        <family val="0"/>
        <charset val="1"/>
      </rPr>
      <t xml:space="preserve">/ L22</t>
    </r>
  </si>
  <si>
    <t xml:space="preserve">A42</t>
  </si>
  <si>
    <t xml:space="preserve">In essence, a process represents a cohesive set of interrelated or interacting activities to transform inputs into outputs</t>
  </si>
  <si>
    <r>
      <rPr>
        <sz val="10"/>
        <color rgb="FF000000"/>
        <rFont val="WenQuanYi Zen Hei"/>
        <family val="2"/>
      </rPr>
      <t xml:space="preserve">본질적으로 프로세스는 입력을 출력으로 전환하는</t>
    </r>
    <r>
      <rPr>
        <sz val="10"/>
        <color rgb="FF000000"/>
        <rFont val="맑은 고딕"/>
        <family val="0"/>
        <charset val="1"/>
      </rPr>
      <t xml:space="preserve">, </t>
    </r>
    <r>
      <rPr>
        <sz val="10"/>
        <color rgb="FF000000"/>
        <rFont val="WenQuanYi Zen Hei"/>
        <family val="2"/>
      </rPr>
      <t xml:space="preserve">상호 관련되거나 상호작용하는 활동의 응집된 집합이다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</si>
  <si>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프로세스</t>
    </r>
    <r>
      <rPr>
        <sz val="10"/>
        <color rgb="FF000000"/>
        <rFont val="맑은 고딕"/>
        <family val="0"/>
        <charset val="1"/>
      </rPr>
      <t xml:space="preserve">(</t>
    </r>
    <r>
      <rPr>
        <sz val="10"/>
        <color rgb="FF000000"/>
        <rFont val="WenQuanYi Zen Hei"/>
        <family val="2"/>
      </rPr>
      <t xml:space="preserve">객체</t>
    </r>
    <r>
      <rPr>
        <sz val="10"/>
        <color rgb="FF000000"/>
        <rFont val="맑은 고딕"/>
        <family val="0"/>
        <charset val="1"/>
      </rPr>
      <t xml:space="preserve">)" </t>
    </r>
    <r>
      <rPr>
        <sz val="10"/>
        <color rgb="FF000000"/>
        <rFont val="WenQuanYi Zen Hei"/>
        <family val="2"/>
      </rPr>
      <t xml:space="preserve">정의</t>
    </r>
  </si>
  <si>
    <t xml:space="preserve">A43</t>
  </si>
  <si>
    <t xml:space="preserve">11</t>
  </si>
  <si>
    <t xml:space="preserve">§4.2</t>
  </si>
  <si>
    <t xml:space="preserve">According to [32,33], the 80% threshold for consensus is commonly used and generally perceived as fair.</t>
  </si>
  <si>
    <r>
      <rPr>
        <sz val="10"/>
        <color rgb="FF000000"/>
        <rFont val="맑은 고딕"/>
        <family val="0"/>
        <charset val="1"/>
      </rPr>
      <t xml:space="preserve">[32,33]</t>
    </r>
    <r>
      <rPr>
        <sz val="10"/>
        <color rgb="FF000000"/>
        <rFont val="WenQuanYi Zen Hei"/>
        <family val="2"/>
      </rPr>
      <t xml:space="preserve">에 따르면 합의의 </t>
    </r>
    <r>
      <rPr>
        <sz val="10"/>
        <color rgb="FF000000"/>
        <rFont val="맑은 고딕"/>
        <family val="0"/>
        <charset val="1"/>
      </rPr>
      <t xml:space="preserve">80% </t>
    </r>
    <r>
      <rPr>
        <sz val="10"/>
        <color rgb="FF000000"/>
        <rFont val="WenQuanYi Zen Hei"/>
        <family val="2"/>
      </rPr>
      <t xml:space="preserve">기준은 흔히 사용되며 일반적으로 공정하다고 인식된다</t>
    </r>
    <r>
      <rPr>
        <sz val="10"/>
        <color rgb="FF000000"/>
        <rFont val="맑은 고딕"/>
        <family val="0"/>
        <charset val="1"/>
      </rPr>
      <t xml:space="preserve">.</t>
    </r>
  </si>
  <si>
    <r>
      <rPr>
        <sz val="10"/>
        <color rgb="FF000000"/>
        <rFont val="WenQuanYi Zen Hei"/>
        <family val="2"/>
      </rPr>
      <t xml:space="preserve">검증 계획의 </t>
    </r>
    <r>
      <rPr>
        <sz val="10"/>
        <color rgb="FF000000"/>
        <rFont val="맑은 고딕"/>
        <family val="0"/>
        <charset val="1"/>
      </rPr>
      <t xml:space="preserve">80% </t>
    </r>
    <r>
      <rPr>
        <sz val="10"/>
        <color rgb="FF000000"/>
        <rFont val="WenQuanYi Zen Hei"/>
        <family val="2"/>
      </rPr>
      <t xml:space="preserve">합의 기준</t>
    </r>
  </si>
  <si>
    <t xml:space="preserve">A44</t>
  </si>
  <si>
    <t xml:space="preserve">Category 1 processes represent those clearly identified as BCMS core processes by 80% or more of the experts. Category 2 processes were not clearly identified as BCMS core processes, recognized by 20% to 80% of the experts. Category 3 processes were identified as not being BCMS core processes, recognized by less than 20% of the experts.</t>
  </si>
  <si>
    <r>
      <rPr>
        <sz val="10"/>
        <color rgb="FF000000"/>
        <rFont val="WenQuanYi Zen Hei"/>
        <family val="2"/>
      </rPr>
      <t xml:space="preserve">범주 </t>
    </r>
    <r>
      <rPr>
        <sz val="10"/>
        <color rgb="FF000000"/>
        <rFont val="맑은 고딕"/>
        <family val="0"/>
        <charset val="1"/>
      </rPr>
      <t xml:space="preserve">1</t>
    </r>
    <r>
      <rPr>
        <sz val="10"/>
        <color rgb="FF000000"/>
        <rFont val="WenQuanYi Zen Hei"/>
        <family val="2"/>
      </rPr>
      <t xml:space="preserve">은 전문가 </t>
    </r>
    <r>
      <rPr>
        <sz val="10"/>
        <color rgb="FF000000"/>
        <rFont val="맑은 고딕"/>
        <family val="0"/>
        <charset val="1"/>
      </rPr>
      <t xml:space="preserve">80% </t>
    </r>
    <r>
      <rPr>
        <sz val="10"/>
        <color rgb="FF000000"/>
        <rFont val="WenQuanYi Zen Hei"/>
        <family val="2"/>
      </rPr>
      <t xml:space="preserve">이상이 </t>
    </r>
    <r>
      <rPr>
        <sz val="10"/>
        <color rgb="FF000000"/>
        <rFont val="맑은 고딕"/>
        <family val="0"/>
        <charset val="1"/>
      </rPr>
      <t xml:space="preserve">BCMS </t>
    </r>
    <r>
      <rPr>
        <sz val="10"/>
        <color rgb="FF000000"/>
        <rFont val="WenQuanYi Zen Hei"/>
        <family val="2"/>
      </rPr>
      <t xml:space="preserve">핵심 프로세스로 명확히 식별한 것</t>
    </r>
    <r>
      <rPr>
        <sz val="10"/>
        <color rgb="FF000000"/>
        <rFont val="맑은 고딕"/>
        <family val="0"/>
        <charset val="1"/>
      </rPr>
      <t xml:space="preserve">, </t>
    </r>
    <r>
      <rPr>
        <sz val="10"/>
        <color rgb="FF000000"/>
        <rFont val="WenQuanYi Zen Hei"/>
        <family val="2"/>
      </rPr>
      <t xml:space="preserve">범주 </t>
    </r>
    <r>
      <rPr>
        <sz val="10"/>
        <color rgb="FF000000"/>
        <rFont val="맑은 고딕"/>
        <family val="0"/>
        <charset val="1"/>
      </rPr>
      <t xml:space="preserve">2</t>
    </r>
    <r>
      <rPr>
        <sz val="10"/>
        <color rgb="FF000000"/>
        <rFont val="WenQuanYi Zen Hei"/>
        <family val="2"/>
      </rPr>
      <t xml:space="preserve">는 </t>
    </r>
    <r>
      <rPr>
        <sz val="10"/>
        <color rgb="FF000000"/>
        <rFont val="맑은 고딕"/>
        <family val="0"/>
        <charset val="1"/>
      </rPr>
      <t xml:space="preserve">20~80%</t>
    </r>
    <r>
      <rPr>
        <sz val="10"/>
        <color rgb="FF000000"/>
        <rFont val="WenQuanYi Zen Hei"/>
        <family val="2"/>
      </rPr>
      <t xml:space="preserve">가 인식한 것</t>
    </r>
    <r>
      <rPr>
        <sz val="10"/>
        <color rgb="FF000000"/>
        <rFont val="맑은 고딕"/>
        <family val="0"/>
        <charset val="1"/>
      </rPr>
      <t xml:space="preserve">, </t>
    </r>
    <r>
      <rPr>
        <sz val="10"/>
        <color rgb="FF000000"/>
        <rFont val="WenQuanYi Zen Hei"/>
        <family val="2"/>
      </rPr>
      <t xml:space="preserve">범주 </t>
    </r>
    <r>
      <rPr>
        <sz val="10"/>
        <color rgb="FF000000"/>
        <rFont val="맑은 고딕"/>
        <family val="0"/>
        <charset val="1"/>
      </rPr>
      <t xml:space="preserve">3</t>
    </r>
    <r>
      <rPr>
        <sz val="10"/>
        <color rgb="FF000000"/>
        <rFont val="WenQuanYi Zen Hei"/>
        <family val="2"/>
      </rPr>
      <t xml:space="preserve">은 </t>
    </r>
    <r>
      <rPr>
        <sz val="10"/>
        <color rgb="FF000000"/>
        <rFont val="맑은 고딕"/>
        <family val="0"/>
        <charset val="1"/>
      </rPr>
      <t xml:space="preserve">20% </t>
    </r>
    <r>
      <rPr>
        <sz val="10"/>
        <color rgb="FF000000"/>
        <rFont val="WenQuanYi Zen Hei"/>
        <family val="2"/>
      </rPr>
      <t xml:space="preserve">미만이 인식한 것이다</t>
    </r>
    <r>
      <rPr>
        <sz val="10"/>
        <color rgb="FF000000"/>
        <rFont val="맑은 고딕"/>
        <family val="0"/>
        <charset val="1"/>
      </rPr>
      <t xml:space="preserve">.</t>
    </r>
  </si>
  <si>
    <r>
      <rPr>
        <sz val="10"/>
        <color rgb="FF000000"/>
        <rFont val="WenQuanYi Zen Hei"/>
        <family val="2"/>
      </rPr>
      <t xml:space="preserve">검증 계획의 채택</t>
    </r>
    <r>
      <rPr>
        <sz val="10"/>
        <color rgb="FF000000"/>
        <rFont val="맑은 고딕"/>
        <family val="0"/>
        <charset val="1"/>
      </rPr>
      <t xml:space="preserve">/</t>
    </r>
    <r>
      <rPr>
        <sz val="10"/>
        <color rgb="FF000000"/>
        <rFont val="WenQuanYi Zen Hei"/>
        <family val="2"/>
      </rPr>
      <t xml:space="preserve">토론</t>
    </r>
    <r>
      <rPr>
        <sz val="10"/>
        <color rgb="FF000000"/>
        <rFont val="맑은 고딕"/>
        <family val="0"/>
        <charset val="1"/>
      </rPr>
      <t xml:space="preserve">/</t>
    </r>
    <r>
      <rPr>
        <sz val="10"/>
        <color rgb="FF000000"/>
        <rFont val="WenQuanYi Zen Hei"/>
        <family val="2"/>
      </rPr>
      <t xml:space="preserve">삭제 </t>
    </r>
    <r>
      <rPr>
        <sz val="10"/>
        <color rgb="FF000000"/>
        <rFont val="맑은 고딕"/>
        <family val="0"/>
        <charset val="1"/>
      </rPr>
      <t xml:space="preserve">3</t>
    </r>
    <r>
      <rPr>
        <sz val="10"/>
        <color rgb="FF000000"/>
        <rFont val="WenQuanYi Zen Hei"/>
        <family val="2"/>
      </rPr>
      <t xml:space="preserve">단계 판정 틀</t>
    </r>
  </si>
  <si>
    <t xml:space="preserve">A45</t>
  </si>
  <si>
    <t xml:space="preserve">12</t>
  </si>
  <si>
    <t xml:space="preserve">even if no consensus was reached within the interviewed experts, the authors assert the presence of both processes as core components of the BCMS, based on their explicit definition in [2,21].</t>
  </si>
  <si>
    <r>
      <rPr>
        <sz val="10"/>
        <color rgb="FF000000"/>
        <rFont val="WenQuanYi Zen Hei"/>
        <family val="2"/>
      </rPr>
      <t xml:space="preserve">전문가 합의에 이르지 못했더라도</t>
    </r>
    <r>
      <rPr>
        <sz val="10"/>
        <color rgb="FF000000"/>
        <rFont val="맑은 고딕"/>
        <family val="0"/>
        <charset val="1"/>
      </rPr>
      <t xml:space="preserve">, </t>
    </r>
    <r>
      <rPr>
        <sz val="10"/>
        <color rgb="FF000000"/>
        <rFont val="WenQuanYi Zen Hei"/>
        <family val="2"/>
      </rPr>
      <t xml:space="preserve">저자들은 </t>
    </r>
    <r>
      <rPr>
        <sz val="10"/>
        <color rgb="FF000000"/>
        <rFont val="맑은 고딕"/>
        <family val="0"/>
        <charset val="1"/>
      </rPr>
      <t xml:space="preserve">ISO 22301 </t>
    </r>
    <r>
      <rPr>
        <sz val="10"/>
        <color rgb="FF000000"/>
        <rFont val="WenQuanYi Zen Hei"/>
        <family val="2"/>
      </rPr>
      <t xml:space="preserve">등의 명시적 정의에 근거해 두 프로세스를 </t>
    </r>
    <r>
      <rPr>
        <sz val="10"/>
        <color rgb="FF000000"/>
        <rFont val="맑은 고딕"/>
        <family val="0"/>
        <charset val="1"/>
      </rPr>
      <t xml:space="preserve">BCMS</t>
    </r>
    <r>
      <rPr>
        <sz val="10"/>
        <color rgb="FF000000"/>
        <rFont val="WenQuanYi Zen Hei"/>
        <family val="2"/>
      </rPr>
      <t xml:space="preserve">의 핵심 구성요소로 본다</t>
    </r>
    <r>
      <rPr>
        <sz val="10"/>
        <color rgb="FF000000"/>
        <rFont val="맑은 고딕"/>
        <family val="0"/>
        <charset val="1"/>
      </rPr>
      <t xml:space="preserve">.</t>
    </r>
  </si>
  <si>
    <t xml:space="preserve">합의 미달 프로세스도 표준 근거로 유지한 선례</t>
  </si>
  <si>
    <t xml:space="preserve">A46</t>
  </si>
  <si>
    <t xml:space="preserve">This is realized within the continual improvement process.</t>
  </si>
  <si>
    <r>
      <rPr>
        <sz val="10"/>
        <color rgb="FF000000"/>
        <rFont val="WenQuanYi Zen Hei"/>
        <family val="2"/>
      </rPr>
      <t xml:space="preserve">이는 지속적 개선 프로세스 안에서 실현된다</t>
    </r>
    <r>
      <rPr>
        <sz val="10"/>
        <color rgb="FF000000"/>
        <rFont val="맑은 고딕"/>
        <family val="0"/>
        <charset val="1"/>
      </rPr>
      <t xml:space="preserve">.</t>
    </r>
  </si>
  <si>
    <r>
      <rPr>
        <sz val="10"/>
        <color rgb="FF000000"/>
        <rFont val="맑은 고딕"/>
        <family val="0"/>
        <charset val="1"/>
      </rPr>
      <t xml:space="preserve">L18, L19, L20 (</t>
    </r>
    <r>
      <rPr>
        <sz val="10"/>
        <color rgb="FF000000"/>
        <rFont val="WenQuanYi Zen Hei"/>
        <family val="2"/>
      </rPr>
      <t xml:space="preserve">도착 프로세스</t>
    </r>
    <r>
      <rPr>
        <sz val="10"/>
        <color rgb="FF000000"/>
        <rFont val="맑은 고딕"/>
        <family val="0"/>
        <charset val="1"/>
      </rPr>
      <t xml:space="preserve">)</t>
    </r>
  </si>
  <si>
    <t xml:space="preserve">A47</t>
  </si>
  <si>
    <t xml:space="preserve">It encompasses the communication of risks and reports concerning BC management.</t>
  </si>
  <si>
    <r>
      <rPr>
        <sz val="10"/>
        <color rgb="FF000000"/>
        <rFont val="맑은 고딕"/>
        <family val="0"/>
        <charset val="1"/>
      </rPr>
      <t xml:space="preserve">(</t>
    </r>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 프로세스는</t>
    </r>
    <r>
      <rPr>
        <sz val="10"/>
        <color rgb="FF000000"/>
        <rFont val="맑은 고딕"/>
        <family val="0"/>
        <charset val="1"/>
      </rPr>
      <t xml:space="preserve">) </t>
    </r>
    <r>
      <rPr>
        <sz val="10"/>
        <color rgb="FF000000"/>
        <rFont val="WenQuanYi Zen Hei"/>
        <family val="2"/>
      </rPr>
      <t xml:space="preserve">리스크와 </t>
    </r>
    <r>
      <rPr>
        <sz val="10"/>
        <color rgb="FF000000"/>
        <rFont val="맑은 고딕"/>
        <family val="0"/>
        <charset val="1"/>
      </rPr>
      <t xml:space="preserve">BC </t>
    </r>
    <r>
      <rPr>
        <sz val="10"/>
        <color rgb="FF000000"/>
        <rFont val="WenQuanYi Zen Hei"/>
        <family val="2"/>
      </rPr>
      <t xml:space="preserve">관리에 관한 보고의 커뮤니케이션을 포함한다</t>
    </r>
    <r>
      <rPr>
        <sz val="10"/>
        <color rgb="FF000000"/>
        <rFont val="맑은 고딕"/>
        <family val="0"/>
        <charset val="1"/>
      </rPr>
      <t xml:space="preserve">.</t>
    </r>
  </si>
  <si>
    <r>
      <rPr>
        <sz val="10"/>
        <color rgb="FF000000"/>
        <rFont val="맑은 고딕"/>
        <family val="0"/>
        <charset val="1"/>
      </rPr>
      <t xml:space="preserve">L28 ("These reports"</t>
    </r>
    <r>
      <rPr>
        <sz val="10"/>
        <color rgb="FF000000"/>
        <rFont val="WenQuanYi Zen Hei"/>
        <family val="2"/>
      </rPr>
      <t xml:space="preserve">의 지시 대상</t>
    </r>
    <r>
      <rPr>
        <sz val="10"/>
        <color rgb="FF000000"/>
        <rFont val="맑은 고딕"/>
        <family val="0"/>
        <charset val="1"/>
      </rPr>
      <t xml:space="preserve">)</t>
    </r>
  </si>
  <si>
    <t xml:space="preserve">A48</t>
  </si>
  <si>
    <t xml:space="preserve">§4.1</t>
  </si>
  <si>
    <t xml:space="preserve">Therefore, the BCMS planning process is categorized as a project.</t>
  </si>
  <si>
    <r>
      <rPr>
        <sz val="10"/>
        <color rgb="FF000000"/>
        <rFont val="WenQuanYi Zen Hei"/>
        <family val="2"/>
      </rPr>
      <t xml:space="preserve">따라서 </t>
    </r>
    <r>
      <rPr>
        <sz val="10"/>
        <color rgb="FF000000"/>
        <rFont val="맑은 고딕"/>
        <family val="0"/>
        <charset val="1"/>
      </rPr>
      <t xml:space="preserve">BCMS </t>
    </r>
    <r>
      <rPr>
        <sz val="10"/>
        <color rgb="FF000000"/>
        <rFont val="WenQuanYi Zen Hei"/>
        <family val="2"/>
      </rPr>
      <t xml:space="preserve">계획 프로세스는 프로젝트로 분류된다</t>
    </r>
    <r>
      <rPr>
        <sz val="10"/>
        <color rgb="FF000000"/>
        <rFont val="맑은 고딕"/>
        <family val="0"/>
        <charset val="1"/>
      </rPr>
      <t xml:space="preserve">.</t>
    </r>
  </si>
  <si>
    <r>
      <rPr>
        <sz val="10"/>
        <color rgb="FF000000"/>
        <rFont val="WenQuanYi Zen Hei"/>
        <family val="2"/>
      </rPr>
      <t xml:space="preserve">객체 </t>
    </r>
    <r>
      <rPr>
        <sz val="10"/>
        <color rgb="FF000000"/>
        <rFont val="맑은 고딕"/>
        <family val="0"/>
        <charset val="1"/>
      </rPr>
      <t xml:space="preserve">22</t>
    </r>
    <r>
      <rPr>
        <sz val="10"/>
        <color rgb="FF000000"/>
        <rFont val="WenQuanYi Zen Hei"/>
        <family val="2"/>
      </rPr>
      <t xml:space="preserve">개에서 </t>
    </r>
    <r>
      <rPr>
        <sz val="10"/>
        <color rgb="FF000000"/>
        <rFont val="맑은 고딕"/>
        <family val="0"/>
        <charset val="1"/>
      </rPr>
      <t xml:space="preserve">BCMS </t>
    </r>
    <r>
      <rPr>
        <sz val="10"/>
        <color rgb="FF000000"/>
        <rFont val="WenQuanYi Zen Hei"/>
        <family val="2"/>
      </rPr>
      <t xml:space="preserve">계획을 제외한 근거</t>
    </r>
  </si>
  <si>
    <t xml:space="preserve">B01</t>
  </si>
  <si>
    <t xml:space="preserve">Białas</t>
  </si>
  <si>
    <t xml:space="preserve">1</t>
  </si>
  <si>
    <t xml:space="preserve">BCMS encompasses many different processes of different character, interrelated in a complex way.</t>
  </si>
  <si>
    <r>
      <rPr>
        <sz val="10"/>
        <color rgb="FF000000"/>
        <rFont val="맑은 고딕"/>
        <family val="0"/>
        <charset val="1"/>
      </rPr>
      <t xml:space="preserve">BCMS</t>
    </r>
    <r>
      <rPr>
        <sz val="10"/>
        <color rgb="FF000000"/>
        <rFont val="WenQuanYi Zen Hei"/>
        <family val="2"/>
      </rPr>
      <t xml:space="preserve">는 서로 다른 성격의</t>
    </r>
    <r>
      <rPr>
        <sz val="10"/>
        <color rgb="FF000000"/>
        <rFont val="맑은 고딕"/>
        <family val="0"/>
        <charset val="1"/>
      </rPr>
      <t xml:space="preserve">, </t>
    </r>
    <r>
      <rPr>
        <sz val="10"/>
        <color rgb="FF000000"/>
        <rFont val="WenQuanYi Zen Hei"/>
        <family val="2"/>
      </rPr>
      <t xml:space="preserve">복잡하게 상호 관련된 많은 프로세스를 포괄한다</t>
    </r>
    <r>
      <rPr>
        <sz val="10"/>
        <color rgb="FF000000"/>
        <rFont val="맑은 고딕"/>
        <family val="0"/>
        <charset val="1"/>
      </rPr>
      <t xml:space="preserve">.</t>
    </r>
  </si>
  <si>
    <t xml:space="preserve">연계성 정의의 근거</t>
  </si>
  <si>
    <t xml:space="preserve">B02</t>
  </si>
  <si>
    <t xml:space="preserve">The ontology domain questions that the ontology related knowledge base is able to answer are called competency questions</t>
  </si>
  <si>
    <r>
      <rPr>
        <sz val="10"/>
        <color rgb="FF000000"/>
        <rFont val="WenQuanYi Zen Hei"/>
        <family val="2"/>
      </rPr>
      <t xml:space="preserve">온톨로지 관련 지식베이스가 답할 수 있는 온톨로지 영역의 질문을 </t>
    </r>
    <r>
      <rPr>
        <sz val="10"/>
        <color rgb="FF000000"/>
        <rFont val="맑은 고딕"/>
        <family val="0"/>
        <charset val="1"/>
      </rPr>
      <t xml:space="preserve">competency question</t>
    </r>
    <r>
      <rPr>
        <sz val="10"/>
        <color rgb="FF000000"/>
        <rFont val="WenQuanYi Zen Hei"/>
        <family val="2"/>
      </rPr>
      <t xml:space="preserve">이라 한다</t>
    </r>
    <r>
      <rPr>
        <sz val="10"/>
        <color rgb="FF000000"/>
        <rFont val="맑은 고딕"/>
        <family val="0"/>
        <charset val="1"/>
      </rPr>
      <t xml:space="preserve">.</t>
    </r>
  </si>
  <si>
    <r>
      <rPr>
        <sz val="10"/>
        <color rgb="FF000000"/>
        <rFont val="맑은 고딕"/>
        <family val="0"/>
        <charset val="1"/>
      </rPr>
      <t xml:space="preserve">competency question </t>
    </r>
    <r>
      <rPr>
        <sz val="10"/>
        <color rgb="FF000000"/>
        <rFont val="WenQuanYi Zen Hei"/>
        <family val="2"/>
      </rPr>
      <t xml:space="preserve">정의</t>
    </r>
    <r>
      <rPr>
        <sz val="10"/>
        <color rgb="FF000000"/>
        <rFont val="맑은 고딕"/>
        <family val="0"/>
        <charset val="1"/>
      </rPr>
      <t xml:space="preserve">(</t>
    </r>
    <r>
      <rPr>
        <sz val="10"/>
        <color rgb="FF000000"/>
        <rFont val="WenQuanYi Zen Hei"/>
        <family val="2"/>
      </rPr>
      <t xml:space="preserve">연결 시트 </t>
    </r>
    <r>
      <rPr>
        <sz val="10"/>
        <color rgb="FF000000"/>
        <rFont val="맑은 고딕"/>
        <family val="0"/>
        <charset val="1"/>
      </rPr>
      <t xml:space="preserve">CQ </t>
    </r>
    <r>
      <rPr>
        <sz val="10"/>
        <color rgb="FF000000"/>
        <rFont val="WenQuanYi Zen Hei"/>
        <family val="2"/>
      </rPr>
      <t xml:space="preserve">열</t>
    </r>
    <r>
      <rPr>
        <sz val="10"/>
        <color rgb="FF000000"/>
        <rFont val="맑은 고딕"/>
        <family val="0"/>
        <charset val="1"/>
      </rPr>
      <t xml:space="preserve">)</t>
    </r>
  </si>
  <si>
    <t xml:space="preserve">B03</t>
  </si>
  <si>
    <t xml:space="preserve">The answers define the scope of the ontology.</t>
  </si>
  <si>
    <r>
      <rPr>
        <sz val="10"/>
        <color rgb="FF000000"/>
        <rFont val="WenQuanYi Zen Hei"/>
        <family val="2"/>
      </rPr>
      <t xml:space="preserve">그 답이 온톨로지의 범위를 정의한다</t>
    </r>
    <r>
      <rPr>
        <sz val="10"/>
        <color rgb="FF000000"/>
        <rFont val="맑은 고딕"/>
        <family val="0"/>
        <charset val="1"/>
      </rPr>
      <t xml:space="preserve">.</t>
    </r>
  </si>
  <si>
    <r>
      <rPr>
        <sz val="10"/>
        <color rgb="FF000000"/>
        <rFont val="맑은 고딕"/>
        <family val="0"/>
        <charset val="1"/>
      </rPr>
      <t xml:space="preserve">CQ</t>
    </r>
    <r>
      <rPr>
        <sz val="10"/>
        <color rgb="FF000000"/>
        <rFont val="WenQuanYi Zen Hei"/>
        <family val="2"/>
      </rPr>
      <t xml:space="preserve">로 측정 범위를 정하는 방식</t>
    </r>
  </si>
  <si>
    <t xml:space="preserve">B04</t>
  </si>
  <si>
    <t xml:space="preserve">§2.5</t>
  </si>
  <si>
    <t xml:space="preserve">i.e. relationships between an individual member of the given class (the object) and other individuals</t>
  </si>
  <si>
    <r>
      <rPr>
        <sz val="10"/>
        <color rgb="FF000000"/>
        <rFont val="WenQuanYi Zen Hei"/>
        <family val="2"/>
      </rPr>
      <t xml:space="preserve">즉</t>
    </r>
    <r>
      <rPr>
        <sz val="10"/>
        <color rgb="FF000000"/>
        <rFont val="맑은 고딕"/>
        <family val="0"/>
        <charset val="1"/>
      </rPr>
      <t xml:space="preserve">, </t>
    </r>
    <r>
      <rPr>
        <sz val="10"/>
        <color rgb="FF000000"/>
        <rFont val="WenQuanYi Zen Hei"/>
        <family val="2"/>
      </rPr>
      <t xml:space="preserve">해당 클래스의 개체</t>
    </r>
    <r>
      <rPr>
        <sz val="10"/>
        <color rgb="FF000000"/>
        <rFont val="맑은 고딕"/>
        <family val="0"/>
        <charset val="1"/>
      </rPr>
      <t xml:space="preserve">(</t>
    </r>
    <r>
      <rPr>
        <sz val="10"/>
        <color rgb="FF000000"/>
        <rFont val="WenQuanYi Zen Hei"/>
        <family val="2"/>
      </rPr>
      <t xml:space="preserve">객체</t>
    </r>
    <r>
      <rPr>
        <sz val="10"/>
        <color rgb="FF000000"/>
        <rFont val="맑은 고딕"/>
        <family val="0"/>
        <charset val="1"/>
      </rPr>
      <t xml:space="preserve">)</t>
    </r>
    <r>
      <rPr>
        <sz val="10"/>
        <color rgb="FF000000"/>
        <rFont val="WenQuanYi Zen Hei"/>
        <family val="2"/>
      </rPr>
      <t xml:space="preserve">와 다른 개체들 사이의 관계</t>
    </r>
    <r>
      <rPr>
        <sz val="10"/>
        <color rgb="FF000000"/>
        <rFont val="맑은 고딕"/>
        <family val="0"/>
        <charset val="1"/>
      </rPr>
      <t xml:space="preserve">.</t>
    </r>
  </si>
  <si>
    <r>
      <rPr>
        <sz val="10"/>
        <color rgb="FF000000"/>
        <rFont val="맑은 고딕"/>
        <family val="0"/>
        <charset val="1"/>
      </rPr>
      <t xml:space="preserve">object-type slot </t>
    </r>
    <r>
      <rPr>
        <sz val="10"/>
        <color rgb="FF000000"/>
        <rFont val="WenQuanYi Zen Hei"/>
        <family val="2"/>
      </rPr>
      <t xml:space="preserve">정의</t>
    </r>
    <r>
      <rPr>
        <sz val="10"/>
        <color rgb="FF000000"/>
        <rFont val="맑은 고딕"/>
        <family val="0"/>
        <charset val="1"/>
      </rPr>
      <t xml:space="preserve">(</t>
    </r>
    <r>
      <rPr>
        <sz val="10"/>
        <color rgb="FF000000"/>
        <rFont val="WenQuanYi Zen Hei"/>
        <family val="2"/>
      </rPr>
      <t xml:space="preserve">연결 </t>
    </r>
    <r>
      <rPr>
        <sz val="10"/>
        <color rgb="FF000000"/>
        <rFont val="맑은 고딕"/>
        <family val="0"/>
        <charset val="1"/>
      </rPr>
      <t xml:space="preserve">= </t>
    </r>
    <r>
      <rPr>
        <sz val="10"/>
        <color rgb="FF000000"/>
        <rFont val="WenQuanYi Zen Hei"/>
        <family val="2"/>
      </rPr>
      <t xml:space="preserve">관계</t>
    </r>
    <r>
      <rPr>
        <sz val="10"/>
        <color rgb="FF000000"/>
        <rFont val="맑은 고딕"/>
        <family val="0"/>
        <charset val="1"/>
      </rPr>
      <t xml:space="preserve">)</t>
    </r>
  </si>
  <si>
    <t xml:space="preserve">B05</t>
  </si>
  <si>
    <t xml:space="preserve">An instance-type slot is attached to the classes which are called a domain. The classes indicated by this slot are called a range.</t>
  </si>
  <si>
    <r>
      <rPr>
        <sz val="10"/>
        <color rgb="FF000000"/>
        <rFont val="맑은 고딕"/>
        <family val="0"/>
        <charset val="1"/>
      </rPr>
      <t xml:space="preserve">instance-type slot</t>
    </r>
    <r>
      <rPr>
        <sz val="10"/>
        <color rgb="FF000000"/>
        <rFont val="WenQuanYi Zen Hei"/>
        <family val="2"/>
      </rPr>
      <t xml:space="preserve">이 부착되는 클래스를 </t>
    </r>
    <r>
      <rPr>
        <sz val="10"/>
        <color rgb="FF000000"/>
        <rFont val="맑은 고딕"/>
        <family val="0"/>
        <charset val="1"/>
      </rPr>
      <t xml:space="preserve">domain</t>
    </r>
    <r>
      <rPr>
        <sz val="10"/>
        <color rgb="FF000000"/>
        <rFont val="WenQuanYi Zen Hei"/>
        <family val="2"/>
      </rPr>
      <t xml:space="preserve">이라 하고</t>
    </r>
    <r>
      <rPr>
        <sz val="10"/>
        <color rgb="FF000000"/>
        <rFont val="맑은 고딕"/>
        <family val="0"/>
        <charset val="1"/>
      </rPr>
      <t xml:space="preserve">, </t>
    </r>
    <r>
      <rPr>
        <sz val="10"/>
        <color rgb="FF000000"/>
        <rFont val="WenQuanYi Zen Hei"/>
        <family val="2"/>
      </rPr>
      <t xml:space="preserve">이 </t>
    </r>
    <r>
      <rPr>
        <sz val="10"/>
        <color rgb="FF000000"/>
        <rFont val="맑은 고딕"/>
        <family val="0"/>
        <charset val="1"/>
      </rPr>
      <t xml:space="preserve">slot</t>
    </r>
    <r>
      <rPr>
        <sz val="10"/>
        <color rgb="FF000000"/>
        <rFont val="WenQuanYi Zen Hei"/>
        <family val="2"/>
      </rPr>
      <t xml:space="preserve">이 가리키는 클래스를 </t>
    </r>
    <r>
      <rPr>
        <sz val="10"/>
        <color rgb="FF000000"/>
        <rFont val="맑은 고딕"/>
        <family val="0"/>
        <charset val="1"/>
      </rPr>
      <t xml:space="preserve">range</t>
    </r>
    <r>
      <rPr>
        <sz val="10"/>
        <color rgb="FF000000"/>
        <rFont val="WenQuanYi Zen Hei"/>
        <family val="2"/>
      </rPr>
      <t xml:space="preserve">라 한다</t>
    </r>
    <r>
      <rPr>
        <sz val="10"/>
        <color rgb="FF000000"/>
        <rFont val="맑은 고딕"/>
        <family val="0"/>
        <charset val="1"/>
      </rPr>
      <t xml:space="preserve">.</t>
    </r>
  </si>
  <si>
    <r>
      <rPr>
        <sz val="10"/>
        <color rgb="FF000000"/>
        <rFont val="WenQuanYi Zen Hei"/>
        <family val="2"/>
      </rPr>
      <t xml:space="preserve">연결의 출발</t>
    </r>
    <r>
      <rPr>
        <sz val="10"/>
        <color rgb="FF000000"/>
        <rFont val="맑은 고딕"/>
        <family val="0"/>
        <charset val="1"/>
      </rPr>
      <t xml:space="preserve">(domain)</t>
    </r>
    <r>
      <rPr>
        <sz val="10"/>
        <color rgb="FF000000"/>
        <rFont val="WenQuanYi Zen Hei"/>
        <family val="2"/>
      </rPr>
      <t xml:space="preserve">과 도착</t>
    </r>
    <r>
      <rPr>
        <sz val="10"/>
        <color rgb="FF000000"/>
        <rFont val="맑은 고딕"/>
        <family val="0"/>
        <charset val="1"/>
      </rPr>
      <t xml:space="preserve">(range) </t>
    </r>
    <r>
      <rPr>
        <sz val="10"/>
        <color rgb="FF000000"/>
        <rFont val="WenQuanYi Zen Hei"/>
        <family val="2"/>
      </rPr>
      <t xml:space="preserve">정의</t>
    </r>
  </si>
  <si>
    <t xml:space="preserve">B06</t>
  </si>
  <si>
    <t xml:space="preserve">i.e. intrinsic or extrinsic properties of the individuals of the most elementary classes</t>
  </si>
  <si>
    <r>
      <rPr>
        <sz val="10"/>
        <color rgb="FF000000"/>
        <rFont val="WenQuanYi Zen Hei"/>
        <family val="2"/>
      </rPr>
      <t xml:space="preserve">즉</t>
    </r>
    <r>
      <rPr>
        <sz val="10"/>
        <color rgb="FF000000"/>
        <rFont val="맑은 고딕"/>
        <family val="0"/>
        <charset val="1"/>
      </rPr>
      <t xml:space="preserve">, </t>
    </r>
    <r>
      <rPr>
        <sz val="10"/>
        <color rgb="FF000000"/>
        <rFont val="WenQuanYi Zen Hei"/>
        <family val="2"/>
      </rPr>
      <t xml:space="preserve">가장 기초적인 클래스의 개체가 지니는 내재적</t>
    </r>
    <r>
      <rPr>
        <sz val="10"/>
        <color rgb="FF000000"/>
        <rFont val="맑은 고딕"/>
        <family val="0"/>
        <charset val="1"/>
      </rPr>
      <t xml:space="preserve">·</t>
    </r>
    <r>
      <rPr>
        <sz val="10"/>
        <color rgb="FF000000"/>
        <rFont val="WenQuanYi Zen Hei"/>
        <family val="2"/>
      </rPr>
      <t xml:space="preserve">외재적 속성</t>
    </r>
    <r>
      <rPr>
        <sz val="10"/>
        <color rgb="FF000000"/>
        <rFont val="맑은 고딕"/>
        <family val="0"/>
        <charset val="1"/>
      </rPr>
      <t xml:space="preserve">.</t>
    </r>
  </si>
  <si>
    <r>
      <rPr>
        <sz val="10"/>
        <color rgb="FF000000"/>
        <rFont val="맑은 고딕"/>
        <family val="0"/>
        <charset val="1"/>
      </rPr>
      <t xml:space="preserve">data-type slot </t>
    </r>
    <r>
      <rPr>
        <sz val="10"/>
        <color rgb="FF000000"/>
        <rFont val="WenQuanYi Zen Hei"/>
        <family val="2"/>
      </rPr>
      <t xml:space="preserve">정의</t>
    </r>
    <r>
      <rPr>
        <sz val="10"/>
        <color rgb="FF000000"/>
        <rFont val="맑은 고딕"/>
        <family val="0"/>
        <charset val="1"/>
      </rPr>
      <t xml:space="preserve">(</t>
    </r>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갱신을 연결의 속성으로 두는 근거</t>
    </r>
    <r>
      <rPr>
        <sz val="10"/>
        <color rgb="FF000000"/>
        <rFont val="맑은 고딕"/>
        <family val="0"/>
        <charset val="1"/>
      </rPr>
      <t xml:space="preserve">)</t>
    </r>
  </si>
  <si>
    <t xml:space="preserve">§2.6</t>
  </si>
  <si>
    <t xml:space="preserve">The individuals with filled-in slots represent the key BCM artefacts, mostly documents, of the BCMO related knowledge base.</t>
  </si>
  <si>
    <r>
      <rPr>
        <sz val="10"/>
        <color rgb="FF000000"/>
        <rFont val="맑은 고딕"/>
        <family val="0"/>
        <charset val="1"/>
      </rPr>
      <t xml:space="preserve">slot</t>
    </r>
    <r>
      <rPr>
        <sz val="10"/>
        <color rgb="FF000000"/>
        <rFont val="WenQuanYi Zen Hei"/>
        <family val="2"/>
      </rPr>
      <t xml:space="preserve">이 채워진 개체는 </t>
    </r>
    <r>
      <rPr>
        <sz val="10"/>
        <color rgb="FF000000"/>
        <rFont val="맑은 고딕"/>
        <family val="0"/>
        <charset val="1"/>
      </rPr>
      <t xml:space="preserve">BCMO </t>
    </r>
    <r>
      <rPr>
        <sz val="10"/>
        <color rgb="FF000000"/>
        <rFont val="WenQuanYi Zen Hei"/>
        <family val="2"/>
      </rPr>
      <t xml:space="preserve">지식베이스의 핵심 </t>
    </r>
    <r>
      <rPr>
        <sz val="10"/>
        <color rgb="FF000000"/>
        <rFont val="맑은 고딕"/>
        <family val="0"/>
        <charset val="1"/>
      </rPr>
      <t xml:space="preserve">BCM </t>
    </r>
    <r>
      <rPr>
        <sz val="10"/>
        <color rgb="FF000000"/>
        <rFont val="WenQuanYi Zen Hei"/>
        <family val="2"/>
      </rPr>
      <t xml:space="preserve">산출물</t>
    </r>
    <r>
      <rPr>
        <sz val="10"/>
        <color rgb="FF000000"/>
        <rFont val="맑은 고딕"/>
        <family val="0"/>
        <charset val="1"/>
      </rPr>
      <t xml:space="preserve">(</t>
    </r>
    <r>
      <rPr>
        <sz val="10"/>
        <color rgb="FF000000"/>
        <rFont val="WenQuanYi Zen Hei"/>
        <family val="2"/>
      </rPr>
      <t xml:space="preserve">주로 문서</t>
    </r>
    <r>
      <rPr>
        <sz val="10"/>
        <color rgb="FF000000"/>
        <rFont val="맑은 고딕"/>
        <family val="0"/>
        <charset val="1"/>
      </rPr>
      <t xml:space="preserve">)</t>
    </r>
    <r>
      <rPr>
        <sz val="10"/>
        <color rgb="FF000000"/>
        <rFont val="WenQuanYi Zen Hei"/>
        <family val="2"/>
      </rPr>
      <t xml:space="preserve">을 나타낸다</t>
    </r>
    <r>
      <rPr>
        <sz val="10"/>
        <color rgb="FF000000"/>
        <rFont val="맑은 고딕"/>
        <family val="0"/>
        <charset val="1"/>
      </rPr>
      <t xml:space="preserve">.</t>
    </r>
  </si>
  <si>
    <r>
      <rPr>
        <sz val="10"/>
        <color rgb="FF000000"/>
        <rFont val="WenQuanYi Zen Hei"/>
        <family val="2"/>
      </rPr>
      <t xml:space="preserve">산출물</t>
    </r>
    <r>
      <rPr>
        <sz val="10"/>
        <color rgb="FF000000"/>
        <rFont val="맑은 고딕"/>
        <family val="0"/>
        <charset val="1"/>
      </rPr>
      <t xml:space="preserve">(artefact) </t>
    </r>
    <r>
      <rPr>
        <sz val="10"/>
        <color rgb="FF000000"/>
        <rFont val="WenQuanYi Zen Hei"/>
        <family val="2"/>
      </rPr>
      <t xml:space="preserve">개념</t>
    </r>
  </si>
  <si>
    <t xml:space="preserve">B08</t>
  </si>
  <si>
    <t xml:space="preserve">§2.7</t>
  </si>
  <si>
    <t xml:space="preserve">During the validation process the user checks if the right structures of individuals are composed, if they have assumed properties, if the needed information can be retrieved properly by queries from the knowledge database, and if the forms are properly defined.</t>
  </si>
  <si>
    <r>
      <rPr>
        <sz val="10"/>
        <color rgb="FF000000"/>
        <rFont val="WenQuanYi Zen Hei"/>
        <family val="2"/>
      </rPr>
      <t xml:space="preserve">검증 과정에서 사용자는 개체의 올바른 구조가 구성되었는지</t>
    </r>
    <r>
      <rPr>
        <sz val="10"/>
        <color rgb="FF000000"/>
        <rFont val="맑은 고딕"/>
        <family val="0"/>
        <charset val="1"/>
      </rPr>
      <t xml:space="preserve">, </t>
    </r>
    <r>
      <rPr>
        <sz val="10"/>
        <color rgb="FF000000"/>
        <rFont val="WenQuanYi Zen Hei"/>
        <family val="2"/>
      </rPr>
      <t xml:space="preserve">가정된 속성을 갖는지</t>
    </r>
    <r>
      <rPr>
        <sz val="10"/>
        <color rgb="FF000000"/>
        <rFont val="맑은 고딕"/>
        <family val="0"/>
        <charset val="1"/>
      </rPr>
      <t xml:space="preserve">, </t>
    </r>
    <r>
      <rPr>
        <sz val="10"/>
        <color rgb="FF000000"/>
        <rFont val="WenQuanYi Zen Hei"/>
        <family val="2"/>
      </rPr>
      <t xml:space="preserve">필요한 정보가 질의로 올바르게 검색되는지</t>
    </r>
    <r>
      <rPr>
        <sz val="10"/>
        <color rgb="FF000000"/>
        <rFont val="맑은 고딕"/>
        <family val="0"/>
        <charset val="1"/>
      </rPr>
      <t xml:space="preserve">, </t>
    </r>
    <r>
      <rPr>
        <sz val="10"/>
        <color rgb="FF000000"/>
        <rFont val="WenQuanYi Zen Hei"/>
        <family val="2"/>
      </rPr>
      <t xml:space="preserve">입력 양식이 적절히 정의되었는지를 확인한다</t>
    </r>
    <r>
      <rPr>
        <sz val="10"/>
        <color rgb="FF000000"/>
        <rFont val="맑은 고딕"/>
        <family val="0"/>
        <charset val="1"/>
      </rPr>
      <t xml:space="preserve">.</t>
    </r>
  </si>
  <si>
    <r>
      <rPr>
        <sz val="10"/>
        <color rgb="FF000000"/>
        <rFont val="WenQuanYi Zen Hei"/>
        <family val="2"/>
      </rPr>
      <t xml:space="preserve">검증 계획 </t>
    </r>
    <r>
      <rPr>
        <sz val="10"/>
        <color rgb="FF000000"/>
        <rFont val="맑은 고딕"/>
        <family val="0"/>
        <charset val="1"/>
      </rPr>
      <t xml:space="preserve">6.1·6.5 </t>
    </r>
    <r>
      <rPr>
        <sz val="10"/>
        <color rgb="FF000000"/>
        <rFont val="WenQuanYi Zen Hei"/>
        <family val="2"/>
      </rPr>
      <t xml:space="preserve">방법의 근거</t>
    </r>
  </si>
  <si>
    <t xml:space="preserve">B09</t>
  </si>
  <si>
    <t xml:space="preserve">§2.3</t>
  </si>
  <si>
    <t xml:space="preserve">The terms are grouped around four phases of the PDCA (Plan-Do-Check-Act) management model</t>
  </si>
  <si>
    <r>
      <rPr>
        <sz val="10"/>
        <color rgb="FF000000"/>
        <rFont val="WenQuanYi Zen Hei"/>
        <family val="2"/>
      </rPr>
      <t xml:space="preserve">용어는 </t>
    </r>
    <r>
      <rPr>
        <sz val="10"/>
        <color rgb="FF000000"/>
        <rFont val="맑은 고딕"/>
        <family val="0"/>
        <charset val="1"/>
      </rPr>
      <t xml:space="preserve">PDCA </t>
    </r>
    <r>
      <rPr>
        <sz val="10"/>
        <color rgb="FF000000"/>
        <rFont val="WenQuanYi Zen Hei"/>
        <family val="2"/>
      </rPr>
      <t xml:space="preserve">관리 모델의 네 단계를 중심으로 묶인다</t>
    </r>
    <r>
      <rPr>
        <sz val="10"/>
        <color rgb="FF000000"/>
        <rFont val="맑은 고딕"/>
        <family val="0"/>
        <charset val="1"/>
      </rPr>
      <t xml:space="preserve">.</t>
    </r>
  </si>
  <si>
    <r>
      <rPr>
        <sz val="10"/>
        <color rgb="FF000000"/>
        <rFont val="맑은 고딕"/>
        <family val="0"/>
        <charset val="1"/>
      </rPr>
      <t xml:space="preserve">Białas</t>
    </r>
    <r>
      <rPr>
        <sz val="10"/>
        <color rgb="FF000000"/>
        <rFont val="WenQuanYi Zen Hei"/>
        <family val="2"/>
      </rPr>
      <t xml:space="preserve">의 분류 방식</t>
    </r>
    <r>
      <rPr>
        <sz val="10"/>
        <color rgb="FF000000"/>
        <rFont val="맑은 고딕"/>
        <family val="0"/>
        <charset val="1"/>
      </rPr>
      <t xml:space="preserve">(</t>
    </r>
    <r>
      <rPr>
        <sz val="10"/>
        <color rgb="FF000000"/>
        <rFont val="WenQuanYi Zen Hei"/>
        <family val="2"/>
      </rPr>
      <t xml:space="preserve">참고</t>
    </r>
    <r>
      <rPr>
        <sz val="10"/>
        <color rgb="FF000000"/>
        <rFont val="맑은 고딕"/>
        <family val="0"/>
        <charset val="1"/>
      </rPr>
      <t xml:space="preserve">)</t>
    </r>
  </si>
  <si>
    <t xml:space="preserve">B10</t>
  </si>
  <si>
    <r>
      <rPr>
        <sz val="10"/>
        <color rgb="FF000000"/>
        <rFont val="맑은 고딕"/>
        <family val="0"/>
        <charset val="1"/>
      </rPr>
      <t xml:space="preserve">§2.8 (Fig.4 </t>
    </r>
    <r>
      <rPr>
        <sz val="10"/>
        <color rgb="FF000000"/>
        <rFont val="WenQuanYi Zen Hei"/>
        <family val="2"/>
      </rPr>
      <t xml:space="preserve">설명</t>
    </r>
    <r>
      <rPr>
        <sz val="10"/>
        <color rgb="FF000000"/>
        <rFont val="맑은 고딕"/>
        <family val="0"/>
        <charset val="1"/>
      </rPr>
      <t xml:space="preserve">)</t>
    </r>
  </si>
  <si>
    <t xml:space="preserve">resources required for these services resumption</t>
  </si>
  <si>
    <t xml:space="preserve">이들 서비스 재개에 필요한 자원</t>
  </si>
  <si>
    <r>
      <rPr>
        <sz val="10"/>
        <color rgb="FF000000"/>
        <rFont val="맑은 고딕"/>
        <family val="0"/>
        <charset val="1"/>
      </rPr>
      <t xml:space="preserve">L11(BIA </t>
    </r>
    <r>
      <rPr>
        <sz val="10"/>
        <color rgb="FF000000"/>
        <rFont val="WenQuanYi Zen Hei"/>
        <family val="2"/>
      </rPr>
      <t xml:space="preserve">보고서와 복구 자원의 질의 연결</t>
    </r>
    <r>
      <rPr>
        <sz val="10"/>
        <color rgb="FF000000"/>
        <rFont val="맑은 고딕"/>
        <family val="0"/>
        <charset val="1"/>
      </rPr>
      <t xml:space="preserve">)</t>
    </r>
  </si>
  <si>
    <t xml:space="preserve">B11</t>
  </si>
  <si>
    <t xml:space="preserve">looks for business impact analysis (BIA) reports related to the two following issues</t>
  </si>
  <si>
    <r>
      <rPr>
        <sz val="10"/>
        <color rgb="FF000000"/>
        <rFont val="맑은 고딕"/>
        <family val="0"/>
        <charset val="1"/>
      </rPr>
      <t xml:space="preserve">(</t>
    </r>
    <r>
      <rPr>
        <sz val="10"/>
        <color rgb="FF000000"/>
        <rFont val="WenQuanYi Zen Hei"/>
        <family val="2"/>
      </rPr>
      <t xml:space="preserve">업무연속성 관리자가</t>
    </r>
    <r>
      <rPr>
        <sz val="10"/>
        <color rgb="FF000000"/>
        <rFont val="맑은 고딕"/>
        <family val="0"/>
        <charset val="1"/>
      </rPr>
      <t xml:space="preserve">) </t>
    </r>
    <r>
      <rPr>
        <sz val="10"/>
        <color rgb="FF000000"/>
        <rFont val="WenQuanYi Zen Hei"/>
        <family val="2"/>
      </rPr>
      <t xml:space="preserve">다음 두 가지 사안과 관련된 </t>
    </r>
    <r>
      <rPr>
        <sz val="10"/>
        <color rgb="FF000000"/>
        <rFont val="맑은 고딕"/>
        <family val="0"/>
        <charset val="1"/>
      </rPr>
      <t xml:space="preserve">BIA </t>
    </r>
    <r>
      <rPr>
        <sz val="10"/>
        <color rgb="FF000000"/>
        <rFont val="WenQuanYi Zen Hei"/>
        <family val="2"/>
      </rPr>
      <t xml:space="preserve">보고서를 찾는다</t>
    </r>
    <r>
      <rPr>
        <sz val="10"/>
        <color rgb="FF000000"/>
        <rFont val="맑은 고딕"/>
        <family val="0"/>
        <charset val="1"/>
      </rPr>
      <t xml:space="preserve">.</t>
    </r>
  </si>
  <si>
    <t xml:space="preserve">L11</t>
  </si>
  <si>
    <t xml:space="preserve">B12</t>
  </si>
  <si>
    <r>
      <rPr>
        <sz val="10"/>
        <color rgb="FF000000"/>
        <rFont val="맑은 고딕"/>
        <family val="0"/>
        <charset val="1"/>
      </rPr>
      <t xml:space="preserve">§2.8 (Fig.3 </t>
    </r>
    <r>
      <rPr>
        <sz val="10"/>
        <color rgb="FF000000"/>
        <rFont val="WenQuanYi Zen Hei"/>
        <family val="2"/>
      </rPr>
      <t xml:space="preserve">설명</t>
    </r>
    <r>
      <rPr>
        <sz val="10"/>
        <color rgb="FF000000"/>
        <rFont val="맑은 고딕"/>
        <family val="0"/>
        <charset val="1"/>
      </rPr>
      <t xml:space="preserve">)</t>
    </r>
  </si>
  <si>
    <t xml:space="preserve">Please note the person responsible for trainings, expressed by a certain role, engaged resources for trainings, needs, programs, detailed activities, results and records</t>
  </si>
  <si>
    <r>
      <rPr>
        <sz val="10"/>
        <color rgb="FF000000"/>
        <rFont val="WenQuanYi Zen Hei"/>
        <family val="2"/>
      </rPr>
      <t xml:space="preserve">훈련 책임자</t>
    </r>
    <r>
      <rPr>
        <sz val="10"/>
        <color rgb="FF000000"/>
        <rFont val="맑은 고딕"/>
        <family val="0"/>
        <charset val="1"/>
      </rPr>
      <t xml:space="preserve">(</t>
    </r>
    <r>
      <rPr>
        <sz val="10"/>
        <color rgb="FF000000"/>
        <rFont val="WenQuanYi Zen Hei"/>
        <family val="2"/>
      </rPr>
      <t xml:space="preserve">역할로 표현</t>
    </r>
    <r>
      <rPr>
        <sz val="10"/>
        <color rgb="FF000000"/>
        <rFont val="맑은 고딕"/>
        <family val="0"/>
        <charset val="1"/>
      </rPr>
      <t xml:space="preserve">), </t>
    </r>
    <r>
      <rPr>
        <sz val="10"/>
        <color rgb="FF000000"/>
        <rFont val="WenQuanYi Zen Hei"/>
        <family val="2"/>
      </rPr>
      <t xml:space="preserve">훈련에 투입된 자원</t>
    </r>
    <r>
      <rPr>
        <sz val="10"/>
        <color rgb="FF000000"/>
        <rFont val="맑은 고딕"/>
        <family val="0"/>
        <charset val="1"/>
      </rPr>
      <t xml:space="preserve">, </t>
    </r>
    <r>
      <rPr>
        <sz val="10"/>
        <color rgb="FF000000"/>
        <rFont val="WenQuanYi Zen Hei"/>
        <family val="2"/>
      </rPr>
      <t xml:space="preserve">필요</t>
    </r>
    <r>
      <rPr>
        <sz val="10"/>
        <color rgb="FF000000"/>
        <rFont val="맑은 고딕"/>
        <family val="0"/>
        <charset val="1"/>
      </rPr>
      <t xml:space="preserve">, </t>
    </r>
    <r>
      <rPr>
        <sz val="10"/>
        <color rgb="FF000000"/>
        <rFont val="WenQuanYi Zen Hei"/>
        <family val="2"/>
      </rPr>
      <t xml:space="preserve">프로그램</t>
    </r>
    <r>
      <rPr>
        <sz val="10"/>
        <color rgb="FF000000"/>
        <rFont val="맑은 고딕"/>
        <family val="0"/>
        <charset val="1"/>
      </rPr>
      <t xml:space="preserve">, </t>
    </r>
    <r>
      <rPr>
        <sz val="10"/>
        <color rgb="FF000000"/>
        <rFont val="WenQuanYi Zen Hei"/>
        <family val="2"/>
      </rPr>
      <t xml:space="preserve">세부 활동</t>
    </r>
    <r>
      <rPr>
        <sz val="10"/>
        <color rgb="FF000000"/>
        <rFont val="맑은 고딕"/>
        <family val="0"/>
        <charset val="1"/>
      </rPr>
      <t xml:space="preserve">, </t>
    </r>
    <r>
      <rPr>
        <sz val="10"/>
        <color rgb="FF000000"/>
        <rFont val="WenQuanYi Zen Hei"/>
        <family val="2"/>
      </rPr>
      <t xml:space="preserve">결과</t>
    </r>
    <r>
      <rPr>
        <sz val="10"/>
        <color rgb="FF000000"/>
        <rFont val="맑은 고딕"/>
        <family val="0"/>
        <charset val="1"/>
      </rPr>
      <t xml:space="preserve">, </t>
    </r>
    <r>
      <rPr>
        <sz val="10"/>
        <color rgb="FF000000"/>
        <rFont val="WenQuanYi Zen Hei"/>
        <family val="2"/>
      </rPr>
      <t xml:space="preserve">기록에 유의하라</t>
    </r>
    <r>
      <rPr>
        <sz val="10"/>
        <color rgb="FF000000"/>
        <rFont val="맑은 고딕"/>
        <family val="0"/>
        <charset val="1"/>
      </rPr>
      <t xml:space="preserve">.</t>
    </r>
  </si>
  <si>
    <r>
      <rPr>
        <sz val="10"/>
        <color rgb="FF000000"/>
        <rFont val="맑은 고딕"/>
        <family val="0"/>
        <charset val="1"/>
      </rPr>
      <t xml:space="preserve">L17(</t>
    </r>
    <r>
      <rPr>
        <sz val="10"/>
        <color rgb="FF000000"/>
        <rFont val="WenQuanYi Zen Hei"/>
        <family val="2"/>
      </rPr>
      <t xml:space="preserve">교육의 </t>
    </r>
    <r>
      <rPr>
        <sz val="10"/>
        <color rgb="FF000000"/>
        <rFont val="맑은 고딕"/>
        <family val="0"/>
        <charset val="1"/>
      </rPr>
      <t xml:space="preserve">"</t>
    </r>
    <r>
      <rPr>
        <sz val="10"/>
        <color rgb="FF000000"/>
        <rFont val="WenQuanYi Zen Hei"/>
        <family val="2"/>
      </rPr>
      <t xml:space="preserve">필요</t>
    </r>
    <r>
      <rPr>
        <sz val="10"/>
        <color rgb="FF000000"/>
        <rFont val="맑은 고딕"/>
        <family val="0"/>
        <charset val="1"/>
      </rPr>
      <t xml:space="preserve">"</t>
    </r>
    <r>
      <rPr>
        <sz val="10"/>
        <color rgb="FF000000"/>
        <rFont val="WenQuanYi Zen Hei"/>
        <family val="2"/>
      </rPr>
      <t xml:space="preserve">가 별도 항목으로 존재</t>
    </r>
    <r>
      <rPr>
        <sz val="10"/>
        <color rgb="FF000000"/>
        <rFont val="맑은 고딕"/>
        <family val="0"/>
        <charset val="1"/>
      </rPr>
      <t xml:space="preserve">)</t>
    </r>
  </si>
  <si>
    <t xml:space="preserve">B13</t>
  </si>
  <si>
    <t xml:space="preserve">4-5</t>
  </si>
  <si>
    <r>
      <rPr>
        <sz val="10"/>
        <color rgb="FF000000"/>
        <rFont val="맑은 고딕"/>
        <family val="0"/>
        <charset val="1"/>
      </rPr>
      <t xml:space="preserve">§2.8 (Fig.2 </t>
    </r>
    <r>
      <rPr>
        <sz val="10"/>
        <color rgb="FF000000"/>
        <rFont val="WenQuanYi Zen Hei"/>
        <family val="2"/>
      </rPr>
      <t xml:space="preserve">설명</t>
    </r>
    <r>
      <rPr>
        <sz val="10"/>
        <color rgb="FF000000"/>
        <rFont val="맑은 고딕"/>
        <family val="0"/>
        <charset val="1"/>
      </rPr>
      <t xml:space="preserve">)</t>
    </r>
  </si>
  <si>
    <t xml:space="preserve">Individuals included in slots represent particular issues from the phase “Plan” specified by standard: general requirements, business continuity scope, objectives, policy and plan, suppliers and outsourced activities, provision of resources, training, awareness, embedding BCM in the organization’s culture, documentation and records.</t>
  </si>
  <si>
    <r>
      <rPr>
        <sz val="10"/>
        <color rgb="FF000000"/>
        <rFont val="맑은 고딕"/>
        <family val="0"/>
        <charset val="1"/>
      </rPr>
      <t xml:space="preserve">slot</t>
    </r>
    <r>
      <rPr>
        <sz val="10"/>
        <color rgb="FF000000"/>
        <rFont val="WenQuanYi Zen Hei"/>
        <family val="2"/>
      </rPr>
      <t xml:space="preserve">에 포함된 개체는 표준이 규정한 </t>
    </r>
    <r>
      <rPr>
        <sz val="10"/>
        <color rgb="FF000000"/>
        <rFont val="맑은 고딕"/>
        <family val="0"/>
        <charset val="1"/>
      </rPr>
      <t xml:space="preserve">"Plan" </t>
    </r>
    <r>
      <rPr>
        <sz val="10"/>
        <color rgb="FF000000"/>
        <rFont val="WenQuanYi Zen Hei"/>
        <family val="2"/>
      </rPr>
      <t xml:space="preserve">단계의 개별 사안</t>
    </r>
    <r>
      <rPr>
        <sz val="10"/>
        <color rgb="FF000000"/>
        <rFont val="맑은 고딕"/>
        <family val="0"/>
        <charset val="1"/>
      </rPr>
      <t xml:space="preserve">(</t>
    </r>
    <r>
      <rPr>
        <sz val="10"/>
        <color rgb="FF000000"/>
        <rFont val="WenQuanYi Zen Hei"/>
        <family val="2"/>
      </rPr>
      <t xml:space="preserve">일반 요구사항</t>
    </r>
    <r>
      <rPr>
        <sz val="10"/>
        <color rgb="FF000000"/>
        <rFont val="맑은 고딕"/>
        <family val="0"/>
        <charset val="1"/>
      </rPr>
      <t xml:space="preserve">, </t>
    </r>
    <r>
      <rPr>
        <sz val="10"/>
        <color rgb="FF000000"/>
        <rFont val="WenQuanYi Zen Hei"/>
        <family val="2"/>
      </rPr>
      <t xml:space="preserve">범위</t>
    </r>
    <r>
      <rPr>
        <sz val="10"/>
        <color rgb="FF000000"/>
        <rFont val="맑은 고딕"/>
        <family val="0"/>
        <charset val="1"/>
      </rPr>
      <t xml:space="preserve">, </t>
    </r>
    <r>
      <rPr>
        <sz val="10"/>
        <color rgb="FF000000"/>
        <rFont val="WenQuanYi Zen Hei"/>
        <family val="2"/>
      </rPr>
      <t xml:space="preserve">목표</t>
    </r>
    <r>
      <rPr>
        <sz val="10"/>
        <color rgb="FF000000"/>
        <rFont val="맑은 고딕"/>
        <family val="0"/>
        <charset val="1"/>
      </rPr>
      <t xml:space="preserve">, </t>
    </r>
    <r>
      <rPr>
        <sz val="10"/>
        <color rgb="FF000000"/>
        <rFont val="WenQuanYi Zen Hei"/>
        <family val="2"/>
      </rPr>
      <t xml:space="preserve">정책과 계획</t>
    </r>
    <r>
      <rPr>
        <sz val="10"/>
        <color rgb="FF000000"/>
        <rFont val="맑은 고딕"/>
        <family val="0"/>
        <charset val="1"/>
      </rPr>
      <t xml:space="preserve">, </t>
    </r>
    <r>
      <rPr>
        <sz val="10"/>
        <color rgb="FF000000"/>
        <rFont val="WenQuanYi Zen Hei"/>
        <family val="2"/>
      </rPr>
      <t xml:space="preserve">공급자</t>
    </r>
    <r>
      <rPr>
        <sz val="10"/>
        <color rgb="FF000000"/>
        <rFont val="맑은 고딕"/>
        <family val="0"/>
        <charset val="1"/>
      </rPr>
      <t xml:space="preserve">·</t>
    </r>
    <r>
      <rPr>
        <sz val="10"/>
        <color rgb="FF000000"/>
        <rFont val="WenQuanYi Zen Hei"/>
        <family val="2"/>
      </rPr>
      <t xml:space="preserve">외주</t>
    </r>
    <r>
      <rPr>
        <sz val="10"/>
        <color rgb="FF000000"/>
        <rFont val="맑은 고딕"/>
        <family val="0"/>
        <charset val="1"/>
      </rPr>
      <t xml:space="preserve">, </t>
    </r>
    <r>
      <rPr>
        <sz val="10"/>
        <color rgb="FF000000"/>
        <rFont val="WenQuanYi Zen Hei"/>
        <family val="2"/>
      </rPr>
      <t xml:space="preserve">자원 제공</t>
    </r>
    <r>
      <rPr>
        <sz val="10"/>
        <color rgb="FF000000"/>
        <rFont val="맑은 고딕"/>
        <family val="0"/>
        <charset val="1"/>
      </rPr>
      <t xml:space="preserve">, </t>
    </r>
    <r>
      <rPr>
        <sz val="10"/>
        <color rgb="FF000000"/>
        <rFont val="WenQuanYi Zen Hei"/>
        <family val="2"/>
      </rPr>
      <t xml:space="preserve">교육</t>
    </r>
    <r>
      <rPr>
        <sz val="10"/>
        <color rgb="FF000000"/>
        <rFont val="맑은 고딕"/>
        <family val="0"/>
        <charset val="1"/>
      </rPr>
      <t xml:space="preserve">, </t>
    </r>
    <r>
      <rPr>
        <sz val="10"/>
        <color rgb="FF000000"/>
        <rFont val="WenQuanYi Zen Hei"/>
        <family val="2"/>
      </rPr>
      <t xml:space="preserve">인식</t>
    </r>
    <r>
      <rPr>
        <sz val="10"/>
        <color rgb="FF000000"/>
        <rFont val="맑은 고딕"/>
        <family val="0"/>
        <charset val="1"/>
      </rPr>
      <t xml:space="preserve">, </t>
    </r>
    <r>
      <rPr>
        <sz val="10"/>
        <color rgb="FF000000"/>
        <rFont val="WenQuanYi Zen Hei"/>
        <family val="2"/>
      </rPr>
      <t xml:space="preserve">조직문화 내재화</t>
    </r>
    <r>
      <rPr>
        <sz val="10"/>
        <color rgb="FF000000"/>
        <rFont val="맑은 고딕"/>
        <family val="0"/>
        <charset val="1"/>
      </rPr>
      <t xml:space="preserve">, </t>
    </r>
    <r>
      <rPr>
        <sz val="10"/>
        <color rgb="FF000000"/>
        <rFont val="WenQuanYi Zen Hei"/>
        <family val="2"/>
      </rPr>
      <t xml:space="preserve">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을 나타낸다</t>
    </r>
    <r>
      <rPr>
        <sz val="10"/>
        <color rgb="FF000000"/>
        <rFont val="맑은 고딕"/>
        <family val="0"/>
        <charset val="1"/>
      </rPr>
      <t xml:space="preserve">.</t>
    </r>
  </si>
  <si>
    <r>
      <rPr>
        <sz val="10"/>
        <color rgb="FF000000"/>
        <rFont val="맑은 고딕"/>
        <family val="0"/>
        <charset val="1"/>
      </rPr>
      <t xml:space="preserve">L29(</t>
    </r>
    <r>
      <rPr>
        <sz val="10"/>
        <color rgb="FF000000"/>
        <rFont val="WenQuanYi Zen Hei"/>
        <family val="2"/>
      </rPr>
      <t xml:space="preserve">정책과 목표가 같은 단계의 병렬 항목</t>
    </r>
    <r>
      <rPr>
        <sz val="10"/>
        <color rgb="FF000000"/>
        <rFont val="맑은 고딕"/>
        <family val="0"/>
        <charset val="1"/>
      </rPr>
      <t xml:space="preserve">)</t>
    </r>
  </si>
  <si>
    <t xml:space="preserve">B14</t>
  </si>
  <si>
    <t xml:space="preserve">§3</t>
  </si>
  <si>
    <t xml:space="preserve">it is still a prototype which requires: knowledge base extension, further development, introducing more sophisticated competency questions, and more validation on real data</t>
  </si>
  <si>
    <r>
      <rPr>
        <sz val="10"/>
        <color rgb="FF000000"/>
        <rFont val="맑은 고딕"/>
        <family val="0"/>
        <charset val="1"/>
      </rPr>
      <t xml:space="preserve">(BCMO</t>
    </r>
    <r>
      <rPr>
        <sz val="10"/>
        <color rgb="FF000000"/>
        <rFont val="WenQuanYi Zen Hei"/>
        <family val="2"/>
      </rPr>
      <t xml:space="preserve">는</t>
    </r>
    <r>
      <rPr>
        <sz val="10"/>
        <color rgb="FF000000"/>
        <rFont val="맑은 고딕"/>
        <family val="0"/>
        <charset val="1"/>
      </rPr>
      <t xml:space="preserve">) </t>
    </r>
    <r>
      <rPr>
        <sz val="10"/>
        <color rgb="FF000000"/>
        <rFont val="WenQuanYi Zen Hei"/>
        <family val="2"/>
      </rPr>
      <t xml:space="preserve">여전히 프로토타입이며 지식베이스 확장</t>
    </r>
    <r>
      <rPr>
        <sz val="10"/>
        <color rgb="FF000000"/>
        <rFont val="맑은 고딕"/>
        <family val="0"/>
        <charset val="1"/>
      </rPr>
      <t xml:space="preserve">, </t>
    </r>
    <r>
      <rPr>
        <sz val="10"/>
        <color rgb="FF000000"/>
        <rFont val="WenQuanYi Zen Hei"/>
        <family val="2"/>
      </rPr>
      <t xml:space="preserve">추가 개발</t>
    </r>
    <r>
      <rPr>
        <sz val="10"/>
        <color rgb="FF000000"/>
        <rFont val="맑은 고딕"/>
        <family val="0"/>
        <charset val="1"/>
      </rPr>
      <t xml:space="preserve">, </t>
    </r>
    <r>
      <rPr>
        <sz val="10"/>
        <color rgb="FF000000"/>
        <rFont val="WenQuanYi Zen Hei"/>
        <family val="2"/>
      </rPr>
      <t xml:space="preserve">더 정교한 </t>
    </r>
    <r>
      <rPr>
        <sz val="10"/>
        <color rgb="FF000000"/>
        <rFont val="맑은 고딕"/>
        <family val="0"/>
        <charset val="1"/>
      </rPr>
      <t xml:space="preserve">competency question </t>
    </r>
    <r>
      <rPr>
        <sz val="10"/>
        <color rgb="FF000000"/>
        <rFont val="WenQuanYi Zen Hei"/>
        <family val="2"/>
      </rPr>
      <t xml:space="preserve">도입</t>
    </r>
    <r>
      <rPr>
        <sz val="10"/>
        <color rgb="FF000000"/>
        <rFont val="맑은 고딕"/>
        <family val="0"/>
        <charset val="1"/>
      </rPr>
      <t xml:space="preserve">, </t>
    </r>
    <r>
      <rPr>
        <sz val="10"/>
        <color rgb="FF000000"/>
        <rFont val="WenQuanYi Zen Hei"/>
        <family val="2"/>
      </rPr>
      <t xml:space="preserve">실제 데이터에 대한 추가 검증이 필요하다</t>
    </r>
    <r>
      <rPr>
        <sz val="10"/>
        <color rgb="FF000000"/>
        <rFont val="맑은 고딕"/>
        <family val="0"/>
        <charset val="1"/>
      </rPr>
      <t xml:space="preserve">.</t>
    </r>
  </si>
  <si>
    <r>
      <rPr>
        <sz val="10"/>
        <color rgb="FF000000"/>
        <rFont val="맑은 고딕"/>
        <family val="0"/>
        <charset val="1"/>
      </rPr>
      <t xml:space="preserve">Białas</t>
    </r>
    <r>
      <rPr>
        <sz val="10"/>
        <color rgb="FF000000"/>
        <rFont val="WenQuanYi Zen Hei"/>
        <family val="2"/>
      </rPr>
      <t xml:space="preserve">의 한계</t>
    </r>
    <r>
      <rPr>
        <sz val="10"/>
        <color rgb="FF000000"/>
        <rFont val="맑은 고딕"/>
        <family val="0"/>
        <charset val="1"/>
      </rPr>
      <t xml:space="preserve">(</t>
    </r>
    <r>
      <rPr>
        <sz val="10"/>
        <color rgb="FF000000"/>
        <rFont val="WenQuanYi Zen Hei"/>
        <family val="2"/>
      </rPr>
      <t xml:space="preserve">본 연구가 방법만 차용하는 이유</t>
    </r>
    <r>
      <rPr>
        <sz val="10"/>
        <color rgb="FF000000"/>
        <rFont val="맑은 고딕"/>
        <family val="0"/>
        <charset val="1"/>
      </rPr>
      <t xml:space="preserve">)</t>
    </r>
  </si>
  <si>
    <t xml:space="preserve">B15</t>
  </si>
  <si>
    <t xml:space="preserve">초록</t>
  </si>
  <si>
    <t xml:space="preserve">compliant with the BS 25999 standard</t>
  </si>
  <si>
    <r>
      <rPr>
        <sz val="10"/>
        <color rgb="FF000000"/>
        <rFont val="맑은 고딕"/>
        <family val="0"/>
        <charset val="1"/>
      </rPr>
      <t xml:space="preserve">BS 25999 </t>
    </r>
    <r>
      <rPr>
        <sz val="10"/>
        <color rgb="FF000000"/>
        <rFont val="WenQuanYi Zen Hei"/>
        <family val="2"/>
      </rPr>
      <t xml:space="preserve">표준에 부합하는</t>
    </r>
  </si>
  <si>
    <r>
      <rPr>
        <sz val="10"/>
        <color rgb="FF000000"/>
        <rFont val="맑은 고딕"/>
        <family val="0"/>
        <charset val="1"/>
      </rPr>
      <t xml:space="preserve">Białas</t>
    </r>
    <r>
      <rPr>
        <sz val="10"/>
        <color rgb="FF000000"/>
        <rFont val="WenQuanYi Zen Hei"/>
        <family val="2"/>
      </rPr>
      <t xml:space="preserve">가 </t>
    </r>
    <r>
      <rPr>
        <sz val="10"/>
        <color rgb="FF000000"/>
        <rFont val="맑은 고딕"/>
        <family val="0"/>
        <charset val="1"/>
      </rPr>
      <t xml:space="preserve">BS 25999 </t>
    </r>
    <r>
      <rPr>
        <sz val="10"/>
        <color rgb="FF000000"/>
        <rFont val="WenQuanYi Zen Hei"/>
        <family val="2"/>
      </rPr>
      <t xml:space="preserve">기반임</t>
    </r>
  </si>
  <si>
    <t xml:space="preserve">B16</t>
  </si>
  <si>
    <r>
      <rPr>
        <sz val="10"/>
        <color rgb="FF000000"/>
        <rFont val="맑은 고딕"/>
        <family val="0"/>
        <charset val="1"/>
      </rPr>
      <t xml:space="preserve">§2.8 (Fig.1 </t>
    </r>
    <r>
      <rPr>
        <sz val="10"/>
        <color rgb="FF000000"/>
        <rFont val="WenQuanYi Zen Hei"/>
        <family val="2"/>
      </rPr>
      <t xml:space="preserve">설명</t>
    </r>
    <r>
      <rPr>
        <sz val="10"/>
        <color rgb="FF000000"/>
        <rFont val="맑은 고딕"/>
        <family val="0"/>
        <charset val="1"/>
      </rPr>
      <t xml:space="preserve">)</t>
    </r>
  </si>
  <si>
    <t xml:space="preserve">supportedByResource slot contains three individuals of resources used to manage and maintain BCMS within this organization</t>
  </si>
  <si>
    <r>
      <rPr>
        <sz val="10"/>
        <color rgb="FF000000"/>
        <rFont val="맑은 고딕"/>
        <family val="0"/>
        <charset val="1"/>
      </rPr>
      <t xml:space="preserve">supportedByResource slot</t>
    </r>
    <r>
      <rPr>
        <sz val="10"/>
        <color rgb="FF000000"/>
        <rFont val="WenQuanYi Zen Hei"/>
        <family val="2"/>
      </rPr>
      <t xml:space="preserve">은 이 조직 안에서 </t>
    </r>
    <r>
      <rPr>
        <sz val="10"/>
        <color rgb="FF000000"/>
        <rFont val="맑은 고딕"/>
        <family val="0"/>
        <charset val="1"/>
      </rPr>
      <t xml:space="preserve">BCMS</t>
    </r>
    <r>
      <rPr>
        <sz val="10"/>
        <color rgb="FF000000"/>
        <rFont val="WenQuanYi Zen Hei"/>
        <family val="2"/>
      </rPr>
      <t xml:space="preserve">를 관리</t>
    </r>
    <r>
      <rPr>
        <sz val="10"/>
        <color rgb="FF000000"/>
        <rFont val="맑은 고딕"/>
        <family val="0"/>
        <charset val="1"/>
      </rPr>
      <t xml:space="preserve">·</t>
    </r>
    <r>
      <rPr>
        <sz val="10"/>
        <color rgb="FF000000"/>
        <rFont val="WenQuanYi Zen Hei"/>
        <family val="2"/>
      </rPr>
      <t xml:space="preserve">유지하는 데 쓰이는 세 개의 자원 개체를 담는다</t>
    </r>
    <r>
      <rPr>
        <sz val="10"/>
        <color rgb="FF000000"/>
        <rFont val="맑은 고딕"/>
        <family val="0"/>
        <charset val="1"/>
      </rPr>
      <t xml:space="preserve">.</t>
    </r>
  </si>
  <si>
    <r>
      <rPr>
        <sz val="10"/>
        <color rgb="FF000000"/>
        <rFont val="맑은 고딕"/>
        <family val="0"/>
        <charset val="1"/>
      </rPr>
      <t xml:space="preserve">L10(</t>
    </r>
    <r>
      <rPr>
        <sz val="10"/>
        <color rgb="FF000000"/>
        <rFont val="WenQuanYi Zen Hei"/>
        <family val="2"/>
      </rPr>
      <t xml:space="preserve">자원이 </t>
    </r>
    <r>
      <rPr>
        <sz val="10"/>
        <color rgb="FF000000"/>
        <rFont val="맑은 고딕"/>
        <family val="0"/>
        <charset val="1"/>
      </rPr>
      <t xml:space="preserve">BCMS</t>
    </r>
    <r>
      <rPr>
        <sz val="10"/>
        <color rgb="FF000000"/>
        <rFont val="WenQuanYi Zen Hei"/>
        <family val="2"/>
      </rPr>
      <t xml:space="preserve">를 지원한다는 구조</t>
    </r>
    <r>
      <rPr>
        <sz val="10"/>
        <color rgb="FF000000"/>
        <rFont val="맑은 고딕"/>
        <family val="0"/>
        <charset val="1"/>
      </rPr>
      <t xml:space="preserve">)</t>
    </r>
  </si>
  <si>
    <t xml:space="preserve">A49</t>
  </si>
  <si>
    <t xml:space="preserve">9</t>
  </si>
  <si>
    <t xml:space="preserve">This means that the business continuity manager is accountable for the whole process.</t>
  </si>
  <si>
    <r>
      <rPr>
        <sz val="10"/>
        <color rgb="FF000000"/>
        <rFont val="WenQuanYi Zen Hei"/>
        <family val="2"/>
      </rPr>
      <t xml:space="preserve">이는 업무연속성 관리자가 프로세스 전체에 대해 책임</t>
    </r>
    <r>
      <rPr>
        <sz val="10"/>
        <color rgb="FF000000"/>
        <rFont val="맑은 고딕"/>
        <family val="0"/>
        <charset val="1"/>
      </rPr>
      <t xml:space="preserve">(accountable)</t>
    </r>
    <r>
      <rPr>
        <sz val="10"/>
        <color rgb="FF000000"/>
        <rFont val="WenQuanYi Zen Hei"/>
        <family val="2"/>
      </rPr>
      <t xml:space="preserve">을 진다는 뜻이다</t>
    </r>
    <r>
      <rPr>
        <sz val="10"/>
        <color rgb="FF000000"/>
        <rFont val="맑은 고딕"/>
        <family val="0"/>
        <charset val="1"/>
      </rPr>
      <t xml:space="preserve">.</t>
    </r>
  </si>
  <si>
    <r>
      <rPr>
        <sz val="10"/>
        <color rgb="FF000000"/>
        <rFont val="WenQuanYi Zen Hei"/>
        <family val="2"/>
      </rPr>
      <t xml:space="preserve">책임성 차원</t>
    </r>
    <r>
      <rPr>
        <sz val="10"/>
        <color rgb="FF000000"/>
        <rFont val="맑은 고딕"/>
        <family val="0"/>
        <charset val="1"/>
      </rPr>
      <t xml:space="preserve">(</t>
    </r>
    <r>
      <rPr>
        <sz val="10"/>
        <color rgb="FF000000"/>
        <rFont val="WenQuanYi Zen Hei"/>
        <family val="2"/>
      </rPr>
      <t xml:space="preserve">프로세스 책임자</t>
    </r>
    <r>
      <rPr>
        <sz val="10"/>
        <color rgb="FF000000"/>
        <rFont val="맑은 고딕"/>
        <family val="0"/>
        <charset val="1"/>
      </rPr>
      <t xml:space="preserve">)</t>
    </r>
  </si>
  <si>
    <t xml:space="preserve">A50</t>
  </si>
  <si>
    <t xml:space="preserve">The business continuity manager is also responsible for the process design</t>
  </si>
  <si>
    <r>
      <rPr>
        <sz val="10"/>
        <color rgb="FF000000"/>
        <rFont val="WenQuanYi Zen Hei"/>
        <family val="2"/>
      </rPr>
      <t xml:space="preserve">업무연속성 관리자는 프로세스 설계에 대한 책임</t>
    </r>
    <r>
      <rPr>
        <sz val="10"/>
        <color rgb="FF000000"/>
        <rFont val="맑은 고딕"/>
        <family val="0"/>
        <charset val="1"/>
      </rPr>
      <t xml:space="preserve">(responsible)</t>
    </r>
    <r>
      <rPr>
        <sz val="10"/>
        <color rgb="FF000000"/>
        <rFont val="WenQuanYi Zen Hei"/>
        <family val="2"/>
      </rPr>
      <t xml:space="preserve">도 진다</t>
    </r>
    <r>
      <rPr>
        <sz val="10"/>
        <color rgb="FF000000"/>
        <rFont val="맑은 고딕"/>
        <family val="0"/>
        <charset val="1"/>
      </rPr>
      <t xml:space="preserve">.</t>
    </r>
  </si>
  <si>
    <t xml:space="preserve">책임성 차원</t>
  </si>
  <si>
    <t xml:space="preserve">A51</t>
  </si>
  <si>
    <t xml:space="preserve">16-17</t>
  </si>
  <si>
    <t xml:space="preserve">Specific outputs, such as management approval and scope definition, necessitate regular scrutiny for relevance and appropriateness.</t>
  </si>
  <si>
    <r>
      <rPr>
        <sz val="10"/>
        <color rgb="FF000000"/>
        <rFont val="WenQuanYi Zen Hei"/>
        <family val="2"/>
      </rPr>
      <t xml:space="preserve">경영진 승인과 범위 정의 같은 특정 산출물은 적합성과 적절성에 대한 정기적 점검을 필요로 한다</t>
    </r>
    <r>
      <rPr>
        <sz val="10"/>
        <color rgb="FF000000"/>
        <rFont val="맑은 고딕"/>
        <family val="0"/>
        <charset val="1"/>
      </rPr>
      <t xml:space="preserve">.</t>
    </r>
  </si>
  <si>
    <r>
      <rPr>
        <sz val="10"/>
        <color rgb="FF000000"/>
        <rFont val="WenQuanYi Zen Hei"/>
        <family val="2"/>
      </rPr>
      <t xml:space="preserve">최신성 차원</t>
    </r>
    <r>
      <rPr>
        <sz val="10"/>
        <color rgb="FF000000"/>
        <rFont val="맑은 고딕"/>
        <family val="0"/>
        <charset val="1"/>
      </rPr>
      <t xml:space="preserve">(</t>
    </r>
    <r>
      <rPr>
        <sz val="10"/>
        <color rgb="FF000000"/>
        <rFont val="WenQuanYi Zen Hei"/>
        <family val="2"/>
      </rPr>
      <t xml:space="preserve">정기 점검</t>
    </r>
    <r>
      <rPr>
        <sz val="10"/>
        <color rgb="FF000000"/>
        <rFont val="맑은 고딕"/>
        <family val="0"/>
        <charset val="1"/>
      </rPr>
      <t xml:space="preserve">)</t>
    </r>
  </si>
  <si>
    <t xml:space="preserve">A52</t>
  </si>
  <si>
    <t xml:space="preserve">Regular activities like renewing the management approval are also integrated into the business continuity governance processes.</t>
  </si>
  <si>
    <r>
      <rPr>
        <sz val="10"/>
        <color rgb="FF000000"/>
        <rFont val="WenQuanYi Zen Hei"/>
        <family val="2"/>
      </rPr>
      <t xml:space="preserve">경영진 승인의 갱신 같은 정기 활동도 </t>
    </r>
    <r>
      <rPr>
        <sz val="10"/>
        <color rgb="FF000000"/>
        <rFont val="맑은 고딕"/>
        <family val="0"/>
        <charset val="1"/>
      </rPr>
      <t xml:space="preserve">BC </t>
    </r>
    <r>
      <rPr>
        <sz val="10"/>
        <color rgb="FF000000"/>
        <rFont val="WenQuanYi Zen Hei"/>
        <family val="2"/>
      </rPr>
      <t xml:space="preserve">거버넌스 프로세스에 통합되어 있다</t>
    </r>
    <r>
      <rPr>
        <sz val="10"/>
        <color rgb="FF000000"/>
        <rFont val="맑은 고딕"/>
        <family val="0"/>
        <charset val="1"/>
      </rPr>
      <t xml:space="preserve">.</t>
    </r>
  </si>
  <si>
    <r>
      <rPr>
        <sz val="10"/>
        <color rgb="FF000000"/>
        <rFont val="WenQuanYi Zen Hei"/>
        <family val="2"/>
      </rPr>
      <t xml:space="preserve">최신성 차원</t>
    </r>
    <r>
      <rPr>
        <sz val="10"/>
        <color rgb="FF000000"/>
        <rFont val="맑은 고딕"/>
        <family val="0"/>
        <charset val="1"/>
      </rPr>
      <t xml:space="preserve">(</t>
    </r>
    <r>
      <rPr>
        <sz val="10"/>
        <color rgb="FF000000"/>
        <rFont val="WenQuanYi Zen Hei"/>
        <family val="2"/>
      </rPr>
      <t xml:space="preserve">승인 갱신</t>
    </r>
    <r>
      <rPr>
        <sz val="10"/>
        <color rgb="FF000000"/>
        <rFont val="맑은 고딕"/>
        <family val="0"/>
        <charset val="1"/>
      </rPr>
      <t xml:space="preserve">)</t>
    </r>
  </si>
  <si>
    <t xml:space="preserve">A53</t>
  </si>
  <si>
    <t xml:space="preserve">Regular reviews of BC plans and procedures and a process-oriented approach with continuous improvements are essential.</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</si>
  <si>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정기 검토와 지속적 개선을 동반한 프로세스 중심 접근이 필수적이다</t>
    </r>
    <r>
      <rPr>
        <sz val="10"/>
        <color rgb="FF000000"/>
        <rFont val="맑은 고딕"/>
        <family val="0"/>
        <charset val="1"/>
      </rPr>
      <t xml:space="preserve">.</t>
    </r>
  </si>
  <si>
    <r>
      <rPr>
        <sz val="10"/>
        <color rgb="FF000000"/>
        <rFont val="WenQuanYi Zen Hei"/>
        <family val="2"/>
      </rPr>
      <t xml:space="preserve">환류폐쇄성</t>
    </r>
    <r>
      <rPr>
        <sz val="10"/>
        <color rgb="FF000000"/>
        <rFont val="맑은 고딕"/>
        <family val="0"/>
        <charset val="1"/>
      </rPr>
      <t xml:space="preserve">·</t>
    </r>
    <r>
      <rPr>
        <sz val="10"/>
        <color rgb="FF000000"/>
        <rFont val="WenQuanYi Zen Hei"/>
        <family val="2"/>
      </rPr>
      <t xml:space="preserve">최신성 차원</t>
    </r>
  </si>
  <si>
    <t xml:space="preserve">A54</t>
  </si>
  <si>
    <t xml:space="preserve">The core processes of the BCMS are regularly evaluated and adjusted to ensure the effectiveness and efficiency of the system.</t>
  </si>
  <si>
    <r>
      <rPr>
        <sz val="10"/>
        <color rgb="FF000000"/>
        <rFont val="맑은 고딕"/>
        <family val="0"/>
        <charset val="1"/>
      </rPr>
      <t xml:space="preserve">BCMS</t>
    </r>
    <r>
      <rPr>
        <sz val="10"/>
        <color rgb="FF000000"/>
        <rFont val="WenQuanYi Zen Hei"/>
        <family val="2"/>
      </rPr>
      <t xml:space="preserve">의 핵심 프로세스는 시스템의 효과성과 효율성을 보장하기 위해 정기적으로 평가</t>
    </r>
    <r>
      <rPr>
        <sz val="10"/>
        <color rgb="FF000000"/>
        <rFont val="맑은 고딕"/>
        <family val="0"/>
        <charset val="1"/>
      </rPr>
      <t xml:space="preserve">·</t>
    </r>
    <r>
      <rPr>
        <sz val="10"/>
        <color rgb="FF000000"/>
        <rFont val="WenQuanYi Zen Hei"/>
        <family val="2"/>
      </rPr>
      <t xml:space="preserve">조정된다</t>
    </r>
    <r>
      <rPr>
        <sz val="10"/>
        <color rgb="FF000000"/>
        <rFont val="맑은 고딕"/>
        <family val="0"/>
        <charset val="1"/>
      </rPr>
      <t xml:space="preserve">.</t>
    </r>
  </si>
  <si>
    <t xml:space="preserve">환류폐쇄성 차원</t>
  </si>
  <si>
    <t xml:space="preserve">B17</t>
  </si>
  <si>
    <t xml:space="preserve">results and records (used as evidences during BCMS certification)</t>
  </si>
  <si>
    <r>
      <rPr>
        <sz val="10"/>
        <color rgb="FF000000"/>
        <rFont val="WenQuanYi Zen Hei"/>
        <family val="2"/>
      </rPr>
      <t xml:space="preserve">결과와 기록</t>
    </r>
    <r>
      <rPr>
        <sz val="10"/>
        <color rgb="FF000000"/>
        <rFont val="맑은 고딕"/>
        <family val="0"/>
        <charset val="1"/>
      </rPr>
      <t xml:space="preserve">(BCMS </t>
    </r>
    <r>
      <rPr>
        <sz val="10"/>
        <color rgb="FF000000"/>
        <rFont val="WenQuanYi Zen Hei"/>
        <family val="2"/>
      </rPr>
      <t xml:space="preserve">인증 과정에서 증거로 사용됨</t>
    </r>
    <r>
      <rPr>
        <sz val="10"/>
        <color rgb="FF000000"/>
        <rFont val="맑은 고딕"/>
        <family val="0"/>
        <charset val="1"/>
      </rPr>
      <t xml:space="preserve">)</t>
    </r>
  </si>
  <si>
    <r>
      <rPr>
        <sz val="10"/>
        <color rgb="FF000000"/>
        <rFont val="WenQuanYi Zen Hei"/>
        <family val="2"/>
      </rPr>
      <t xml:space="preserve">증빙성 차원</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증거</t>
    </r>
    <r>
      <rPr>
        <sz val="10"/>
        <color rgb="FF000000"/>
        <rFont val="맑은 고딕"/>
        <family val="0"/>
        <charset val="1"/>
      </rPr>
      <t xml:space="preserve">)</t>
    </r>
  </si>
  <si>
    <t xml:space="preserve">B18</t>
  </si>
  <si>
    <t xml:space="preserve">the monitorReview_C slot filled with BCMS_3Check_4 individual, and the maintImprove_A slot filled with BCMS_4Act_1 individual</t>
  </si>
  <si>
    <r>
      <rPr>
        <sz val="10"/>
        <color rgb="FF000000"/>
        <rFont val="맑은 고딕"/>
        <family val="0"/>
        <charset val="1"/>
      </rPr>
      <t xml:space="preserve">monitorReview_C slot</t>
    </r>
    <r>
      <rPr>
        <sz val="10"/>
        <color rgb="FF000000"/>
        <rFont val="WenQuanYi Zen Hei"/>
        <family val="2"/>
      </rPr>
      <t xml:space="preserve">은 </t>
    </r>
    <r>
      <rPr>
        <sz val="10"/>
        <color rgb="FF000000"/>
        <rFont val="맑은 고딕"/>
        <family val="0"/>
        <charset val="1"/>
      </rPr>
      <t xml:space="preserve">BCMS_3Check_4 </t>
    </r>
    <r>
      <rPr>
        <sz val="10"/>
        <color rgb="FF000000"/>
        <rFont val="WenQuanYi Zen Hei"/>
        <family val="2"/>
      </rPr>
      <t xml:space="preserve">개체로</t>
    </r>
    <r>
      <rPr>
        <sz val="10"/>
        <color rgb="FF000000"/>
        <rFont val="맑은 고딕"/>
        <family val="0"/>
        <charset val="1"/>
      </rPr>
      <t xml:space="preserve">, maintImprove_A slot</t>
    </r>
    <r>
      <rPr>
        <sz val="10"/>
        <color rgb="FF000000"/>
        <rFont val="WenQuanYi Zen Hei"/>
        <family val="2"/>
      </rPr>
      <t xml:space="preserve">은 </t>
    </r>
    <r>
      <rPr>
        <sz val="10"/>
        <color rgb="FF000000"/>
        <rFont val="맑은 고딕"/>
        <family val="0"/>
        <charset val="1"/>
      </rPr>
      <t xml:space="preserve">BCMS_4Act_1 </t>
    </r>
    <r>
      <rPr>
        <sz val="10"/>
        <color rgb="FF000000"/>
        <rFont val="WenQuanYi Zen Hei"/>
        <family val="2"/>
      </rPr>
      <t xml:space="preserve">개체로 채워진다</t>
    </r>
    <r>
      <rPr>
        <sz val="10"/>
        <color rgb="FF000000"/>
        <rFont val="맑은 고딕"/>
        <family val="0"/>
        <charset val="1"/>
      </rPr>
      <t xml:space="preserve">.</t>
    </r>
  </si>
  <si>
    <r>
      <rPr>
        <sz val="10"/>
        <color rgb="FF000000"/>
        <rFont val="WenQuanYi Zen Hei"/>
        <family val="2"/>
      </rPr>
      <t xml:space="preserve">환류폐쇄성 차원</t>
    </r>
    <r>
      <rPr>
        <sz val="10"/>
        <color rgb="FF000000"/>
        <rFont val="맑은 고딕"/>
        <family val="0"/>
        <charset val="1"/>
      </rPr>
      <t xml:space="preserve">(</t>
    </r>
    <r>
      <rPr>
        <sz val="10"/>
        <color rgb="FF000000"/>
        <rFont val="WenQuanYi Zen Hei"/>
        <family val="2"/>
      </rPr>
      <t xml:space="preserve">점검→개선 구조</t>
    </r>
    <r>
      <rPr>
        <sz val="10"/>
        <color rgb="FF000000"/>
        <rFont val="맑은 고딕"/>
        <family val="0"/>
        <charset val="1"/>
      </rPr>
      <t xml:space="preserve">)</t>
    </r>
  </si>
  <si>
    <r>
      <rPr>
        <b val="true"/>
        <sz val="14"/>
        <color rgb="FF101828"/>
        <rFont val="WenQuanYi Zen Hei"/>
        <family val="2"/>
      </rPr>
      <t xml:space="preserve">연결 </t>
    </r>
    <r>
      <rPr>
        <b val="true"/>
        <sz val="14"/>
        <color rgb="FF101828"/>
        <rFont val="맑은 고딕"/>
        <family val="0"/>
        <charset val="1"/>
      </rPr>
      <t xml:space="preserve">31</t>
    </r>
    <r>
      <rPr>
        <b val="true"/>
        <sz val="14"/>
        <color rgb="FF101828"/>
        <rFont val="WenQuanYi Zen Hei"/>
        <family val="2"/>
      </rPr>
      <t xml:space="preserve">개 — 인용 근거</t>
    </r>
    <r>
      <rPr>
        <b val="true"/>
        <sz val="14"/>
        <color rgb="FF101828"/>
        <rFont val="맑은 고딕"/>
        <family val="0"/>
        <charset val="1"/>
      </rPr>
      <t xml:space="preserve">(</t>
    </r>
    <r>
      <rPr>
        <b val="true"/>
        <sz val="14"/>
        <color rgb="FF101828"/>
        <rFont val="WenQuanYi Zen Hei"/>
        <family val="2"/>
      </rPr>
      <t xml:space="preserve">파랑</t>
    </r>
    <r>
      <rPr>
        <b val="true"/>
        <sz val="14"/>
        <color rgb="FF101828"/>
        <rFont val="맑은 고딕"/>
        <family val="0"/>
        <charset val="1"/>
      </rPr>
      <t xml:space="preserve">)</t>
    </r>
    <r>
      <rPr>
        <b val="true"/>
        <sz val="14"/>
        <color rgb="FF101828"/>
        <rFont val="WenQuanYi Zen Hei"/>
        <family val="2"/>
      </rPr>
      <t xml:space="preserve">와 연구자 의견</t>
    </r>
    <r>
      <rPr>
        <b val="true"/>
        <sz val="14"/>
        <color rgb="FF101828"/>
        <rFont val="맑은 고딕"/>
        <family val="0"/>
        <charset val="1"/>
      </rPr>
      <t xml:space="preserve">(</t>
    </r>
    <r>
      <rPr>
        <b val="true"/>
        <sz val="14"/>
        <color rgb="FF101828"/>
        <rFont val="WenQuanYi Zen Hei"/>
        <family val="2"/>
      </rPr>
      <t xml:space="preserve">빨강</t>
    </r>
    <r>
      <rPr>
        <b val="true"/>
        <sz val="14"/>
        <color rgb="FF101828"/>
        <rFont val="맑은 고딕"/>
        <family val="0"/>
        <charset val="1"/>
      </rPr>
      <t xml:space="preserve">)</t>
    </r>
    <r>
      <rPr>
        <b val="true"/>
        <sz val="14"/>
        <color rgb="FF101828"/>
        <rFont val="WenQuanYi Zen Hei"/>
        <family val="2"/>
      </rPr>
      <t xml:space="preserve">을 분리 </t>
    </r>
    <r>
      <rPr>
        <b val="true"/>
        <sz val="14"/>
        <color rgb="FF101828"/>
        <rFont val="맑은 고딕"/>
        <family val="0"/>
        <charset val="1"/>
      </rPr>
      <t xml:space="preserve">· </t>
    </r>
    <r>
      <rPr>
        <b val="true"/>
        <sz val="14"/>
        <color rgb="FF101828"/>
        <rFont val="WenQuanYi Zen Hei"/>
        <family val="2"/>
      </rPr>
      <t xml:space="preserve">연결근거 매트릭스</t>
    </r>
  </si>
  <si>
    <r>
      <rPr>
        <i val="true"/>
        <sz val="10"/>
        <color rgb="FF475467"/>
        <rFont val="맑은 고딕"/>
        <family val="0"/>
        <charset val="1"/>
      </rPr>
      <t xml:space="preserve">E1 </t>
    </r>
    <r>
      <rPr>
        <i val="true"/>
        <sz val="10"/>
        <color rgb="FF475467"/>
        <rFont val="WenQuanYi Zen Hei"/>
        <family val="2"/>
      </rPr>
      <t xml:space="preserve">직접 </t>
    </r>
    <r>
      <rPr>
        <i val="true"/>
        <sz val="10"/>
        <color rgb="FF475467"/>
        <rFont val="맑은 고딕"/>
        <family val="0"/>
        <charset val="1"/>
      </rPr>
      <t xml:space="preserve">/ E2 </t>
    </r>
    <r>
      <rPr>
        <i val="true"/>
        <sz val="10"/>
        <color rgb="FF475467"/>
        <rFont val="WenQuanYi Zen Hei"/>
        <family val="2"/>
      </rPr>
      <t xml:space="preserve">부분</t>
    </r>
    <r>
      <rPr>
        <i val="true"/>
        <sz val="10"/>
        <color rgb="FF475467"/>
        <rFont val="맑은 고딕"/>
        <family val="0"/>
        <charset val="1"/>
      </rPr>
      <t xml:space="preserve">(</t>
    </r>
    <r>
      <rPr>
        <i val="true"/>
        <sz val="10"/>
        <color rgb="FF475467"/>
        <rFont val="WenQuanYi Zen Hei"/>
        <family val="2"/>
      </rPr>
      <t xml:space="preserve">연구자 보완</t>
    </r>
    <r>
      <rPr>
        <i val="true"/>
        <sz val="10"/>
        <color rgb="FF475467"/>
        <rFont val="맑은 고딕"/>
        <family val="0"/>
        <charset val="1"/>
      </rPr>
      <t xml:space="preserve">) / E3 </t>
    </r>
    <r>
      <rPr>
        <i val="true"/>
        <sz val="10"/>
        <color rgb="FF475467"/>
        <rFont val="WenQuanYi Zen Hei"/>
        <family val="2"/>
      </rPr>
      <t xml:space="preserve">가정</t>
    </r>
    <r>
      <rPr>
        <i val="true"/>
        <sz val="10"/>
        <color rgb="FF475467"/>
        <rFont val="맑은 고딕"/>
        <family val="0"/>
        <charset val="1"/>
      </rPr>
      <t xml:space="preserve">. </t>
    </r>
    <r>
      <rPr>
        <i val="true"/>
        <sz val="10"/>
        <color rgb="FF475467"/>
        <rFont val="WenQuanYi Zen Hei"/>
        <family val="2"/>
      </rPr>
      <t xml:space="preserve">주 인용 원문은 인용근거 시트에서 자동으로 가져옴</t>
    </r>
    <r>
      <rPr>
        <i val="true"/>
        <sz val="10"/>
        <color rgb="FF475467"/>
        <rFont val="맑은 고딕"/>
        <family val="0"/>
        <charset val="1"/>
      </rPr>
      <t xml:space="preserve">.</t>
    </r>
  </si>
  <si>
    <t xml:space="preserve">영역</t>
  </si>
  <si>
    <r>
      <rPr>
        <b val="true"/>
        <sz val="10"/>
        <color rgb="FFFFFFFF"/>
        <rFont val="WenQuanYi Zen Hei"/>
        <family val="2"/>
      </rPr>
      <t xml:space="preserve">연결</t>
    </r>
    <r>
      <rPr>
        <b val="true"/>
        <sz val="10"/>
        <color rgb="FFFFFFFF"/>
        <rFont val="맑은 고딕"/>
        <family val="0"/>
        <charset val="1"/>
      </rPr>
      <t xml:space="preserve">(S→T)</t>
    </r>
  </si>
  <si>
    <r>
      <rPr>
        <b val="true"/>
        <sz val="10"/>
        <color rgb="FFFFFFFF"/>
        <rFont val="WenQuanYi Zen Hei"/>
        <family val="2"/>
      </rPr>
      <t xml:space="preserve">출발 </t>
    </r>
    <r>
      <rPr>
        <b val="true"/>
        <sz val="10"/>
        <color rgb="FFFFFFFF"/>
        <rFont val="맑은 고딕"/>
        <family val="0"/>
        <charset val="1"/>
      </rPr>
      <t xml:space="preserve">S</t>
    </r>
  </si>
  <si>
    <r>
      <rPr>
        <b val="true"/>
        <sz val="10"/>
        <color rgb="FFFFFFFF"/>
        <rFont val="WenQuanYi Zen Hei"/>
        <family val="2"/>
      </rPr>
      <t xml:space="preserve">도착 </t>
    </r>
    <r>
      <rPr>
        <b val="true"/>
        <sz val="10"/>
        <color rgb="FFFFFFFF"/>
        <rFont val="맑은 고딕"/>
        <family val="0"/>
        <charset val="1"/>
      </rPr>
      <t xml:space="preserve">T</t>
    </r>
  </si>
  <si>
    <r>
      <rPr>
        <b val="true"/>
        <sz val="10"/>
        <color rgb="FFFFFFFF"/>
        <rFont val="WenQuanYi Zen Hei"/>
        <family val="2"/>
      </rPr>
      <t xml:space="preserve">관계동사 </t>
    </r>
    <r>
      <rPr>
        <b val="true"/>
        <sz val="10"/>
        <color rgb="FFFFFFFF"/>
        <rFont val="맑은 고딕"/>
        <family val="0"/>
        <charset val="1"/>
      </rPr>
      <t xml:space="preserve">ID</t>
    </r>
  </si>
  <si>
    <t xml:space="preserve">집단</t>
  </si>
  <si>
    <t xml:space="preserve">환류 연결</t>
  </si>
  <si>
    <r>
      <rPr>
        <b val="true"/>
        <sz val="10"/>
        <color rgb="FFFFFFFF"/>
        <rFont val="WenQuanYi Zen Hei"/>
        <family val="2"/>
      </rPr>
      <t xml:space="preserve">주 인용 </t>
    </r>
    <r>
      <rPr>
        <b val="true"/>
        <sz val="10"/>
        <color rgb="FFFFFFFF"/>
        <rFont val="맑은 고딕"/>
        <family val="0"/>
        <charset val="1"/>
      </rPr>
      <t xml:space="preserve">ID</t>
    </r>
  </si>
  <si>
    <r>
      <rPr>
        <b val="true"/>
        <sz val="10"/>
        <color rgb="FFFFFFFF"/>
        <rFont val="WenQuanYi Zen Hei"/>
        <family val="2"/>
      </rPr>
      <t xml:space="preserve">주 인용 원문</t>
    </r>
    <r>
      <rPr>
        <b val="true"/>
        <sz val="10"/>
        <color rgb="FFFFFFFF"/>
        <rFont val="맑은 고딕"/>
        <family val="0"/>
        <charset val="1"/>
      </rPr>
      <t xml:space="preserve">(PDF </t>
    </r>
    <r>
      <rPr>
        <b val="true"/>
        <sz val="10"/>
        <color rgb="FFFFFFFF"/>
        <rFont val="WenQuanYi Zen Hei"/>
        <family val="2"/>
      </rPr>
      <t xml:space="preserve">대조 완료</t>
    </r>
    <r>
      <rPr>
        <b val="true"/>
        <sz val="10"/>
        <color rgb="FFFFFFFF"/>
        <rFont val="맑은 고딕"/>
        <family val="0"/>
        <charset val="1"/>
      </rPr>
      <t xml:space="preserve">)</t>
    </r>
  </si>
  <si>
    <r>
      <rPr>
        <b val="true"/>
        <sz val="10"/>
        <color rgb="FFFFFFFF"/>
        <rFont val="WenQuanYi Zen Hei"/>
        <family val="2"/>
      </rPr>
      <t xml:space="preserve">보조 인용 </t>
    </r>
    <r>
      <rPr>
        <b val="true"/>
        <sz val="10"/>
        <color rgb="FFFFFFFF"/>
        <rFont val="맑은 고딕"/>
        <family val="0"/>
        <charset val="1"/>
      </rPr>
      <t xml:space="preserve">ID</t>
    </r>
  </si>
  <si>
    <t xml:space="preserve">인용이 확립하는 사실</t>
  </si>
  <si>
    <r>
      <rPr>
        <b val="true"/>
        <sz val="10"/>
        <color rgb="FFFFFFFF"/>
        <rFont val="WenQuanYi Zen Hei"/>
        <family val="2"/>
      </rPr>
      <t xml:space="preserve">연구자 의견</t>
    </r>
    <r>
      <rPr>
        <b val="true"/>
        <sz val="10"/>
        <color rgb="FFFFFFFF"/>
        <rFont val="맑은 고딕"/>
        <family val="0"/>
        <charset val="1"/>
      </rPr>
      <t xml:space="preserve">: </t>
    </r>
    <r>
      <rPr>
        <b val="true"/>
        <sz val="10"/>
        <color rgb="FFFFFFFF"/>
        <rFont val="WenQuanYi Zen Hei"/>
        <family val="2"/>
      </rPr>
      <t xml:space="preserve">해석</t>
    </r>
    <r>
      <rPr>
        <b val="true"/>
        <sz val="10"/>
        <color rgb="FFFFFFFF"/>
        <rFont val="맑은 고딕"/>
        <family val="0"/>
        <charset val="1"/>
      </rPr>
      <t xml:space="preserve">·</t>
    </r>
    <r>
      <rPr>
        <b val="true"/>
        <sz val="10"/>
        <color rgb="FFFFFFFF"/>
        <rFont val="WenQuanYi Zen Hei"/>
        <family val="2"/>
      </rPr>
      <t xml:space="preserve">보완</t>
    </r>
    <r>
      <rPr>
        <b val="true"/>
        <sz val="10"/>
        <color rgb="FFFFFFFF"/>
        <rFont val="맑은 고딕"/>
        <family val="0"/>
        <charset val="1"/>
      </rPr>
      <t xml:space="preserve">·</t>
    </r>
    <r>
      <rPr>
        <b val="true"/>
        <sz val="10"/>
        <color rgb="FFFFFFFF"/>
        <rFont val="WenQuanYi Zen Hei"/>
        <family val="2"/>
      </rPr>
      <t xml:space="preserve">가정</t>
    </r>
  </si>
  <si>
    <r>
      <rPr>
        <b val="true"/>
        <sz val="10"/>
        <color rgb="FFFFFFFF"/>
        <rFont val="WenQuanYi Zen Hei"/>
        <family val="2"/>
      </rPr>
      <t xml:space="preserve">연구자 의견</t>
    </r>
    <r>
      <rPr>
        <b val="true"/>
        <sz val="10"/>
        <color rgb="FFFFFFFF"/>
        <rFont val="맑은 고딕"/>
        <family val="0"/>
        <charset val="1"/>
      </rPr>
      <t xml:space="preserve">: </t>
    </r>
    <r>
      <rPr>
        <b val="true"/>
        <sz val="10"/>
        <color rgb="FFFFFFFF"/>
        <rFont val="WenQuanYi Zen Hei"/>
        <family val="2"/>
      </rPr>
      <t xml:space="preserve">품질 차원 적용</t>
    </r>
  </si>
  <si>
    <r>
      <rPr>
        <b val="true"/>
        <sz val="10"/>
        <color rgb="FFFFFFFF"/>
        <rFont val="맑은 고딕"/>
        <family val="0"/>
        <charset val="1"/>
      </rPr>
      <t xml:space="preserve">Białas </t>
    </r>
    <r>
      <rPr>
        <b val="true"/>
        <sz val="10"/>
        <color rgb="FFFFFFFF"/>
        <rFont val="WenQuanYi Zen Hei"/>
        <family val="2"/>
      </rPr>
      <t xml:space="preserve">대응</t>
    </r>
  </si>
  <si>
    <t xml:space="preserve">검증 필요 사항</t>
  </si>
  <si>
    <t xml:space="preserve">기대 문항 수</t>
  </si>
  <si>
    <t xml:space="preserve">점검</t>
  </si>
  <si>
    <t xml:space="preserve">L01</t>
  </si>
  <si>
    <r>
      <rPr>
        <sz val="10"/>
        <color rgb="FF000000"/>
        <rFont val="WenQuanYi Zen Hei"/>
        <family val="2"/>
      </rPr>
      <t xml:space="preserve">① 요구</t>
    </r>
    <r>
      <rPr>
        <sz val="10"/>
        <color rgb="FF000000"/>
        <rFont val="맑은 고딕"/>
        <family val="0"/>
        <charset val="1"/>
      </rPr>
      <t xml:space="preserve">·</t>
    </r>
    <r>
      <rPr>
        <sz val="10"/>
        <color rgb="FF000000"/>
        <rFont val="WenQuanYi Zen Hei"/>
        <family val="2"/>
      </rPr>
      <t xml:space="preserve">분석</t>
    </r>
  </si>
  <si>
    <r>
      <rPr>
        <sz val="10"/>
        <color rgb="FF000000"/>
        <rFont val="맑은 고딕"/>
        <family val="0"/>
        <charset val="1"/>
      </rPr>
      <t xml:space="preserve">REQ </t>
    </r>
    <r>
      <rPr>
        <sz val="10"/>
        <color rgb="FF000000"/>
        <rFont val="WenQuanYi Zen Hei"/>
        <family val="2"/>
      </rPr>
      <t xml:space="preserve">요구사항관리 → </t>
    </r>
    <r>
      <rPr>
        <sz val="10"/>
        <color rgb="FF000000"/>
        <rFont val="맑은 고딕"/>
        <family val="0"/>
        <charset val="1"/>
      </rPr>
      <t xml:space="preserve">BIA BIA·</t>
    </r>
    <r>
      <rPr>
        <sz val="10"/>
        <color rgb="FF000000"/>
        <rFont val="WenQuanYi Zen Hei"/>
        <family val="2"/>
      </rPr>
      <t xml:space="preserve">중요도 분석</t>
    </r>
  </si>
  <si>
    <t xml:space="preserve">REQ</t>
  </si>
  <si>
    <t xml:space="preserve">BIA</t>
  </si>
  <si>
    <t xml:space="preserve">V01</t>
  </si>
  <si>
    <t xml:space="preserve">E1</t>
  </si>
  <si>
    <r>
      <rPr>
        <sz val="10"/>
        <color rgb="FF000000"/>
        <rFont val="WenQuanYi Zen Hei"/>
        <family val="2"/>
      </rPr>
      <t xml:space="preserve">요구사항관리가 식별한 법규</t>
    </r>
    <r>
      <rPr>
        <sz val="10"/>
        <color rgb="FF000000"/>
        <rFont val="맑은 고딕"/>
        <family val="0"/>
        <charset val="1"/>
      </rPr>
      <t xml:space="preserve">·</t>
    </r>
    <r>
      <rPr>
        <sz val="10"/>
        <color rgb="FF000000"/>
        <rFont val="WenQuanYi Zen Hei"/>
        <family val="2"/>
      </rPr>
      <t xml:space="preserve">규제</t>
    </r>
    <r>
      <rPr>
        <sz val="10"/>
        <color rgb="FF000000"/>
        <rFont val="맑은 고딕"/>
        <family val="0"/>
        <charset val="1"/>
      </rPr>
      <t xml:space="preserve">·</t>
    </r>
    <r>
      <rPr>
        <sz val="10"/>
        <color rgb="FF000000"/>
        <rFont val="WenQuanYi Zen Hei"/>
        <family val="2"/>
      </rPr>
      <t xml:space="preserve">계약 요구사항이 </t>
    </r>
    <r>
      <rPr>
        <sz val="10"/>
        <color rgb="FF000000"/>
        <rFont val="맑은 고딕"/>
        <family val="0"/>
        <charset val="1"/>
      </rPr>
      <t xml:space="preserve">BIA·</t>
    </r>
    <r>
      <rPr>
        <sz val="10"/>
        <color rgb="FF000000"/>
        <rFont val="WenQuanYi Zen Hei"/>
        <family val="2"/>
      </rPr>
      <t xml:space="preserve">중요도 분석 프로세스에 </t>
    </r>
    <r>
      <rPr>
        <sz val="10"/>
        <color rgb="FF000000"/>
        <rFont val="맑은 고딕"/>
        <family val="0"/>
        <charset val="1"/>
      </rPr>
      <t xml:space="preserve">"</t>
    </r>
    <r>
      <rPr>
        <sz val="10"/>
        <color rgb="FF000000"/>
        <rFont val="WenQuanYi Zen Hei"/>
        <family val="2"/>
      </rPr>
      <t xml:space="preserve">정보를 제공</t>
    </r>
    <r>
      <rPr>
        <sz val="10"/>
        <color rgb="FF000000"/>
        <rFont val="맑은 고딕"/>
        <family val="0"/>
        <charset val="1"/>
      </rPr>
      <t xml:space="preserve">(inform)"</t>
    </r>
    <r>
      <rPr>
        <sz val="10"/>
        <color rgb="FF000000"/>
        <rFont val="WenQuanYi Zen Hei"/>
        <family val="2"/>
      </rPr>
      <t xml:space="preserve">한다</t>
    </r>
    <r>
      <rPr>
        <sz val="10"/>
        <color rgb="FF000000"/>
        <rFont val="맑은 고딕"/>
        <family val="0"/>
        <charset val="1"/>
      </rPr>
      <t xml:space="preserve">.</t>
    </r>
  </si>
  <si>
    <r>
      <rPr>
        <sz val="10"/>
        <color rgb="FF000000"/>
        <rFont val="맑은 고딕"/>
        <family val="0"/>
        <charset val="1"/>
      </rPr>
      <t xml:space="preserve">"inform"</t>
    </r>
    <r>
      <rPr>
        <sz val="10"/>
        <color rgb="FF000000"/>
        <rFont val="WenQuanYi Zen Hei"/>
        <family val="2"/>
      </rPr>
      <t xml:space="preserve">을 </t>
    </r>
    <r>
      <rPr>
        <sz val="10"/>
        <color rgb="FF000000"/>
        <rFont val="맑은 고딕"/>
        <family val="0"/>
        <charset val="1"/>
      </rPr>
      <t xml:space="preserve">"S</t>
    </r>
    <r>
      <rPr>
        <sz val="10"/>
        <color rgb="FF000000"/>
        <rFont val="WenQuanYi Zen Hei"/>
        <family val="2"/>
      </rPr>
      <t xml:space="preserve">의 산출물이 </t>
    </r>
    <r>
      <rPr>
        <sz val="10"/>
        <color rgb="FF000000"/>
        <rFont val="맑은 고딕"/>
        <family val="0"/>
        <charset val="1"/>
      </rPr>
      <t xml:space="preserve">T</t>
    </r>
    <r>
      <rPr>
        <sz val="10"/>
        <color rgb="FF000000"/>
        <rFont val="WenQuanYi Zen Hei"/>
        <family val="2"/>
      </rPr>
      <t xml:space="preserve">의 입력</t>
    </r>
    <r>
      <rPr>
        <sz val="10"/>
        <color rgb="FF000000"/>
        <rFont val="맑은 고딕"/>
        <family val="0"/>
        <charset val="1"/>
      </rPr>
      <t xml:space="preserve">·</t>
    </r>
    <r>
      <rPr>
        <sz val="10"/>
        <color rgb="FF000000"/>
        <rFont val="WenQuanYi Zen Hei"/>
        <family val="2"/>
      </rPr>
      <t xml:space="preserve">기준이 된다</t>
    </r>
    <r>
      <rPr>
        <sz val="10"/>
        <color rgb="FF000000"/>
        <rFont val="맑은 고딕"/>
        <family val="0"/>
        <charset val="1"/>
      </rPr>
      <t xml:space="preserve">(informs)"</t>
    </r>
    <r>
      <rPr>
        <sz val="10"/>
        <color rgb="FF000000"/>
        <rFont val="WenQuanYi Zen Hei"/>
        <family val="2"/>
      </rPr>
      <t xml:space="preserve">로 해석</t>
    </r>
    <r>
      <rPr>
        <sz val="10"/>
        <color rgb="FF000000"/>
        <rFont val="맑은 고딕"/>
        <family val="0"/>
        <charset val="1"/>
      </rPr>
      <t xml:space="preserve">. A11</t>
    </r>
    <r>
      <rPr>
        <sz val="10"/>
        <color rgb="FF000000"/>
        <rFont val="WenQuanYi Zen Hei"/>
        <family val="2"/>
      </rPr>
      <t xml:space="preserve">은 </t>
    </r>
    <r>
      <rPr>
        <sz val="10"/>
        <color rgb="FF000000"/>
        <rFont val="맑은 고딕"/>
        <family val="0"/>
        <charset val="1"/>
      </rPr>
      <t xml:space="preserve">4</t>
    </r>
    <r>
      <rPr>
        <sz val="10"/>
        <color rgb="FF000000"/>
        <rFont val="WenQuanYi Zen Hei"/>
        <family val="2"/>
      </rPr>
      <t xml:space="preserve">개 프로세스를 한 문장으로 열거하므로 </t>
    </r>
    <r>
      <rPr>
        <sz val="10"/>
        <color rgb="FF000000"/>
        <rFont val="맑은 고딕"/>
        <family val="0"/>
        <charset val="1"/>
      </rPr>
      <t xml:space="preserve">L01·L02·L04·L05</t>
    </r>
    <r>
      <rPr>
        <sz val="10"/>
        <color rgb="FF000000"/>
        <rFont val="WenQuanYi Zen Hei"/>
        <family val="2"/>
      </rPr>
      <t xml:space="preserve">는 이 문장에서 연구자가 분리한 연결</t>
    </r>
    <r>
      <rPr>
        <sz val="10"/>
        <color rgb="FF000000"/>
        <rFont val="맑은 고딕"/>
        <family val="0"/>
        <charset val="1"/>
      </rPr>
      <t xml:space="preserve">.</t>
    </r>
  </si>
  <si>
    <r>
      <rPr>
        <sz val="10"/>
        <color rgb="FF000000"/>
        <rFont val="맑은 고딕"/>
        <family val="0"/>
        <charset val="1"/>
      </rPr>
      <t xml:space="preserve">5</t>
    </r>
    <r>
      <rPr>
        <sz val="10"/>
        <color rgb="FF000000"/>
        <rFont val="WenQuanYi Zen Hei"/>
        <family val="2"/>
      </rPr>
      <t xml:space="preserve">개 차원 적용</t>
    </r>
    <r>
      <rPr>
        <sz val="10"/>
        <color rgb="FF000000"/>
        <rFont val="맑은 고딕"/>
        <family val="0"/>
        <charset val="1"/>
      </rPr>
      <t xml:space="preserve">(</t>
    </r>
    <r>
      <rPr>
        <sz val="10"/>
        <color rgb="FF000000"/>
        <rFont val="WenQuanYi Zen Hei"/>
        <family val="2"/>
      </rPr>
      <t xml:space="preserve">환류폐쇄성은 환류 연결에만 적용</t>
    </r>
    <r>
      <rPr>
        <sz val="10"/>
        <color rgb="FF000000"/>
        <rFont val="맑은 고딕"/>
        <family val="0"/>
        <charset val="1"/>
      </rPr>
      <t xml:space="preserve">)</t>
    </r>
  </si>
  <si>
    <t xml:space="preserve">해당 없음</t>
  </si>
  <si>
    <r>
      <rPr>
        <sz val="10"/>
        <color rgb="FF000000"/>
        <rFont val="WenQuanYi Zen Hei"/>
        <family val="2"/>
      </rPr>
      <t xml:space="preserve">전문가 패널 연결 타당도 평가</t>
    </r>
    <r>
      <rPr>
        <sz val="10"/>
        <color rgb="FF000000"/>
        <rFont val="맑은 고딕"/>
        <family val="0"/>
        <charset val="1"/>
      </rPr>
      <t xml:space="preserve">(</t>
    </r>
    <r>
      <rPr>
        <sz val="10"/>
        <color rgb="FF000000"/>
        <rFont val="WenQuanYi Zen Hei"/>
        <family val="2"/>
      </rPr>
      <t xml:space="preserve">요구사항이 </t>
    </r>
    <r>
      <rPr>
        <sz val="10"/>
        <color rgb="FF000000"/>
        <rFont val="맑은 고딕"/>
        <family val="0"/>
        <charset val="1"/>
      </rPr>
      <t xml:space="preserve">BIA</t>
    </r>
    <r>
      <rPr>
        <sz val="10"/>
        <color rgb="FF000000"/>
        <rFont val="WenQuanYi Zen Hei"/>
        <family val="2"/>
      </rPr>
      <t xml:space="preserve">에 실제로 입력되는가</t>
    </r>
    <r>
      <rPr>
        <sz val="10"/>
        <color rgb="FF000000"/>
        <rFont val="맑은 고딕"/>
        <family val="0"/>
        <charset val="1"/>
      </rPr>
      <t xml:space="preserve">)</t>
    </r>
  </si>
  <si>
    <t xml:space="preserve">L02</t>
  </si>
  <si>
    <r>
      <rPr>
        <sz val="10"/>
        <color rgb="FF000000"/>
        <rFont val="맑은 고딕"/>
        <family val="0"/>
        <charset val="1"/>
      </rPr>
      <t xml:space="preserve">REQ </t>
    </r>
    <r>
      <rPr>
        <sz val="10"/>
        <color rgb="FF000000"/>
        <rFont val="WenQuanYi Zen Hei"/>
        <family val="2"/>
      </rPr>
      <t xml:space="preserve">요구사항관리 → </t>
    </r>
    <r>
      <rPr>
        <sz val="10"/>
        <color rgb="FF000000"/>
        <rFont val="맑은 고딕"/>
        <family val="0"/>
        <charset val="1"/>
      </rPr>
      <t xml:space="preserve">RA </t>
    </r>
    <r>
      <rPr>
        <sz val="10"/>
        <color rgb="FF000000"/>
        <rFont val="WenQuanYi Zen Hei"/>
        <family val="2"/>
      </rPr>
      <t xml:space="preserve">리스크평가</t>
    </r>
  </si>
  <si>
    <t xml:space="preserve">RA</t>
  </si>
  <si>
    <r>
      <rPr>
        <sz val="10"/>
        <color rgb="FF000000"/>
        <rFont val="WenQuanYi Zen Hei"/>
        <family val="2"/>
      </rPr>
      <t xml:space="preserve">요구사항관리의 결과가 리스크평가 프로세스에 정보를 제공한다</t>
    </r>
    <r>
      <rPr>
        <sz val="10"/>
        <color rgb="FF000000"/>
        <rFont val="맑은 고딕"/>
        <family val="0"/>
        <charset val="1"/>
      </rPr>
      <t xml:space="preserve">.</t>
    </r>
  </si>
  <si>
    <r>
      <rPr>
        <sz val="10"/>
        <color rgb="FF000000"/>
        <rFont val="WenQuanYi Zen Hei"/>
        <family val="2"/>
      </rPr>
      <t xml:space="preserve">인용문 분리 사유는 </t>
    </r>
    <r>
      <rPr>
        <sz val="10"/>
        <color rgb="FF000000"/>
        <rFont val="맑은 고딕"/>
        <family val="0"/>
        <charset val="1"/>
      </rPr>
      <t xml:space="preserve">L01</t>
    </r>
    <r>
      <rPr>
        <sz val="10"/>
        <color rgb="FF000000"/>
        <rFont val="WenQuanYi Zen Hei"/>
        <family val="2"/>
      </rPr>
      <t xml:space="preserve">과 동일</t>
    </r>
    <r>
      <rPr>
        <sz val="10"/>
        <color rgb="FF000000"/>
        <rFont val="맑은 고딕"/>
        <family val="0"/>
        <charset val="1"/>
      </rPr>
      <t xml:space="preserve">.</t>
    </r>
  </si>
  <si>
    <t xml:space="preserve">전문가 패널 연결 타당도 평가</t>
  </si>
  <si>
    <r>
      <rPr>
        <sz val="10"/>
        <color rgb="FF000000"/>
        <rFont val="맑은 고딕"/>
        <family val="0"/>
        <charset val="1"/>
      </rPr>
      <t xml:space="preserve">BIA BIA·</t>
    </r>
    <r>
      <rPr>
        <sz val="10"/>
        <color rgb="FF000000"/>
        <rFont val="WenQuanYi Zen Hei"/>
        <family val="2"/>
      </rPr>
      <t xml:space="preserve">중요도 분석 → </t>
    </r>
    <r>
      <rPr>
        <sz val="10"/>
        <color rgb="FF000000"/>
        <rFont val="맑은 고딕"/>
        <family val="0"/>
        <charset val="1"/>
      </rPr>
      <t xml:space="preserve">RA </t>
    </r>
    <r>
      <rPr>
        <sz val="10"/>
        <color rgb="FF000000"/>
        <rFont val="WenQuanYi Zen Hei"/>
        <family val="2"/>
      </rPr>
      <t xml:space="preserve">리스크평가</t>
    </r>
  </si>
  <si>
    <t xml:space="preserve">V02</t>
  </si>
  <si>
    <r>
      <rPr>
        <sz val="10"/>
        <color rgb="FF000000"/>
        <rFont val="WenQuanYi Zen Hei"/>
        <family val="2"/>
      </rPr>
      <t xml:space="preserve">리스크평가는 </t>
    </r>
    <r>
      <rPr>
        <sz val="10"/>
        <color rgb="FF000000"/>
        <rFont val="맑은 고딕"/>
        <family val="0"/>
        <charset val="1"/>
      </rPr>
      <t xml:space="preserve">BIA·</t>
    </r>
    <r>
      <rPr>
        <sz val="10"/>
        <color rgb="FF000000"/>
        <rFont val="WenQuanYi Zen Hei"/>
        <family val="2"/>
      </rPr>
      <t xml:space="preserve">중요도 분석의 결과를 기반</t>
    </r>
    <r>
      <rPr>
        <sz val="10"/>
        <color rgb="FF000000"/>
        <rFont val="맑은 고딕"/>
        <family val="0"/>
        <charset val="1"/>
      </rPr>
      <t xml:space="preserve">(foundation)</t>
    </r>
    <r>
      <rPr>
        <sz val="10"/>
        <color rgb="FF000000"/>
        <rFont val="WenQuanYi Zen Hei"/>
        <family val="2"/>
      </rPr>
      <t xml:space="preserve">으로 삼는다</t>
    </r>
    <r>
      <rPr>
        <sz val="10"/>
        <color rgb="FF000000"/>
        <rFont val="맑은 고딕"/>
        <family val="0"/>
        <charset val="1"/>
      </rPr>
      <t xml:space="preserve">. BIA</t>
    </r>
    <r>
      <rPr>
        <sz val="10"/>
        <color rgb="FF000000"/>
        <rFont val="WenQuanYi Zen Hei"/>
        <family val="2"/>
      </rPr>
      <t xml:space="preserve">의 최종 결과는 근거가 첨부된 문서화된 진술</t>
    </r>
    <r>
      <rPr>
        <sz val="10"/>
        <color rgb="FF000000"/>
        <rFont val="맑은 고딕"/>
        <family val="0"/>
        <charset val="1"/>
      </rPr>
      <t xml:space="preserve">(</t>
    </r>
    <r>
      <rPr>
        <sz val="10"/>
        <color rgb="FF000000"/>
        <rFont val="WenQuanYi Zen Hei"/>
        <family val="2"/>
      </rPr>
      <t xml:space="preserve">업무연속성 요구사항</t>
    </r>
    <r>
      <rPr>
        <sz val="10"/>
        <color rgb="FF000000"/>
        <rFont val="맑은 고딕"/>
        <family val="0"/>
        <charset val="1"/>
      </rPr>
      <t xml:space="preserve">)</t>
    </r>
    <r>
      <rPr>
        <sz val="10"/>
        <color rgb="FF000000"/>
        <rFont val="WenQuanYi Zen Hei"/>
        <family val="2"/>
      </rPr>
      <t xml:space="preserve">이다</t>
    </r>
    <r>
      <rPr>
        <sz val="10"/>
        <color rgb="FF000000"/>
        <rFont val="맑은 고딕"/>
        <family val="0"/>
        <charset val="1"/>
      </rPr>
      <t xml:space="preserve">.</t>
    </r>
  </si>
  <si>
    <r>
      <rPr>
        <sz val="10"/>
        <color rgb="FF000000"/>
        <rFont val="맑은 고딕"/>
        <family val="0"/>
        <charset val="1"/>
      </rPr>
      <t xml:space="preserve">"relies on ... as its foundation"</t>
    </r>
    <r>
      <rPr>
        <sz val="10"/>
        <color rgb="FF000000"/>
        <rFont val="WenQuanYi Zen Hei"/>
        <family val="2"/>
      </rPr>
      <t xml:space="preserve">을 </t>
    </r>
    <r>
      <rPr>
        <sz val="10"/>
        <color rgb="FF000000"/>
        <rFont val="맑은 고딕"/>
        <family val="0"/>
        <charset val="1"/>
      </rPr>
      <t xml:space="preserve">informs(</t>
    </r>
    <r>
      <rPr>
        <sz val="10"/>
        <color rgb="FF000000"/>
        <rFont val="WenQuanYi Zen Hei"/>
        <family val="2"/>
      </rPr>
      <t xml:space="preserve">입력</t>
    </r>
    <r>
      <rPr>
        <sz val="10"/>
        <color rgb="FF000000"/>
        <rFont val="맑은 고딕"/>
        <family val="0"/>
        <charset val="1"/>
      </rPr>
      <t xml:space="preserve">·</t>
    </r>
    <r>
      <rPr>
        <sz val="10"/>
        <color rgb="FF000000"/>
        <rFont val="WenQuanYi Zen Hei"/>
        <family val="2"/>
      </rPr>
      <t xml:space="preserve">기준</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t>
    </r>
  </si>
  <si>
    <t xml:space="preserve">L04</t>
  </si>
  <si>
    <r>
      <rPr>
        <sz val="10"/>
        <color rgb="FF000000"/>
        <rFont val="맑은 고딕"/>
        <family val="0"/>
        <charset val="1"/>
      </rPr>
      <t xml:space="preserve">REQ </t>
    </r>
    <r>
      <rPr>
        <sz val="10"/>
        <color rgb="FF000000"/>
        <rFont val="WenQuanYi Zen Hei"/>
        <family val="2"/>
      </rPr>
      <t xml:space="preserve">요구사항관리 → </t>
    </r>
    <r>
      <rPr>
        <sz val="10"/>
        <color rgb="FF000000"/>
        <rFont val="맑은 고딕"/>
        <family val="0"/>
        <charset val="1"/>
      </rPr>
      <t xml:space="preserve">AUD </t>
    </r>
    <r>
      <rPr>
        <sz val="10"/>
        <color rgb="FF000000"/>
        <rFont val="WenQuanYi Zen Hei"/>
        <family val="2"/>
      </rPr>
      <t xml:space="preserve">내부감사</t>
    </r>
  </si>
  <si>
    <t xml:space="preserve">AUD</t>
  </si>
  <si>
    <r>
      <rPr>
        <sz val="10"/>
        <color rgb="FF000000"/>
        <rFont val="WenQuanYi Zen Hei"/>
        <family val="2"/>
      </rPr>
      <t xml:space="preserve">요구사항관리의 결과가 내부감사 프로세스에 정보를 제공한다</t>
    </r>
    <r>
      <rPr>
        <sz val="10"/>
        <color rgb="FF000000"/>
        <rFont val="맑은 고딕"/>
        <family val="0"/>
        <charset val="1"/>
      </rPr>
      <t xml:space="preserve">.</t>
    </r>
  </si>
  <si>
    <r>
      <rPr>
        <sz val="10"/>
        <color rgb="FF000000"/>
        <rFont val="WenQuanYi Zen Hei"/>
        <family val="2"/>
      </rPr>
      <t xml:space="preserve">인용문 분리 사유는 </t>
    </r>
    <r>
      <rPr>
        <sz val="10"/>
        <color rgb="FF000000"/>
        <rFont val="맑은 고딕"/>
        <family val="0"/>
        <charset val="1"/>
      </rPr>
      <t xml:space="preserve">L01</t>
    </r>
    <r>
      <rPr>
        <sz val="10"/>
        <color rgb="FF000000"/>
        <rFont val="WenQuanYi Zen Hei"/>
        <family val="2"/>
      </rPr>
      <t xml:space="preserve">과 동일</t>
    </r>
    <r>
      <rPr>
        <sz val="10"/>
        <color rgb="FF000000"/>
        <rFont val="맑은 고딕"/>
        <family val="0"/>
        <charset val="1"/>
      </rPr>
      <t xml:space="preserve">. </t>
    </r>
    <r>
      <rPr>
        <sz val="10"/>
        <color rgb="FF000000"/>
        <rFont val="WenQuanYi Zen Hei"/>
        <family val="2"/>
      </rPr>
      <t xml:space="preserve">내부감사 기준에 요구사항이 포함된다는 구체적 형태는 연구자의 지표화</t>
    </r>
    <r>
      <rPr>
        <sz val="10"/>
        <color rgb="FF000000"/>
        <rFont val="맑은 고딕"/>
        <family val="0"/>
        <charset val="1"/>
      </rPr>
      <t xml:space="preserve">.</t>
    </r>
  </si>
  <si>
    <t xml:space="preserve">L05</t>
  </si>
  <si>
    <r>
      <rPr>
        <sz val="10"/>
        <color rgb="FF000000"/>
        <rFont val="맑은 고딕"/>
        <family val="0"/>
        <charset val="1"/>
      </rPr>
      <t xml:space="preserve">REQ </t>
    </r>
    <r>
      <rPr>
        <sz val="10"/>
        <color rgb="FF000000"/>
        <rFont val="WenQuanYi Zen Hei"/>
        <family val="2"/>
      </rPr>
      <t xml:space="preserve">요구사항관리 → </t>
    </r>
    <r>
      <rPr>
        <sz val="10"/>
        <color rgb="FF000000"/>
        <rFont val="맑은 고딕"/>
        <family val="0"/>
        <charset val="1"/>
      </rPr>
      <t xml:space="preserve">SUP </t>
    </r>
    <r>
      <rPr>
        <sz val="10"/>
        <color rgb="FF000000"/>
        <rFont val="WenQuanYi Zen Hei"/>
        <family val="2"/>
      </rPr>
      <t xml:space="preserve">공급망관리</t>
    </r>
  </si>
  <si>
    <t xml:space="preserve">SUP</t>
  </si>
  <si>
    <r>
      <rPr>
        <sz val="10"/>
        <color rgb="FF000000"/>
        <rFont val="WenQuanYi Zen Hei"/>
        <family val="2"/>
      </rPr>
      <t xml:space="preserve">요구사항관리의 결과가 공급망관리 프로세스에 정보를 제공한다</t>
    </r>
    <r>
      <rPr>
        <sz val="10"/>
        <color rgb="FF000000"/>
        <rFont val="맑은 고딕"/>
        <family val="0"/>
        <charset val="1"/>
      </rPr>
      <t xml:space="preserve">. </t>
    </r>
    <r>
      <rPr>
        <sz val="10"/>
        <color rgb="FF000000"/>
        <rFont val="WenQuanYi Zen Hei"/>
        <family val="2"/>
      </rPr>
      <t xml:space="preserve">외주 서비스는 업무연속성 관점에서 평가</t>
    </r>
    <r>
      <rPr>
        <sz val="10"/>
        <color rgb="FF000000"/>
        <rFont val="맑은 고딕"/>
        <family val="0"/>
        <charset val="1"/>
      </rPr>
      <t xml:space="preserve">·</t>
    </r>
    <r>
      <rPr>
        <sz val="10"/>
        <color rgb="FF000000"/>
        <rFont val="WenQuanYi Zen Hei"/>
        <family val="2"/>
      </rPr>
      <t xml:space="preserve">분석</t>
    </r>
    <r>
      <rPr>
        <sz val="10"/>
        <color rgb="FF000000"/>
        <rFont val="맑은 고딕"/>
        <family val="0"/>
        <charset val="1"/>
      </rPr>
      <t xml:space="preserve">·</t>
    </r>
    <r>
      <rPr>
        <sz val="10"/>
        <color rgb="FF000000"/>
        <rFont val="WenQuanYi Zen Hei"/>
        <family val="2"/>
      </rPr>
      <t xml:space="preserve">통제되어야 한다</t>
    </r>
    <r>
      <rPr>
        <sz val="10"/>
        <color rgb="FF000000"/>
        <rFont val="맑은 고딕"/>
        <family val="0"/>
        <charset val="1"/>
      </rPr>
      <t xml:space="preserve">.</t>
    </r>
  </si>
  <si>
    <r>
      <rPr>
        <sz val="10"/>
        <color rgb="FF000000"/>
        <rFont val="WenQuanYi Zen Hei"/>
        <family val="2"/>
      </rPr>
      <t xml:space="preserve">인용문 분리 사유는 </t>
    </r>
    <r>
      <rPr>
        <sz val="10"/>
        <color rgb="FF000000"/>
        <rFont val="맑은 고딕"/>
        <family val="0"/>
        <charset val="1"/>
      </rPr>
      <t xml:space="preserve">L01</t>
    </r>
    <r>
      <rPr>
        <sz val="10"/>
        <color rgb="FF000000"/>
        <rFont val="WenQuanYi Zen Hei"/>
        <family val="2"/>
      </rPr>
      <t xml:space="preserve">과 동일</t>
    </r>
    <r>
      <rPr>
        <sz val="10"/>
        <color rgb="FF000000"/>
        <rFont val="맑은 고딕"/>
        <family val="0"/>
        <charset val="1"/>
      </rPr>
      <t xml:space="preserve">. "</t>
    </r>
    <r>
      <rPr>
        <sz val="10"/>
        <color rgb="FF000000"/>
        <rFont val="WenQuanYi Zen Hei"/>
        <family val="2"/>
      </rPr>
      <t xml:space="preserve">공급업체 선정</t>
    </r>
    <r>
      <rPr>
        <sz val="10"/>
        <color rgb="FF000000"/>
        <rFont val="맑은 고딕"/>
        <family val="0"/>
        <charset val="1"/>
      </rPr>
      <t xml:space="preserve">·</t>
    </r>
    <r>
      <rPr>
        <sz val="10"/>
        <color rgb="FF000000"/>
        <rFont val="WenQuanYi Zen Hei"/>
        <family val="2"/>
      </rPr>
      <t xml:space="preserve">계약 조건에 </t>
    </r>
    <r>
      <rPr>
        <sz val="10"/>
        <color rgb="FF000000"/>
        <rFont val="맑은 고딕"/>
        <family val="0"/>
        <charset val="1"/>
      </rPr>
      <t xml:space="preserve">BC </t>
    </r>
    <r>
      <rPr>
        <sz val="10"/>
        <color rgb="FF000000"/>
        <rFont val="WenQuanYi Zen Hei"/>
        <family val="2"/>
      </rPr>
      <t xml:space="preserve">요구사항 포함</t>
    </r>
    <r>
      <rPr>
        <sz val="10"/>
        <color rgb="FF000000"/>
        <rFont val="맑은 고딕"/>
        <family val="0"/>
        <charset val="1"/>
      </rPr>
      <t xml:space="preserve">"</t>
    </r>
    <r>
      <rPr>
        <sz val="10"/>
        <color rgb="FF000000"/>
        <rFont val="WenQuanYi Zen Hei"/>
        <family val="2"/>
      </rPr>
      <t xml:space="preserve">은 </t>
    </r>
    <r>
      <rPr>
        <sz val="10"/>
        <color rgb="FF000000"/>
        <rFont val="맑은 고딕"/>
        <family val="0"/>
        <charset val="1"/>
      </rPr>
      <t xml:space="preserve">A39(</t>
    </r>
    <r>
      <rPr>
        <sz val="10"/>
        <color rgb="FF000000"/>
        <rFont val="WenQuanYi Zen Hei"/>
        <family val="2"/>
      </rPr>
      <t xml:space="preserve">외주 서비스 통제</t>
    </r>
    <r>
      <rPr>
        <sz val="10"/>
        <color rgb="FF000000"/>
        <rFont val="맑은 고딕"/>
        <family val="0"/>
        <charset val="1"/>
      </rPr>
      <t xml:space="preserve">)</t>
    </r>
    <r>
      <rPr>
        <sz val="10"/>
        <color rgb="FF000000"/>
        <rFont val="WenQuanYi Zen Hei"/>
        <family val="2"/>
      </rPr>
      <t xml:space="preserve">를 바탕으로 한 연구자의 지표화</t>
    </r>
    <r>
      <rPr>
        <sz val="10"/>
        <color rgb="FF000000"/>
        <rFont val="맑은 고딕"/>
        <family val="0"/>
        <charset val="1"/>
      </rPr>
      <t xml:space="preserve">.</t>
    </r>
  </si>
  <si>
    <r>
      <rPr>
        <sz val="10"/>
        <color rgb="FF000000"/>
        <rFont val="WenQuanYi Zen Hei"/>
        <family val="2"/>
      </rPr>
      <t xml:space="preserve">② 전략</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이행</t>
    </r>
  </si>
  <si>
    <r>
      <rPr>
        <sz val="10"/>
        <color rgb="FF000000"/>
        <rFont val="맑은 고딕"/>
        <family val="0"/>
        <charset val="1"/>
      </rPr>
      <t xml:space="preserve">BIA BIA·</t>
    </r>
    <r>
      <rPr>
        <sz val="10"/>
        <color rgb="FF000000"/>
        <rFont val="WenQuanYi Zen Hei"/>
        <family val="2"/>
      </rPr>
      <t xml:space="preserve">중요도 분석 → </t>
    </r>
    <r>
      <rPr>
        <sz val="10"/>
        <color rgb="FF000000"/>
        <rFont val="맑은 고딕"/>
        <family val="0"/>
        <charset val="1"/>
      </rPr>
      <t xml:space="preserve">STR 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결정</t>
    </r>
    <r>
      <rPr>
        <sz val="10"/>
        <color rgb="FF000000"/>
        <rFont val="맑은 고딕"/>
        <family val="0"/>
        <charset val="1"/>
      </rPr>
      <t xml:space="preserve">·</t>
    </r>
    <r>
      <rPr>
        <sz val="10"/>
        <color rgb="FF000000"/>
        <rFont val="WenQuanYi Zen Hei"/>
        <family val="2"/>
      </rPr>
      <t xml:space="preserve">선정</t>
    </r>
  </si>
  <si>
    <t xml:space="preserve">STR</t>
  </si>
  <si>
    <t xml:space="preserve">A13 / A37</t>
  </si>
  <si>
    <r>
      <rPr>
        <sz val="10"/>
        <color rgb="FF000000"/>
        <rFont val="맑은 고딕"/>
        <family val="0"/>
        <charset val="1"/>
      </rPr>
      <t xml:space="preserve">BIA·</t>
    </r>
    <r>
      <rPr>
        <sz val="10"/>
        <color rgb="FF000000"/>
        <rFont val="WenQuanYi Zen Hei"/>
        <family val="2"/>
      </rPr>
      <t xml:space="preserve">중요도 분석이 완료된 후</t>
    </r>
    <r>
      <rPr>
        <sz val="10"/>
        <color rgb="FF000000"/>
        <rFont val="맑은 고딕"/>
        <family val="0"/>
        <charset val="1"/>
      </rPr>
      <t xml:space="preserve">, </t>
    </r>
    <r>
      <rPr>
        <sz val="10"/>
        <color rgb="FF000000"/>
        <rFont val="WenQuanYi Zen Hei"/>
        <family val="2"/>
      </rPr>
      <t xml:space="preserve">승인된 업무연속성 요구사항이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솔루션의 결정</t>
    </r>
    <r>
      <rPr>
        <sz val="10"/>
        <color rgb="FF000000"/>
        <rFont val="맑은 고딕"/>
        <family val="0"/>
        <charset val="1"/>
      </rPr>
      <t xml:space="preserve">·</t>
    </r>
    <r>
      <rPr>
        <sz val="10"/>
        <color rgb="FF000000"/>
        <rFont val="WenQuanYi Zen Hei"/>
        <family val="2"/>
      </rPr>
      <t xml:space="preserve">선정을 안내</t>
    </r>
    <r>
      <rPr>
        <sz val="10"/>
        <color rgb="FF000000"/>
        <rFont val="맑은 고딕"/>
        <family val="0"/>
        <charset val="1"/>
      </rPr>
      <t xml:space="preserve">(guide)</t>
    </r>
    <r>
      <rPr>
        <sz val="10"/>
        <color rgb="FF000000"/>
        <rFont val="WenQuanYi Zen Hei"/>
        <family val="2"/>
      </rPr>
      <t xml:space="preserve">한다</t>
    </r>
    <r>
      <rPr>
        <sz val="10"/>
        <color rgb="FF000000"/>
        <rFont val="맑은 고딕"/>
        <family val="0"/>
        <charset val="1"/>
      </rPr>
      <t xml:space="preserve">. BIA </t>
    </r>
    <r>
      <rPr>
        <sz val="10"/>
        <color rgb="FF000000"/>
        <rFont val="WenQuanYi Zen Hei"/>
        <family val="2"/>
      </rPr>
      <t xml:space="preserve">결과는 경영진 승인을 거친다</t>
    </r>
    <r>
      <rPr>
        <sz val="10"/>
        <color rgb="FF000000"/>
        <rFont val="맑은 고딕"/>
        <family val="0"/>
        <charset val="1"/>
      </rPr>
      <t xml:space="preserve">.</t>
    </r>
  </si>
  <si>
    <r>
      <rPr>
        <sz val="10"/>
        <color rgb="FF000000"/>
        <rFont val="맑은 고딕"/>
        <family val="0"/>
        <charset val="1"/>
      </rPr>
      <t xml:space="preserve">"guide"</t>
    </r>
    <r>
      <rPr>
        <sz val="10"/>
        <color rgb="FF000000"/>
        <rFont val="WenQuanYi Zen Hei"/>
        <family val="2"/>
      </rPr>
      <t xml:space="preserve">를 </t>
    </r>
    <r>
      <rPr>
        <sz val="10"/>
        <color rgb="FF000000"/>
        <rFont val="맑은 고딕"/>
        <family val="0"/>
        <charset val="1"/>
      </rPr>
      <t xml:space="preserve">informs(</t>
    </r>
    <r>
      <rPr>
        <sz val="10"/>
        <color rgb="FF000000"/>
        <rFont val="WenQuanYi Zen Hei"/>
        <family val="2"/>
      </rPr>
      <t xml:space="preserve">입력</t>
    </r>
    <r>
      <rPr>
        <sz val="10"/>
        <color rgb="FF000000"/>
        <rFont val="맑은 고딕"/>
        <family val="0"/>
        <charset val="1"/>
      </rPr>
      <t xml:space="preserve">·</t>
    </r>
    <r>
      <rPr>
        <sz val="10"/>
        <color rgb="FF000000"/>
        <rFont val="WenQuanYi Zen Hei"/>
        <family val="2"/>
      </rPr>
      <t xml:space="preserve">기준</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t>
    </r>
  </si>
  <si>
    <r>
      <rPr>
        <sz val="10"/>
        <color rgb="FF000000"/>
        <rFont val="맑은 고딕"/>
        <family val="0"/>
        <charset val="1"/>
      </rPr>
      <t xml:space="preserve">STR 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결정</t>
    </r>
    <r>
      <rPr>
        <sz val="10"/>
        <color rgb="FF000000"/>
        <rFont val="맑은 고딕"/>
        <family val="0"/>
        <charset val="1"/>
      </rPr>
      <t xml:space="preserve">·</t>
    </r>
    <r>
      <rPr>
        <sz val="10"/>
        <color rgb="FF000000"/>
        <rFont val="WenQuanYi Zen Hei"/>
        <family val="2"/>
      </rPr>
      <t xml:space="preserve">선정 → </t>
    </r>
    <r>
      <rPr>
        <sz val="10"/>
        <color rgb="FF000000"/>
        <rFont val="맑은 고딕"/>
        <family val="0"/>
        <charset val="1"/>
      </rPr>
      <t xml:space="preserve">IMP </t>
    </r>
    <r>
      <rPr>
        <sz val="10"/>
        <color rgb="FF000000"/>
        <rFont val="WenQuanYi Zen Hei"/>
        <family val="2"/>
      </rPr>
      <t xml:space="preserve">솔루션 이행관리</t>
    </r>
  </si>
  <si>
    <t xml:space="preserve">IMP</t>
  </si>
  <si>
    <t xml:space="preserve">V03</t>
  </si>
  <si>
    <r>
      <rPr>
        <sz val="10"/>
        <color rgb="FF000000"/>
        <rFont val="WenQuanYi Zen Hei"/>
        <family val="2"/>
      </rPr>
      <t xml:space="preserve">솔루션 이행관리 프로세스는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솔루션과 필요한 변경이 계획대로 실행되도록 보장하며</t>
    </r>
    <r>
      <rPr>
        <sz val="10"/>
        <color rgb="FF000000"/>
        <rFont val="맑은 고딕"/>
        <family val="0"/>
        <charset val="1"/>
      </rPr>
      <t xml:space="preserve">, </t>
    </r>
    <r>
      <rPr>
        <sz val="10"/>
        <color rgb="FF000000"/>
        <rFont val="WenQuanYi Zen Hei"/>
        <family val="2"/>
      </rPr>
      <t xml:space="preserve">이를 개시하고 검증한다</t>
    </r>
    <r>
      <rPr>
        <sz val="10"/>
        <color rgb="FF000000"/>
        <rFont val="맑은 고딕"/>
        <family val="0"/>
        <charset val="1"/>
      </rPr>
      <t xml:space="preserve">.</t>
    </r>
  </si>
  <si>
    <r>
      <rPr>
        <sz val="10"/>
        <color rgb="FF000000"/>
        <rFont val="WenQuanYi Zen Hei"/>
        <family val="2"/>
      </rPr>
      <t xml:space="preserve">인용문의 주어는 이행관리이고 대상은 전략</t>
    </r>
    <r>
      <rPr>
        <sz val="10"/>
        <color rgb="FF000000"/>
        <rFont val="맑은 고딕"/>
        <family val="0"/>
        <charset val="1"/>
      </rPr>
      <t xml:space="preserve">·</t>
    </r>
    <r>
      <rPr>
        <sz val="10"/>
        <color rgb="FF000000"/>
        <rFont val="WenQuanYi Zen Hei"/>
        <family val="2"/>
      </rPr>
      <t xml:space="preserve">솔루션이므로 </t>
    </r>
    <r>
      <rPr>
        <sz val="10"/>
        <color rgb="FF000000"/>
        <rFont val="맑은 고딕"/>
        <family val="0"/>
        <charset val="1"/>
      </rPr>
      <t xml:space="preserve">"STR</t>
    </r>
    <r>
      <rPr>
        <sz val="10"/>
        <color rgb="FF000000"/>
        <rFont val="WenQuanYi Zen Hei"/>
        <family val="2"/>
      </rPr>
      <t xml:space="preserve">이 </t>
    </r>
    <r>
      <rPr>
        <sz val="10"/>
        <color rgb="FF000000"/>
        <rFont val="맑은 고딕"/>
        <family val="0"/>
        <charset val="1"/>
      </rPr>
      <t xml:space="preserve">IMP</t>
    </r>
    <r>
      <rPr>
        <sz val="10"/>
        <color rgb="FF000000"/>
        <rFont val="WenQuanYi Zen Hei"/>
        <family val="2"/>
      </rPr>
      <t xml:space="preserve">에서 구체화</t>
    </r>
    <r>
      <rPr>
        <sz val="10"/>
        <color rgb="FF000000"/>
        <rFont val="맑은 고딕"/>
        <family val="0"/>
        <charset val="1"/>
      </rPr>
      <t xml:space="preserve">·</t>
    </r>
    <r>
      <rPr>
        <sz val="10"/>
        <color rgb="FF000000"/>
        <rFont val="WenQuanYi Zen Hei"/>
        <family val="2"/>
      </rPr>
      <t xml:space="preserve">실행된다</t>
    </r>
    <r>
      <rPr>
        <sz val="10"/>
        <color rgb="FF000000"/>
        <rFont val="맑은 고딕"/>
        <family val="0"/>
        <charset val="1"/>
      </rPr>
      <t xml:space="preserve">"(STR→IMP)</t>
    </r>
    <r>
      <rPr>
        <sz val="10"/>
        <color rgb="FF000000"/>
        <rFont val="WenQuanYi Zen Hei"/>
        <family val="2"/>
      </rPr>
      <t xml:space="preserve">로 방향을 해석</t>
    </r>
    <r>
      <rPr>
        <sz val="10"/>
        <color rgb="FF000000"/>
        <rFont val="맑은 고딕"/>
        <family val="0"/>
        <charset val="1"/>
      </rPr>
      <t xml:space="preserve">. A36</t>
    </r>
    <r>
      <rPr>
        <sz val="10"/>
        <color rgb="FF000000"/>
        <rFont val="WenQuanYi Zen Hei"/>
        <family val="2"/>
      </rPr>
      <t xml:space="preserve">은 이행관리가 전략</t>
    </r>
    <r>
      <rPr>
        <sz val="10"/>
        <color rgb="FF000000"/>
        <rFont val="맑은 고딕"/>
        <family val="0"/>
        <charset val="1"/>
      </rPr>
      <t xml:space="preserve">·</t>
    </r>
    <r>
      <rPr>
        <sz val="10"/>
        <color rgb="FF000000"/>
        <rFont val="WenQuanYi Zen Hei"/>
        <family val="2"/>
      </rPr>
      <t xml:space="preserve">솔루션을 </t>
    </r>
    <r>
      <rPr>
        <sz val="10"/>
        <color rgb="FF000000"/>
        <rFont val="맑은 고딕"/>
        <family val="0"/>
        <charset val="1"/>
      </rPr>
      <t xml:space="preserve">"verifying"</t>
    </r>
    <r>
      <rPr>
        <sz val="10"/>
        <color rgb="FF000000"/>
        <rFont val="WenQuanYi Zen Hei"/>
        <family val="2"/>
      </rPr>
      <t xml:space="preserve">한다고 서술하며</t>
    </r>
    <r>
      <rPr>
        <sz val="10"/>
        <color rgb="FF000000"/>
        <rFont val="맑은 고딕"/>
        <family val="0"/>
        <charset val="1"/>
      </rPr>
      <t xml:space="preserve">, </t>
    </r>
    <r>
      <rPr>
        <sz val="10"/>
        <color rgb="FF000000"/>
        <rFont val="WenQuanYi Zen Hei"/>
        <family val="2"/>
      </rPr>
      <t xml:space="preserve">이는 정합성</t>
    </r>
    <r>
      <rPr>
        <sz val="10"/>
        <color rgb="FF000000"/>
        <rFont val="맑은 고딕"/>
        <family val="0"/>
        <charset val="1"/>
      </rPr>
      <t xml:space="preserve">·</t>
    </r>
    <r>
      <rPr>
        <sz val="10"/>
        <color rgb="FF000000"/>
        <rFont val="WenQuanYi Zen Hei"/>
        <family val="2"/>
      </rPr>
      <t xml:space="preserve">증빙성 문항에서 </t>
    </r>
    <r>
      <rPr>
        <sz val="10"/>
        <color rgb="FF000000"/>
        <rFont val="맑은 고딕"/>
        <family val="0"/>
        <charset val="1"/>
      </rPr>
      <t xml:space="preserve">"</t>
    </r>
    <r>
      <rPr>
        <sz val="10"/>
        <color rgb="FF000000"/>
        <rFont val="WenQuanYi Zen Hei"/>
        <family val="2"/>
      </rPr>
      <t xml:space="preserve">확인하는 행위</t>
    </r>
    <r>
      <rPr>
        <sz val="10"/>
        <color rgb="FF000000"/>
        <rFont val="맑은 고딕"/>
        <family val="0"/>
        <charset val="1"/>
      </rPr>
      <t xml:space="preserve">"</t>
    </r>
    <r>
      <rPr>
        <sz val="10"/>
        <color rgb="FF000000"/>
        <rFont val="WenQuanYi Zen Hei"/>
        <family val="2"/>
      </rPr>
      <t xml:space="preserve">를 구체화할 때 참고했다</t>
    </r>
    <r>
      <rPr>
        <sz val="10"/>
        <color rgb="FF000000"/>
        <rFont val="맑은 고딕"/>
        <family val="0"/>
        <charset val="1"/>
      </rPr>
      <t xml:space="preserve">.</t>
    </r>
  </si>
  <si>
    <r>
      <rPr>
        <sz val="10"/>
        <color rgb="FF000000"/>
        <rFont val="맑은 고딕"/>
        <family val="0"/>
        <charset val="1"/>
      </rPr>
      <t xml:space="preserve">STR 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결정</t>
    </r>
    <r>
      <rPr>
        <sz val="10"/>
        <color rgb="FF000000"/>
        <rFont val="맑은 고딕"/>
        <family val="0"/>
        <charset val="1"/>
      </rPr>
      <t xml:space="preserve">·</t>
    </r>
    <r>
      <rPr>
        <sz val="10"/>
        <color rgb="FF000000"/>
        <rFont val="WenQuanYi Zen Hei"/>
        <family val="2"/>
      </rPr>
      <t xml:space="preserve">선정 → </t>
    </r>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t>
    </r>
  </si>
  <si>
    <t xml:space="preserve">PLAN</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</si>
  <si>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절차는 식별된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솔루션에서 도출</t>
    </r>
    <r>
      <rPr>
        <sz val="10"/>
        <color rgb="FF000000"/>
        <rFont val="맑은 고딕"/>
        <family val="0"/>
        <charset val="1"/>
      </rPr>
      <t xml:space="preserve">(derived)</t>
    </r>
    <r>
      <rPr>
        <sz val="10"/>
        <color rgb="FF000000"/>
        <rFont val="WenQuanYi Zen Hei"/>
        <family val="2"/>
      </rPr>
      <t xml:space="preserve">되어 개발된다</t>
    </r>
    <r>
      <rPr>
        <sz val="10"/>
        <color rgb="FF000000"/>
        <rFont val="맑은 고딕"/>
        <family val="0"/>
        <charset val="1"/>
      </rPr>
      <t xml:space="preserve">.</t>
    </r>
  </si>
  <si>
    <r>
      <rPr>
        <sz val="10"/>
        <color rgb="FF000000"/>
        <rFont val="맑은 고딕"/>
        <family val="0"/>
        <charset val="1"/>
      </rPr>
      <t xml:space="preserve">"derived from"</t>
    </r>
    <r>
      <rPr>
        <sz val="10"/>
        <color rgb="FF000000"/>
        <rFont val="WenQuanYi Zen Hei"/>
        <family val="2"/>
      </rPr>
      <t xml:space="preserve">을 </t>
    </r>
    <r>
      <rPr>
        <sz val="10"/>
        <color rgb="FF000000"/>
        <rFont val="맑은 고딕"/>
        <family val="0"/>
        <charset val="1"/>
      </rPr>
      <t xml:space="preserve">elaboratedInto(S</t>
    </r>
    <r>
      <rPr>
        <sz val="10"/>
        <color rgb="FF000000"/>
        <rFont val="WenQuanYi Zen Hei"/>
        <family val="2"/>
      </rPr>
      <t xml:space="preserve">의 내용이 </t>
    </r>
    <r>
      <rPr>
        <sz val="10"/>
        <color rgb="FF000000"/>
        <rFont val="맑은 고딕"/>
        <family val="0"/>
        <charset val="1"/>
      </rPr>
      <t xml:space="preserve">T</t>
    </r>
    <r>
      <rPr>
        <sz val="10"/>
        <color rgb="FF000000"/>
        <rFont val="WenQuanYi Zen Hei"/>
        <family val="2"/>
      </rPr>
      <t xml:space="preserve">로 구체화됨</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t>
    </r>
  </si>
  <si>
    <r>
      <rPr>
        <sz val="10"/>
        <color rgb="FF000000"/>
        <rFont val="맑은 고딕"/>
        <family val="0"/>
        <charset val="1"/>
      </rPr>
      <t xml:space="preserve">RA </t>
    </r>
    <r>
      <rPr>
        <sz val="10"/>
        <color rgb="FF000000"/>
        <rFont val="WenQuanYi Zen Hei"/>
        <family val="2"/>
      </rPr>
      <t xml:space="preserve">리스크평가 → </t>
    </r>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t>
    </r>
  </si>
  <si>
    <r>
      <rPr>
        <sz val="10"/>
        <color rgb="FF000000"/>
        <rFont val="WenQuanYi Zen Hei"/>
        <family val="2"/>
      </rPr>
      <t xml:space="preserve">리스크평가는 업무연속성 계획</t>
    </r>
    <r>
      <rPr>
        <sz val="10"/>
        <color rgb="FF000000"/>
        <rFont val="맑은 고딕"/>
        <family val="0"/>
        <charset val="1"/>
      </rPr>
      <t xml:space="preserve">·</t>
    </r>
    <r>
      <rPr>
        <sz val="10"/>
        <color rgb="FF000000"/>
        <rFont val="WenQuanYi Zen Hei"/>
        <family val="2"/>
      </rPr>
      <t xml:space="preserve">절차 개발에 필수적인 입력</t>
    </r>
    <r>
      <rPr>
        <sz val="10"/>
        <color rgb="FF000000"/>
        <rFont val="맑은 고딕"/>
        <family val="0"/>
        <charset val="1"/>
      </rPr>
      <t xml:space="preserve">(essential input)</t>
    </r>
    <r>
      <rPr>
        <sz val="10"/>
        <color rgb="FF000000"/>
        <rFont val="WenQuanYi Zen Hei"/>
        <family val="2"/>
      </rPr>
      <t xml:space="preserve">을 제공한다</t>
    </r>
    <r>
      <rPr>
        <sz val="10"/>
        <color rgb="FF000000"/>
        <rFont val="맑은 고딕"/>
        <family val="0"/>
        <charset val="1"/>
      </rPr>
      <t xml:space="preserve">.</t>
    </r>
  </si>
  <si>
    <r>
      <rPr>
        <sz val="10"/>
        <color rgb="FF000000"/>
        <rFont val="맑은 고딕"/>
        <family val="0"/>
        <charset val="1"/>
      </rPr>
      <t xml:space="preserve">A17</t>
    </r>
    <r>
      <rPr>
        <sz val="10"/>
        <color rgb="FF000000"/>
        <rFont val="WenQuanYi Zen Hei"/>
        <family val="2"/>
      </rPr>
      <t xml:space="preserve">의 주어 </t>
    </r>
    <r>
      <rPr>
        <sz val="10"/>
        <color rgb="FF000000"/>
        <rFont val="맑은 고딕"/>
        <family val="0"/>
        <charset val="1"/>
      </rPr>
      <t xml:space="preserve">"it"</t>
    </r>
    <r>
      <rPr>
        <sz val="10"/>
        <color rgb="FF000000"/>
        <rFont val="WenQuanYi Zen Hei"/>
        <family val="2"/>
      </rPr>
      <t xml:space="preserve">이 리스크평가 프로세스임은 앞 문장의 주어에서 연구자가 확인한 지시 관계</t>
    </r>
    <r>
      <rPr>
        <sz val="10"/>
        <color rgb="FF000000"/>
        <rFont val="맑은 고딕"/>
        <family val="0"/>
        <charset val="1"/>
      </rPr>
      <t xml:space="preserve">.</t>
    </r>
  </si>
  <si>
    <t xml:space="preserve">L10</t>
  </si>
  <si>
    <r>
      <rPr>
        <sz val="10"/>
        <color rgb="FF000000"/>
        <rFont val="맑은 고딕"/>
        <family val="0"/>
        <charset val="1"/>
      </rPr>
      <t xml:space="preserve">RES </t>
    </r>
    <r>
      <rPr>
        <sz val="10"/>
        <color rgb="FF000000"/>
        <rFont val="WenQuanYi Zen Hei"/>
        <family val="2"/>
      </rPr>
      <t xml:space="preserve">자원관리 → </t>
    </r>
    <r>
      <rPr>
        <sz val="10"/>
        <color rgb="FF000000"/>
        <rFont val="맑은 고딕"/>
        <family val="0"/>
        <charset val="1"/>
      </rPr>
      <t xml:space="preserve">IMP </t>
    </r>
    <r>
      <rPr>
        <sz val="10"/>
        <color rgb="FF000000"/>
        <rFont val="WenQuanYi Zen Hei"/>
        <family val="2"/>
      </rPr>
      <t xml:space="preserve">솔루션 이행관리</t>
    </r>
  </si>
  <si>
    <t xml:space="preserve">RES</t>
  </si>
  <si>
    <t xml:space="preserve">V09</t>
  </si>
  <si>
    <t xml:space="preserve">E2</t>
  </si>
  <si>
    <t xml:space="preserve">A38 / B16</t>
  </si>
  <si>
    <r>
      <rPr>
        <sz val="10"/>
        <color rgb="FF000000"/>
        <rFont val="WenQuanYi Zen Hei"/>
        <family val="2"/>
      </rPr>
      <t xml:space="preserve">자원관리의 산출물에는 선정된 전략의 이행</t>
    </r>
    <r>
      <rPr>
        <sz val="10"/>
        <color rgb="FF000000"/>
        <rFont val="맑은 고딕"/>
        <family val="0"/>
        <charset val="1"/>
      </rPr>
      <t xml:space="preserve">·</t>
    </r>
    <r>
      <rPr>
        <sz val="10"/>
        <color rgb="FF000000"/>
        <rFont val="WenQuanYi Zen Hei"/>
        <family val="2"/>
      </rPr>
      <t xml:space="preserve">운영을 위한 문서화된 자원이 포함된다</t>
    </r>
    <r>
      <rPr>
        <sz val="10"/>
        <color rgb="FF000000"/>
        <rFont val="맑은 고딕"/>
        <family val="0"/>
        <charset val="1"/>
      </rPr>
      <t xml:space="preserve">. </t>
    </r>
    <r>
      <rPr>
        <sz val="10"/>
        <color rgb="FF000000"/>
        <rFont val="WenQuanYi Zen Hei"/>
        <family val="2"/>
      </rPr>
      <t xml:space="preserve">전략 실행에 필요한 자원은 자원관리에서 식별</t>
    </r>
    <r>
      <rPr>
        <sz val="10"/>
        <color rgb="FF000000"/>
        <rFont val="맑은 고딕"/>
        <family val="0"/>
        <charset val="1"/>
      </rPr>
      <t xml:space="preserve">·</t>
    </r>
    <r>
      <rPr>
        <sz val="10"/>
        <color rgb="FF000000"/>
        <rFont val="WenQuanYi Zen Hei"/>
        <family val="2"/>
      </rPr>
      <t xml:space="preserve">배정</t>
    </r>
    <r>
      <rPr>
        <sz val="10"/>
        <color rgb="FF000000"/>
        <rFont val="맑은 고딕"/>
        <family val="0"/>
        <charset val="1"/>
      </rPr>
      <t xml:space="preserve">·</t>
    </r>
    <r>
      <rPr>
        <sz val="10"/>
        <color rgb="FF000000"/>
        <rFont val="WenQuanYi Zen Hei"/>
        <family val="2"/>
      </rPr>
      <t xml:space="preserve">모니터링된다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</si>
  <si>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보완</t>
    </r>
    <r>
      <rPr>
        <sz val="10"/>
        <color rgb="FF000000"/>
        <rFont val="맑은 고딕"/>
        <family val="0"/>
        <charset val="1"/>
      </rPr>
      <t xml:space="preserve">] </t>
    </r>
    <r>
      <rPr>
        <sz val="10"/>
        <color rgb="FF000000"/>
        <rFont val="WenQuanYi Zen Hei"/>
        <family val="2"/>
      </rPr>
      <t xml:space="preserve">인용문은 </t>
    </r>
    <r>
      <rPr>
        <sz val="10"/>
        <color rgb="FF000000"/>
        <rFont val="맑은 고딕"/>
        <family val="0"/>
        <charset val="1"/>
      </rPr>
      <t xml:space="preserve">"selected strategies</t>
    </r>
    <r>
      <rPr>
        <sz val="10"/>
        <color rgb="FF000000"/>
        <rFont val="WenQuanYi Zen Hei"/>
        <family val="2"/>
      </rPr>
      <t xml:space="preserve">의 </t>
    </r>
    <r>
      <rPr>
        <sz val="10"/>
        <color rgb="FF000000"/>
        <rFont val="맑은 고딕"/>
        <family val="0"/>
        <charset val="1"/>
      </rPr>
      <t xml:space="preserve">implementing and running"</t>
    </r>
    <r>
      <rPr>
        <sz val="10"/>
        <color rgb="FF000000"/>
        <rFont val="WenQuanYi Zen Hei"/>
        <family val="2"/>
      </rPr>
      <t xml:space="preserve">을 위한 자원이라고만 쓰며 도착 프로세스를 특정하지 않는다</t>
    </r>
    <r>
      <rPr>
        <sz val="10"/>
        <color rgb="FF000000"/>
        <rFont val="맑은 고딕"/>
        <family val="0"/>
        <charset val="1"/>
      </rPr>
      <t xml:space="preserve">. </t>
    </r>
    <r>
      <rPr>
        <sz val="10"/>
        <color rgb="FF000000"/>
        <rFont val="WenQuanYi Zen Hei"/>
        <family val="2"/>
      </rPr>
      <t xml:space="preserve">이를 솔루션 이행관리</t>
    </r>
    <r>
      <rPr>
        <sz val="10"/>
        <color rgb="FF000000"/>
        <rFont val="맑은 고딕"/>
        <family val="0"/>
        <charset val="1"/>
      </rPr>
      <t xml:space="preserve">(IMP)</t>
    </r>
    <r>
      <rPr>
        <sz val="10"/>
        <color rgb="FF000000"/>
        <rFont val="WenQuanYi Zen Hei"/>
        <family val="2"/>
      </rPr>
      <t xml:space="preserve">로 특정한 것은 연구자 해석</t>
    </r>
    <r>
      <rPr>
        <sz val="10"/>
        <color rgb="FF000000"/>
        <rFont val="맑은 고딕"/>
        <family val="0"/>
        <charset val="1"/>
      </rPr>
      <t xml:space="preserve">(</t>
    </r>
    <r>
      <rPr>
        <sz val="10"/>
        <color rgb="FF000000"/>
        <rFont val="WenQuanYi Zen Hei"/>
        <family val="2"/>
      </rPr>
      <t xml:space="preserve">운영</t>
    </r>
    <r>
      <rPr>
        <sz val="10"/>
        <color rgb="FF000000"/>
        <rFont val="맑은 고딕"/>
        <family val="0"/>
        <charset val="1"/>
      </rPr>
      <t xml:space="preserve">(running)</t>
    </r>
    <r>
      <rPr>
        <sz val="10"/>
        <color rgb="FF000000"/>
        <rFont val="WenQuanYi Zen Hei"/>
        <family val="2"/>
      </rPr>
      <t xml:space="preserve">은 </t>
    </r>
    <r>
      <rPr>
        <sz val="10"/>
        <color rgb="FF000000"/>
        <rFont val="맑은 고딕"/>
        <family val="0"/>
        <charset val="1"/>
      </rPr>
      <t xml:space="preserve">IMP </t>
    </r>
    <r>
      <rPr>
        <sz val="10"/>
        <color rgb="FF000000"/>
        <rFont val="WenQuanYi Zen Hei"/>
        <family val="2"/>
      </rPr>
      <t xml:space="preserve">외 프로세스일 수도 있음</t>
    </r>
    <r>
      <rPr>
        <sz val="10"/>
        <color rgb="FF000000"/>
        <rFont val="맑은 고딕"/>
        <family val="0"/>
        <charset val="1"/>
      </rPr>
      <t xml:space="preserve">).</t>
    </r>
  </si>
  <si>
    <r>
      <rPr>
        <sz val="10"/>
        <color rgb="FF000000"/>
        <rFont val="맑은 고딕"/>
        <family val="0"/>
        <charset val="1"/>
      </rPr>
      <t xml:space="preserve">Białas</t>
    </r>
    <r>
      <rPr>
        <sz val="10"/>
        <color rgb="FF000000"/>
        <rFont val="WenQuanYi Zen Hei"/>
        <family val="2"/>
      </rPr>
      <t xml:space="preserve">는 </t>
    </r>
    <r>
      <rPr>
        <sz val="10"/>
        <color rgb="FF000000"/>
        <rFont val="맑은 고딕"/>
        <family val="0"/>
        <charset val="1"/>
      </rPr>
      <t xml:space="preserve">supportedByResource slot</t>
    </r>
    <r>
      <rPr>
        <sz val="10"/>
        <color rgb="FF000000"/>
        <rFont val="WenQuanYi Zen Hei"/>
        <family val="2"/>
      </rPr>
      <t xml:space="preserve">으로 </t>
    </r>
    <r>
      <rPr>
        <sz val="10"/>
        <color rgb="FF000000"/>
        <rFont val="맑은 고딕"/>
        <family val="0"/>
        <charset val="1"/>
      </rPr>
      <t xml:space="preserve">BCMS</t>
    </r>
    <r>
      <rPr>
        <sz val="10"/>
        <color rgb="FF000000"/>
        <rFont val="WenQuanYi Zen Hei"/>
        <family val="2"/>
      </rPr>
      <t xml:space="preserve">를 지원하는 자원 개체를 둔다</t>
    </r>
    <r>
      <rPr>
        <sz val="10"/>
        <color rgb="FF000000"/>
        <rFont val="맑은 고딕"/>
        <family val="0"/>
        <charset val="1"/>
      </rPr>
      <t xml:space="preserve">(B16). </t>
    </r>
    <r>
      <rPr>
        <sz val="10"/>
        <color rgb="FF000000"/>
        <rFont val="WenQuanYi Zen Hei"/>
        <family val="2"/>
      </rPr>
      <t xml:space="preserve">프로세스 간 연결은 아님</t>
    </r>
    <r>
      <rPr>
        <sz val="10"/>
        <color rgb="FF000000"/>
        <rFont val="맑은 고딕"/>
        <family val="0"/>
        <charset val="1"/>
      </rPr>
      <t xml:space="preserve">.</t>
    </r>
  </si>
  <si>
    <r>
      <rPr>
        <sz val="10"/>
        <color rgb="FF000000"/>
        <rFont val="WenQuanYi Zen Hei"/>
        <family val="2"/>
      </rPr>
      <t xml:space="preserve">전문가 패널에서 도착 프로세스</t>
    </r>
    <r>
      <rPr>
        <sz val="10"/>
        <color rgb="FF000000"/>
        <rFont val="맑은 고딕"/>
        <family val="0"/>
        <charset val="1"/>
      </rPr>
      <t xml:space="preserve">(IMP)</t>
    </r>
    <r>
      <rPr>
        <sz val="10"/>
        <color rgb="FF000000"/>
        <rFont val="WenQuanYi Zen Hei"/>
        <family val="2"/>
      </rPr>
      <t xml:space="preserve">가 적절한지 평가</t>
    </r>
    <r>
      <rPr>
        <sz val="10"/>
        <color rgb="FF000000"/>
        <rFont val="맑은 고딕"/>
        <family val="0"/>
        <charset val="1"/>
      </rPr>
      <t xml:space="preserve">. </t>
    </r>
    <r>
      <rPr>
        <sz val="10"/>
        <color rgb="FF000000"/>
        <rFont val="WenQuanYi Zen Hei"/>
        <family val="2"/>
      </rPr>
      <t xml:space="preserve">부적절하면 도착을 </t>
    </r>
    <r>
      <rPr>
        <sz val="10"/>
        <color rgb="FF000000"/>
        <rFont val="맑은 고딕"/>
        <family val="0"/>
        <charset val="1"/>
      </rPr>
      <t xml:space="preserve">"</t>
    </r>
    <r>
      <rPr>
        <sz val="10"/>
        <color rgb="FF000000"/>
        <rFont val="WenQuanYi Zen Hei"/>
        <family val="2"/>
      </rPr>
      <t xml:space="preserve">핵심 프로세스 전반</t>
    </r>
    <r>
      <rPr>
        <sz val="10"/>
        <color rgb="FF000000"/>
        <rFont val="맑은 고딕"/>
        <family val="0"/>
        <charset val="1"/>
      </rPr>
      <t xml:space="preserve">"</t>
    </r>
    <r>
      <rPr>
        <sz val="10"/>
        <color rgb="FF000000"/>
        <rFont val="WenQuanYi Zen Hei"/>
        <family val="2"/>
      </rPr>
      <t xml:space="preserve">으로 변경</t>
    </r>
  </si>
  <si>
    <r>
      <rPr>
        <sz val="10"/>
        <color rgb="FF000000"/>
        <rFont val="맑은 고딕"/>
        <family val="0"/>
        <charset val="1"/>
      </rPr>
      <t xml:space="preserve">BIA BIA·</t>
    </r>
    <r>
      <rPr>
        <sz val="10"/>
        <color rgb="FF000000"/>
        <rFont val="WenQuanYi Zen Hei"/>
        <family val="2"/>
      </rPr>
      <t xml:space="preserve">중요도 분석 → </t>
    </r>
    <r>
      <rPr>
        <sz val="10"/>
        <color rgb="FF000000"/>
        <rFont val="맑은 고딕"/>
        <family val="0"/>
        <charset val="1"/>
      </rPr>
      <t xml:space="preserve">RES </t>
    </r>
    <r>
      <rPr>
        <sz val="10"/>
        <color rgb="FF000000"/>
        <rFont val="WenQuanYi Zen Hei"/>
        <family val="2"/>
      </rPr>
      <t xml:space="preserve">자원관리</t>
    </r>
  </si>
  <si>
    <t xml:space="preserve">E3</t>
  </si>
  <si>
    <t xml:space="preserve">B10 / B11 / A38</t>
  </si>
  <si>
    <r>
      <rPr>
        <sz val="10"/>
        <color rgb="FF000000"/>
        <rFont val="맑은 고딕"/>
        <family val="0"/>
        <charset val="1"/>
      </rPr>
      <t xml:space="preserve">Białas</t>
    </r>
    <r>
      <rPr>
        <sz val="10"/>
        <color rgb="FF000000"/>
        <rFont val="WenQuanYi Zen Hei"/>
        <family val="2"/>
      </rPr>
      <t xml:space="preserve">는 </t>
    </r>
    <r>
      <rPr>
        <sz val="10"/>
        <color rgb="FF000000"/>
        <rFont val="맑은 고딕"/>
        <family val="0"/>
        <charset val="1"/>
      </rPr>
      <t xml:space="preserve">BIA </t>
    </r>
    <r>
      <rPr>
        <sz val="10"/>
        <color rgb="FF000000"/>
        <rFont val="WenQuanYi Zen Hei"/>
        <family val="2"/>
      </rPr>
      <t xml:space="preserve">보고서를 </t>
    </r>
    <r>
      <rPr>
        <sz val="10"/>
        <color rgb="FF000000"/>
        <rFont val="맑은 고딕"/>
        <family val="0"/>
        <charset val="1"/>
      </rPr>
      <t xml:space="preserve">"</t>
    </r>
    <r>
      <rPr>
        <sz val="10"/>
        <color rgb="FF000000"/>
        <rFont val="WenQuanYi Zen Hei"/>
        <family val="2"/>
      </rPr>
      <t xml:space="preserve">서비스 재개에 필요한 자원</t>
    </r>
    <r>
      <rPr>
        <sz val="10"/>
        <color rgb="FF000000"/>
        <rFont val="맑은 고딕"/>
        <family val="0"/>
        <charset val="1"/>
      </rPr>
      <t xml:space="preserve">"</t>
    </r>
    <r>
      <rPr>
        <sz val="10"/>
        <color rgb="FF000000"/>
        <rFont val="WenQuanYi Zen Hei"/>
        <family val="2"/>
      </rPr>
      <t xml:space="preserve">으로 질의하는 예를 보여 준다</t>
    </r>
    <r>
      <rPr>
        <sz val="10"/>
        <color rgb="FF000000"/>
        <rFont val="맑은 고딕"/>
        <family val="0"/>
        <charset val="1"/>
      </rPr>
      <t xml:space="preserve">. Arias</t>
    </r>
    <r>
      <rPr>
        <sz val="10"/>
        <color rgb="FF000000"/>
        <rFont val="WenQuanYi Zen Hei"/>
        <family val="2"/>
      </rPr>
      <t xml:space="preserve">는 자원관리가 전략</t>
    </r>
    <r>
      <rPr>
        <sz val="10"/>
        <color rgb="FF000000"/>
        <rFont val="맑은 고딕"/>
        <family val="0"/>
        <charset val="1"/>
      </rPr>
      <t xml:space="preserve">·BCMS </t>
    </r>
    <r>
      <rPr>
        <sz val="10"/>
        <color rgb="FF000000"/>
        <rFont val="WenQuanYi Zen Hei"/>
        <family val="2"/>
      </rPr>
      <t xml:space="preserve">프로세스 실행에 필요한 자원을 식별한다고만 서술한다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</si>
  <si>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가정</t>
    </r>
    <r>
      <rPr>
        <sz val="10"/>
        <color rgb="FF000000"/>
        <rFont val="맑은 고딕"/>
        <family val="0"/>
        <charset val="1"/>
      </rPr>
      <t xml:space="preserve">] BIA</t>
    </r>
    <r>
      <rPr>
        <sz val="10"/>
        <color rgb="FF000000"/>
        <rFont val="WenQuanYi Zen Hei"/>
        <family val="2"/>
      </rPr>
      <t xml:space="preserve">가 파악한 복구 필요 자원이 자원관리 계획에 투입된다는 연결은 </t>
    </r>
    <r>
      <rPr>
        <sz val="10"/>
        <color rgb="FF000000"/>
        <rFont val="맑은 고딕"/>
        <family val="0"/>
        <charset val="1"/>
      </rPr>
      <t xml:space="preserve">Arias</t>
    </r>
    <r>
      <rPr>
        <sz val="10"/>
        <color rgb="FF000000"/>
        <rFont val="WenQuanYi Zen Hei"/>
        <family val="2"/>
      </rPr>
      <t xml:space="preserve">에 서술이 없다</t>
    </r>
    <r>
      <rPr>
        <sz val="10"/>
        <color rgb="FF000000"/>
        <rFont val="맑은 고딕"/>
        <family val="0"/>
        <charset val="1"/>
      </rPr>
      <t xml:space="preserve">. Białas</t>
    </r>
    <r>
      <rPr>
        <sz val="10"/>
        <color rgb="FF000000"/>
        <rFont val="WenQuanYi Zen Hei"/>
        <family val="2"/>
      </rPr>
      <t xml:space="preserve">의 예는 프로세스 간 연결이 아니라 </t>
    </r>
    <r>
      <rPr>
        <sz val="10"/>
        <color rgb="FF000000"/>
        <rFont val="맑은 고딕"/>
        <family val="0"/>
        <charset val="1"/>
      </rPr>
      <t xml:space="preserve">BIA </t>
    </r>
    <r>
      <rPr>
        <sz val="10"/>
        <color rgb="FF000000"/>
        <rFont val="WenQuanYi Zen Hei"/>
        <family val="2"/>
      </rPr>
      <t xml:space="preserve">보고서 내부 속성</t>
    </r>
    <r>
      <rPr>
        <sz val="10"/>
        <color rgb="FF000000"/>
        <rFont val="맑은 고딕"/>
        <family val="0"/>
        <charset val="1"/>
      </rPr>
      <t xml:space="preserve">(</t>
    </r>
    <r>
      <rPr>
        <sz val="10"/>
        <color rgb="FF000000"/>
        <rFont val="WenQuanYi Zen Hei"/>
        <family val="2"/>
      </rPr>
      <t xml:space="preserve">자원 항목</t>
    </r>
    <r>
      <rPr>
        <sz val="10"/>
        <color rgb="FF000000"/>
        <rFont val="맑은 고딕"/>
        <family val="0"/>
        <charset val="1"/>
      </rPr>
      <t xml:space="preserve">)</t>
    </r>
    <r>
      <rPr>
        <sz val="10"/>
        <color rgb="FF000000"/>
        <rFont val="WenQuanYi Zen Hei"/>
        <family val="2"/>
      </rPr>
      <t xml:space="preserve">을 질의하는 수준이므로 유추 근거에 그친다</t>
    </r>
    <r>
      <rPr>
        <sz val="10"/>
        <color rgb="FF000000"/>
        <rFont val="맑은 고딕"/>
        <family val="0"/>
        <charset val="1"/>
      </rPr>
      <t xml:space="preserve">.</t>
    </r>
  </si>
  <si>
    <r>
      <rPr>
        <sz val="10"/>
        <color rgb="FF000000"/>
        <rFont val="맑은 고딕"/>
        <family val="0"/>
        <charset val="1"/>
      </rPr>
      <t xml:space="preserve">Białas §2.8 Fig.4 </t>
    </r>
    <r>
      <rPr>
        <sz val="10"/>
        <color rgb="FF000000"/>
        <rFont val="WenQuanYi Zen Hei"/>
        <family val="2"/>
      </rPr>
      <t xml:space="preserve">설명</t>
    </r>
    <r>
      <rPr>
        <sz val="10"/>
        <color rgb="FF000000"/>
        <rFont val="맑은 고딕"/>
        <family val="0"/>
        <charset val="1"/>
      </rPr>
      <t xml:space="preserve">(B10, B11): BIAreport</t>
    </r>
    <r>
      <rPr>
        <sz val="10"/>
        <color rgb="FF000000"/>
        <rFont val="WenQuanYi Zen Hei"/>
        <family val="2"/>
      </rPr>
      <t xml:space="preserve">의 </t>
    </r>
    <r>
      <rPr>
        <sz val="10"/>
        <color rgb="FF000000"/>
        <rFont val="맑은 고딕"/>
        <family val="0"/>
        <charset val="1"/>
      </rPr>
      <t xml:space="preserve">resour4Resumption </t>
    </r>
    <r>
      <rPr>
        <sz val="10"/>
        <color rgb="FF000000"/>
        <rFont val="WenQuanYi Zen Hei"/>
        <family val="2"/>
      </rPr>
      <t xml:space="preserve">속성</t>
    </r>
  </si>
  <si>
    <r>
      <rPr>
        <sz val="10"/>
        <color rgb="FF000000"/>
        <rFont val="WenQuanYi Zen Hei"/>
        <family val="2"/>
      </rPr>
      <t xml:space="preserve">전문가 합의 필수</t>
    </r>
    <r>
      <rPr>
        <sz val="10"/>
        <color rgb="FF000000"/>
        <rFont val="맑은 고딕"/>
        <family val="0"/>
        <charset val="1"/>
      </rPr>
      <t xml:space="preserve">. </t>
    </r>
    <r>
      <rPr>
        <sz val="10"/>
        <color rgb="FF000000"/>
        <rFont val="WenQuanYi Zen Hei"/>
        <family val="2"/>
      </rPr>
      <t xml:space="preserve">합의 </t>
    </r>
    <r>
      <rPr>
        <sz val="10"/>
        <color rgb="FF000000"/>
        <rFont val="맑은 고딕"/>
        <family val="0"/>
        <charset val="1"/>
      </rPr>
      <t xml:space="preserve">80% </t>
    </r>
    <r>
      <rPr>
        <sz val="10"/>
        <color rgb="FF000000"/>
        <rFont val="WenQuanYi Zen Hei"/>
        <family val="2"/>
      </rPr>
      <t xml:space="preserve">미만이면 삭제</t>
    </r>
    <r>
      <rPr>
        <sz val="10"/>
        <color rgb="FF000000"/>
        <rFont val="맑은 고딕"/>
        <family val="0"/>
        <charset val="1"/>
      </rPr>
      <t xml:space="preserve">(Arias A44 </t>
    </r>
    <r>
      <rPr>
        <sz val="10"/>
        <color rgb="FF000000"/>
        <rFont val="WenQuanYi Zen Hei"/>
        <family val="2"/>
      </rPr>
      <t xml:space="preserve">판정 틀 준용</t>
    </r>
    <r>
      <rPr>
        <sz val="10"/>
        <color rgb="FF000000"/>
        <rFont val="맑은 고딕"/>
        <family val="0"/>
        <charset val="1"/>
      </rPr>
      <t xml:space="preserve">)</t>
    </r>
  </si>
  <si>
    <r>
      <rPr>
        <sz val="10"/>
        <color rgb="FF000000"/>
        <rFont val="WenQuanYi Zen Hei"/>
        <family val="2"/>
      </rPr>
      <t xml:space="preserve">③ 대응</t>
    </r>
    <r>
      <rPr>
        <sz val="10"/>
        <color rgb="FF000000"/>
        <rFont val="맑은 고딕"/>
        <family val="0"/>
        <charset val="1"/>
      </rPr>
      <t xml:space="preserve">·</t>
    </r>
    <r>
      <rPr>
        <sz val="10"/>
        <color rgb="FF000000"/>
        <rFont val="WenQuanYi Zen Hei"/>
        <family val="2"/>
      </rPr>
      <t xml:space="preserve">복구</t>
    </r>
    <r>
      <rPr>
        <sz val="10"/>
        <color rgb="FF000000"/>
        <rFont val="맑은 고딕"/>
        <family val="0"/>
        <charset val="1"/>
      </rPr>
      <t xml:space="preserve">·</t>
    </r>
    <r>
      <rPr>
        <sz val="10"/>
        <color rgb="FF000000"/>
        <rFont val="WenQuanYi Zen Hei"/>
        <family val="2"/>
      </rPr>
      <t xml:space="preserve">훈련</t>
    </r>
  </si>
  <si>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 → </t>
    </r>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t>
    </r>
  </si>
  <si>
    <t xml:space="preserve">INC</t>
  </si>
  <si>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솔루션의 가동은 중단 사건에 대응하여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실행을 통해 개시된다</t>
    </r>
    <r>
      <rPr>
        <sz val="10"/>
        <color rgb="FF000000"/>
        <rFont val="맑은 고딕"/>
        <family val="0"/>
        <charset val="1"/>
      </rPr>
      <t xml:space="preserve">. </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커뮤니케이션은 조직의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안에서 대응을 조정한다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</si>
  <si>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보완</t>
    </r>
    <r>
      <rPr>
        <sz val="10"/>
        <color rgb="FF000000"/>
        <rFont val="맑은 고딕"/>
        <family val="0"/>
        <charset val="1"/>
      </rPr>
      <t xml:space="preserve">] </t>
    </r>
    <r>
      <rPr>
        <sz val="10"/>
        <color rgb="FF000000"/>
        <rFont val="WenQuanYi Zen Hei"/>
        <family val="2"/>
      </rPr>
      <t xml:space="preserve">인용문은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중단 사건 대응 시 실행된다</t>
    </r>
    <r>
      <rPr>
        <sz val="10"/>
        <color rgb="FF000000"/>
        <rFont val="맑은 고딕"/>
        <family val="0"/>
        <charset val="1"/>
      </rPr>
      <t xml:space="preserve">"</t>
    </r>
    <r>
      <rPr>
        <sz val="10"/>
        <color rgb="FF000000"/>
        <rFont val="WenQuanYi Zen Hei"/>
        <family val="2"/>
      </rPr>
      <t xml:space="preserve">고 쓰지만 도착 프로세스를 </t>
    </r>
    <r>
      <rPr>
        <sz val="10"/>
        <color rgb="FF000000"/>
        <rFont val="맑은 고딕"/>
        <family val="0"/>
        <charset val="1"/>
      </rPr>
      <t xml:space="preserve">"</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t>
    </r>
    <r>
      <rPr>
        <sz val="10"/>
        <color rgb="FF000000"/>
        <rFont val="맑은 고딕"/>
        <family val="0"/>
        <charset val="1"/>
      </rPr>
      <t xml:space="preserve">"</t>
    </r>
    <r>
      <rPr>
        <sz val="10"/>
        <color rgb="FF000000"/>
        <rFont val="WenQuanYi Zen Hei"/>
        <family val="2"/>
      </rPr>
      <t xml:space="preserve">으로 명시하지 않는다</t>
    </r>
    <r>
      <rPr>
        <sz val="10"/>
        <color rgb="FF000000"/>
        <rFont val="맑은 고딕"/>
        <family val="0"/>
        <charset val="1"/>
      </rPr>
      <t xml:space="preserve">.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대응이 </t>
    </r>
    <r>
      <rPr>
        <sz val="10"/>
        <color rgb="FF000000"/>
        <rFont val="맑은 고딕"/>
        <family val="0"/>
        <charset val="1"/>
      </rPr>
      <t xml:space="preserve">"</t>
    </r>
    <r>
      <rPr>
        <sz val="10"/>
        <color rgb="FF000000"/>
        <rFont val="WenQuanYi Zen Hei"/>
        <family val="2"/>
      </rPr>
      <t xml:space="preserve">중단 사건 관리의 포괄적 접근</t>
    </r>
    <r>
      <rPr>
        <sz val="10"/>
        <color rgb="FF000000"/>
        <rFont val="맑은 고딕"/>
        <family val="0"/>
        <charset val="1"/>
      </rPr>
      <t xml:space="preserve">"</t>
    </r>
    <r>
      <rPr>
        <sz val="10"/>
        <color rgb="FF000000"/>
        <rFont val="WenQuanYi Zen Hei"/>
        <family val="2"/>
      </rPr>
      <t xml:space="preserve">을 정의한다는 같은 쪽 서술과 결합해 </t>
    </r>
    <r>
      <rPr>
        <sz val="10"/>
        <color rgb="FF000000"/>
        <rFont val="맑은 고딕"/>
        <family val="0"/>
        <charset val="1"/>
      </rPr>
      <t xml:space="preserve">PLAN→INC</t>
    </r>
    <r>
      <rPr>
        <sz val="10"/>
        <color rgb="FF000000"/>
        <rFont val="WenQuanYi Zen Hei"/>
        <family val="2"/>
      </rPr>
      <t xml:space="preserve">로 해석</t>
    </r>
    <r>
      <rPr>
        <sz val="10"/>
        <color rgb="FF000000"/>
        <rFont val="맑은 고딕"/>
        <family val="0"/>
        <charset val="1"/>
      </rPr>
      <t xml:space="preserve">.</t>
    </r>
  </si>
  <si>
    <t xml:space="preserve">L13</t>
  </si>
  <si>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 </t>
    </r>
    <r>
      <rPr>
        <sz val="10"/>
        <color rgb="FF000000"/>
        <rFont val="맑은 고딕"/>
        <family val="0"/>
        <charset val="1"/>
      </rPr>
      <t xml:space="preserve">WARN </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t>
    </r>
  </si>
  <si>
    <t xml:space="preserve">WARN</t>
  </si>
  <si>
    <t xml:space="preserve">V08</t>
  </si>
  <si>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프로세스는 두 개의 주요 하위 프로세스</t>
    </r>
    <r>
      <rPr>
        <sz val="10"/>
        <color rgb="FF000000"/>
        <rFont val="맑은 고딕"/>
        <family val="0"/>
        <charset val="1"/>
      </rPr>
      <t xml:space="preserve">(</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t>
    </r>
    <r>
      <rPr>
        <sz val="10"/>
        <color rgb="FF000000"/>
        <rFont val="맑은 고딕"/>
        <family val="0"/>
        <charset val="1"/>
      </rPr>
      <t xml:space="preserve">, </t>
    </r>
    <r>
      <rPr>
        <sz val="10"/>
        <color rgb="FF000000"/>
        <rFont val="WenQuanYi Zen Hei"/>
        <family val="2"/>
      </rPr>
      <t xml:space="preserve">복구</t>
    </r>
    <r>
      <rPr>
        <sz val="10"/>
        <color rgb="FF000000"/>
        <rFont val="맑은 고딕"/>
        <family val="0"/>
        <charset val="1"/>
      </rPr>
      <t xml:space="preserve">)</t>
    </r>
    <r>
      <rPr>
        <sz val="10"/>
        <color rgb="FF000000"/>
        <rFont val="WenQuanYi Zen Hei"/>
        <family val="2"/>
      </rPr>
      <t xml:space="preserve">를 포함한다</t>
    </r>
    <r>
      <rPr>
        <sz val="10"/>
        <color rgb="FF000000"/>
        <rFont val="맑은 고딕"/>
        <family val="0"/>
        <charset val="1"/>
      </rPr>
      <t xml:space="preserve">. </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안에서 대응을 조정한다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</si>
  <si>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판단</t>
    </r>
    <r>
      <rPr>
        <sz val="10"/>
        <color rgb="FF000000"/>
        <rFont val="맑은 고딕"/>
        <family val="0"/>
        <charset val="1"/>
      </rPr>
      <t xml:space="preserve">] "subprocess"</t>
    </r>
    <r>
      <rPr>
        <sz val="10"/>
        <color rgb="FF000000"/>
        <rFont val="WenQuanYi Zen Hei"/>
        <family val="2"/>
      </rPr>
      <t xml:space="preserve">는 정보 흐름이 아니라 포함 관계</t>
    </r>
    <r>
      <rPr>
        <sz val="10"/>
        <color rgb="FF000000"/>
        <rFont val="맑은 고딕"/>
        <family val="0"/>
        <charset val="1"/>
      </rPr>
      <t xml:space="preserve">(contains)</t>
    </r>
    <r>
      <rPr>
        <sz val="10"/>
        <color rgb="FF000000"/>
        <rFont val="WenQuanYi Zen Hei"/>
        <family val="2"/>
      </rPr>
      <t xml:space="preserve">이다</t>
    </r>
    <r>
      <rPr>
        <sz val="10"/>
        <color rgb="FF000000"/>
        <rFont val="맑은 고딕"/>
        <family val="0"/>
        <charset val="1"/>
      </rPr>
      <t xml:space="preserve">. </t>
    </r>
    <r>
      <rPr>
        <sz val="10"/>
        <color rgb="FF000000"/>
        <rFont val="WenQuanYi Zen Hei"/>
        <family val="2"/>
      </rPr>
      <t xml:space="preserve">연계성 측정에서는 </t>
    </r>
    <r>
      <rPr>
        <sz val="10"/>
        <color rgb="FF000000"/>
        <rFont val="맑은 고딕"/>
        <family val="0"/>
        <charset val="1"/>
      </rPr>
      <t xml:space="preserve">"</t>
    </r>
    <r>
      <rPr>
        <sz val="10"/>
        <color rgb="FF000000"/>
        <rFont val="WenQuanYi Zen Hei"/>
        <family val="2"/>
      </rPr>
      <t xml:space="preserve">하위 프로세스가 상위 대응 절차 안에 통합되어 실제 운영되는가</t>
    </r>
    <r>
      <rPr>
        <sz val="10"/>
        <color rgb="FF000000"/>
        <rFont val="맑은 고딕"/>
        <family val="0"/>
        <charset val="1"/>
      </rPr>
      <t xml:space="preserve">"</t>
    </r>
    <r>
      <rPr>
        <sz val="10"/>
        <color rgb="FF000000"/>
        <rFont val="WenQuanYi Zen Hei"/>
        <family val="2"/>
      </rPr>
      <t xml:space="preserve">를 지표화했다</t>
    </r>
    <r>
      <rPr>
        <sz val="10"/>
        <color rgb="FF000000"/>
        <rFont val="맑은 고딕"/>
        <family val="0"/>
        <charset val="1"/>
      </rPr>
      <t xml:space="preserve">. Arias</t>
    </r>
    <r>
      <rPr>
        <sz val="10"/>
        <color rgb="FF000000"/>
        <rFont val="WenQuanYi Zen Hei"/>
        <family val="2"/>
      </rPr>
      <t xml:space="preserve">는 </t>
    </r>
    <r>
      <rPr>
        <sz val="10"/>
        <color rgb="FF000000"/>
        <rFont val="맑은 고딕"/>
        <family val="0"/>
        <charset val="1"/>
      </rPr>
      <t xml:space="preserve">Table 5</t>
    </r>
    <r>
      <rPr>
        <sz val="10"/>
        <color rgb="FF000000"/>
        <rFont val="WenQuanYi Zen Hei"/>
        <family val="2"/>
      </rPr>
      <t xml:space="preserve">에서 경보</t>
    </r>
    <r>
      <rPr>
        <sz val="10"/>
        <color rgb="FF000000"/>
        <rFont val="맑은 고딕"/>
        <family val="0"/>
        <charset val="1"/>
      </rPr>
      <t xml:space="preserve">·</t>
    </r>
    <r>
      <rPr>
        <sz val="10"/>
        <color rgb="FF000000"/>
        <rFont val="WenQuanYi Zen Hei"/>
        <family val="2"/>
      </rPr>
      <t xml:space="preserve">커뮤니케이션을 별도 프로세스로도 목록화</t>
    </r>
    <r>
      <rPr>
        <sz val="10"/>
        <color rgb="FF000000"/>
        <rFont val="맑은 고딕"/>
        <family val="0"/>
        <charset val="1"/>
      </rPr>
      <t xml:space="preserve">(p.14)</t>
    </r>
    <r>
      <rPr>
        <sz val="10"/>
        <color rgb="FF000000"/>
        <rFont val="WenQuanYi Zen Hei"/>
        <family val="2"/>
      </rPr>
      <t xml:space="preserve">하므로 포함 관계를 연결로 측정할지는 연구자 결정 사항</t>
    </r>
    <r>
      <rPr>
        <sz val="10"/>
        <color rgb="FF000000"/>
        <rFont val="맑은 고딕"/>
        <family val="0"/>
        <charset val="1"/>
      </rPr>
      <t xml:space="preserve">.</t>
    </r>
  </si>
  <si>
    <r>
      <rPr>
        <sz val="10"/>
        <color rgb="FF000000"/>
        <rFont val="WenQuanYi Zen Hei"/>
        <family val="2"/>
      </rPr>
      <t xml:space="preserve">전문가 패널에서 </t>
    </r>
    <r>
      <rPr>
        <sz val="10"/>
        <color rgb="FF000000"/>
        <rFont val="맑은 고딕"/>
        <family val="0"/>
        <charset val="1"/>
      </rPr>
      <t xml:space="preserve">"</t>
    </r>
    <r>
      <rPr>
        <sz val="10"/>
        <color rgb="FF000000"/>
        <rFont val="WenQuanYi Zen Hei"/>
        <family val="2"/>
      </rPr>
      <t xml:space="preserve">포함 관계를 연계성으로 볼 것인가</t>
    </r>
    <r>
      <rPr>
        <sz val="10"/>
        <color rgb="FF000000"/>
        <rFont val="맑은 고딕"/>
        <family val="0"/>
        <charset val="1"/>
      </rPr>
      <t xml:space="preserve">" </t>
    </r>
    <r>
      <rPr>
        <sz val="10"/>
        <color rgb="FF000000"/>
        <rFont val="WenQuanYi Zen Hei"/>
        <family val="2"/>
      </rPr>
      <t xml:space="preserve">별도 평가</t>
    </r>
  </si>
  <si>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 </t>
    </r>
    <r>
      <rPr>
        <sz val="10"/>
        <color rgb="FF000000"/>
        <rFont val="맑은 고딕"/>
        <family val="0"/>
        <charset val="1"/>
      </rPr>
      <t xml:space="preserve">REC </t>
    </r>
    <r>
      <rPr>
        <sz val="10"/>
        <color rgb="FF000000"/>
        <rFont val="WenQuanYi Zen Hei"/>
        <family val="2"/>
      </rPr>
      <t xml:space="preserve">복구</t>
    </r>
  </si>
  <si>
    <t xml:space="preserve">REC</t>
  </si>
  <si>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프로세스는 복구 프로세스를 하위 프로세스로 포함한다</t>
    </r>
    <r>
      <rPr>
        <sz val="10"/>
        <color rgb="FF000000"/>
        <rFont val="맑은 고딕"/>
        <family val="0"/>
        <charset val="1"/>
      </rPr>
      <t xml:space="preserve">. </t>
    </r>
    <r>
      <rPr>
        <sz val="10"/>
        <color rgb="FF000000"/>
        <rFont val="WenQuanYi Zen Hei"/>
        <family val="2"/>
      </rPr>
      <t xml:space="preserve">복구는 임시 조치 상태에서 일상 업무를 회복</t>
    </r>
    <r>
      <rPr>
        <sz val="10"/>
        <color rgb="FF000000"/>
        <rFont val="맑은 고딕"/>
        <family val="0"/>
        <charset val="1"/>
      </rPr>
      <t xml:space="preserve">·</t>
    </r>
    <r>
      <rPr>
        <sz val="10"/>
        <color rgb="FF000000"/>
        <rFont val="WenQuanYi Zen Hei"/>
        <family val="2"/>
      </rPr>
      <t xml:space="preserve">재개하는 것이다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</si>
  <si>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판단</t>
    </r>
    <r>
      <rPr>
        <sz val="10"/>
        <color rgb="FF000000"/>
        <rFont val="맑은 고딕"/>
        <family val="0"/>
        <charset val="1"/>
      </rPr>
      <t xml:space="preserve">] L13</t>
    </r>
    <r>
      <rPr>
        <sz val="10"/>
        <color rgb="FF000000"/>
        <rFont val="WenQuanYi Zen Hei"/>
        <family val="2"/>
      </rPr>
      <t xml:space="preserve">과 같은 이유로 포함 관계를 지표화</t>
    </r>
    <r>
      <rPr>
        <sz val="10"/>
        <color rgb="FF000000"/>
        <rFont val="맑은 고딕"/>
        <family val="0"/>
        <charset val="1"/>
      </rPr>
      <t xml:space="preserve">. "</t>
    </r>
    <r>
      <rPr>
        <sz val="10"/>
        <color rgb="FF000000"/>
        <rFont val="WenQuanYi Zen Hei"/>
        <family val="2"/>
      </rPr>
      <t xml:space="preserve">대응 결과를 복구가 이어받는다</t>
    </r>
    <r>
      <rPr>
        <sz val="10"/>
        <color rgb="FF000000"/>
        <rFont val="맑은 고딕"/>
        <family val="0"/>
        <charset val="1"/>
      </rPr>
      <t xml:space="preserve">"</t>
    </r>
    <r>
      <rPr>
        <sz val="10"/>
        <color rgb="FF000000"/>
        <rFont val="WenQuanYi Zen Hei"/>
        <family val="2"/>
      </rPr>
      <t xml:space="preserve">는 문항의 표현은 연구자의 지표화이며 인용문이 직접 말하는 내용이 아니다</t>
    </r>
    <r>
      <rPr>
        <sz val="10"/>
        <color rgb="FF000000"/>
        <rFont val="맑은 고딕"/>
        <family val="0"/>
        <charset val="1"/>
      </rPr>
      <t xml:space="preserve">.</t>
    </r>
  </si>
  <si>
    <t xml:space="preserve">전문가 패널에서 포함 관계 지표화 적절성 평가</t>
  </si>
  <si>
    <t xml:space="preserve">L15</t>
  </si>
  <si>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 → </t>
    </r>
    <r>
      <rPr>
        <sz val="10"/>
        <color rgb="FF000000"/>
        <rFont val="맑은 고딕"/>
        <family val="0"/>
        <charset val="1"/>
      </rPr>
      <t xml:space="preserve">EXE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t>
    </r>
  </si>
  <si>
    <t xml:space="preserve">EXE</t>
  </si>
  <si>
    <t xml:space="preserve">V04</t>
  </si>
  <si>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솔루션과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r>
      <rPr>
        <sz val="10"/>
        <color rgb="FF000000"/>
        <rFont val="맑은 고딕"/>
        <family val="0"/>
        <charset val="1"/>
      </rPr>
      <t xml:space="preserve">(</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 절차 포함</t>
    </r>
    <r>
      <rPr>
        <sz val="10"/>
        <color rgb="FF000000"/>
        <rFont val="맑은 고딕"/>
        <family val="0"/>
        <charset val="1"/>
      </rPr>
      <t xml:space="preserve">)</t>
    </r>
    <r>
      <rPr>
        <sz val="10"/>
        <color rgb="FF000000"/>
        <rFont val="WenQuanYi Zen Hei"/>
        <family val="2"/>
      </rPr>
      <t xml:space="preserve">는 정기적으로 시험되어 유효성이 검증된다</t>
    </r>
    <r>
      <rPr>
        <sz val="10"/>
        <color rgb="FF000000"/>
        <rFont val="맑은 고딕"/>
        <family val="0"/>
        <charset val="1"/>
      </rPr>
      <t xml:space="preserve">.</t>
    </r>
  </si>
  <si>
    <r>
      <rPr>
        <sz val="10"/>
        <color rgb="FF000000"/>
        <rFont val="맑은 고딕"/>
        <family val="0"/>
        <charset val="1"/>
      </rPr>
      <t xml:space="preserve">"tested regularly to validate their effectiveness"</t>
    </r>
    <r>
      <rPr>
        <sz val="10"/>
        <color rgb="FF000000"/>
        <rFont val="WenQuanYi Zen Hei"/>
        <family val="2"/>
      </rPr>
      <t xml:space="preserve">를 </t>
    </r>
    <r>
      <rPr>
        <sz val="10"/>
        <color rgb="FF000000"/>
        <rFont val="맑은 고딕"/>
        <family val="0"/>
        <charset val="1"/>
      </rPr>
      <t xml:space="preserve">testedBy(S</t>
    </r>
    <r>
      <rPr>
        <sz val="10"/>
        <color rgb="FF000000"/>
        <rFont val="WenQuanYi Zen Hei"/>
        <family val="2"/>
      </rPr>
      <t xml:space="preserve">가 </t>
    </r>
    <r>
      <rPr>
        <sz val="10"/>
        <color rgb="FF000000"/>
        <rFont val="맑은 고딕"/>
        <family val="0"/>
        <charset val="1"/>
      </rPr>
      <t xml:space="preserve">T</t>
    </r>
    <r>
      <rPr>
        <sz val="10"/>
        <color rgb="FF000000"/>
        <rFont val="WenQuanYi Zen Hei"/>
        <family val="2"/>
      </rPr>
      <t xml:space="preserve">에 의해 시험됨</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 </t>
    </r>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연습 시나리오 설계 방식은 연구자의 지표화</t>
    </r>
    <r>
      <rPr>
        <sz val="10"/>
        <color rgb="FF000000"/>
        <rFont val="맑은 고딕"/>
        <family val="0"/>
        <charset val="1"/>
      </rPr>
      <t xml:space="preserve">.</t>
    </r>
  </si>
  <si>
    <t xml:space="preserve">L16</t>
  </si>
  <si>
    <r>
      <rPr>
        <sz val="10"/>
        <color rgb="FF000000"/>
        <rFont val="맑은 고딕"/>
        <family val="0"/>
        <charset val="1"/>
      </rPr>
      <t xml:space="preserve">EXE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 → </t>
    </r>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t>
    </r>
  </si>
  <si>
    <t xml:space="preserve">V06</t>
  </si>
  <si>
    <t xml:space="preserve">Y</t>
  </si>
  <si>
    <r>
      <rPr>
        <sz val="10"/>
        <color rgb="FF000000"/>
        <rFont val="WenQuanYi Zen Hei"/>
        <family val="2"/>
      </rPr>
      <t xml:space="preserve">연습은 필요한 조정</t>
    </r>
    <r>
      <rPr>
        <sz val="10"/>
        <color rgb="FF000000"/>
        <rFont val="맑은 고딕"/>
        <family val="0"/>
        <charset val="1"/>
      </rPr>
      <t xml:space="preserve">·</t>
    </r>
    <r>
      <rPr>
        <sz val="10"/>
        <color rgb="FF000000"/>
        <rFont val="WenQuanYi Zen Hei"/>
        <family val="2"/>
      </rPr>
      <t xml:space="preserve">개선</t>
    </r>
    <r>
      <rPr>
        <sz val="10"/>
        <color rgb="FF000000"/>
        <rFont val="맑은 고딕"/>
        <family val="0"/>
        <charset val="1"/>
      </rPr>
      <t xml:space="preserve">(adjustments or enhancements)</t>
    </r>
    <r>
      <rPr>
        <sz val="10"/>
        <color rgb="FF000000"/>
        <rFont val="WenQuanYi Zen Hei"/>
        <family val="2"/>
      </rPr>
      <t xml:space="preserve">을 촉구</t>
    </r>
    <r>
      <rPr>
        <sz val="10"/>
        <color rgb="FF000000"/>
        <rFont val="맑은 고딕"/>
        <family val="0"/>
        <charset val="1"/>
      </rPr>
      <t xml:space="preserve">(prompt)</t>
    </r>
    <r>
      <rPr>
        <sz val="10"/>
        <color rgb="FF000000"/>
        <rFont val="WenQuanYi Zen Hei"/>
        <family val="2"/>
      </rPr>
      <t xml:space="preserve">한다</t>
    </r>
    <r>
      <rPr>
        <sz val="10"/>
        <color rgb="FF000000"/>
        <rFont val="맑은 고딕"/>
        <family val="0"/>
        <charset val="1"/>
      </rPr>
      <t xml:space="preserve">.</t>
    </r>
  </si>
  <si>
    <r>
      <rPr>
        <sz val="10"/>
        <color rgb="FF000000"/>
        <rFont val="WenQuanYi Zen Hei"/>
        <family val="2"/>
      </rPr>
      <t xml:space="preserve">조정 대상은 인용문상 </t>
    </r>
    <r>
      <rPr>
        <sz val="10"/>
        <color rgb="FF000000"/>
        <rFont val="맑은 고딕"/>
        <family val="0"/>
        <charset val="1"/>
      </rPr>
      <t xml:space="preserve">"</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r>
      <rPr>
        <sz val="10"/>
        <color rgb="FF000000"/>
        <rFont val="맑은 고딕"/>
        <family val="0"/>
        <charset val="1"/>
      </rPr>
      <t xml:space="preserve">" </t>
    </r>
    <r>
      <rPr>
        <sz val="10"/>
        <color rgb="FF000000"/>
        <rFont val="WenQuanYi Zen Hei"/>
        <family val="2"/>
      </rPr>
      <t xml:space="preserve">모두이나 본 연결은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절차로 한정</t>
    </r>
    <r>
      <rPr>
        <sz val="10"/>
        <color rgb="FF000000"/>
        <rFont val="맑은 고딕"/>
        <family val="0"/>
        <charset val="1"/>
      </rPr>
      <t xml:space="preserve">(</t>
    </r>
    <r>
      <rPr>
        <sz val="10"/>
        <color rgb="FF000000"/>
        <rFont val="WenQuanYi Zen Hei"/>
        <family val="2"/>
      </rPr>
      <t xml:space="preserve">연구자 한정</t>
    </r>
    <r>
      <rPr>
        <sz val="10"/>
        <color rgb="FF000000"/>
        <rFont val="맑은 고딕"/>
        <family val="0"/>
        <charset val="1"/>
      </rPr>
      <t xml:space="preserve">). </t>
    </r>
    <r>
      <rPr>
        <sz val="10"/>
        <color rgb="FF000000"/>
        <rFont val="WenQuanYi Zen Hei"/>
        <family val="2"/>
      </rPr>
      <t xml:space="preserve">방향 해석</t>
    </r>
    <r>
      <rPr>
        <sz val="10"/>
        <color rgb="FF000000"/>
        <rFont val="맑은 고딕"/>
        <family val="0"/>
        <charset val="1"/>
      </rPr>
      <t xml:space="preserve">(EXE</t>
    </r>
    <r>
      <rPr>
        <sz val="10"/>
        <color rgb="FF000000"/>
        <rFont val="WenQuanYi Zen Hei"/>
        <family val="2"/>
      </rPr>
      <t xml:space="preserve">의 결과가 </t>
    </r>
    <r>
      <rPr>
        <sz val="10"/>
        <color rgb="FF000000"/>
        <rFont val="맑은 고딕"/>
        <family val="0"/>
        <charset val="1"/>
      </rPr>
      <t xml:space="preserve">PLAN</t>
    </r>
    <r>
      <rPr>
        <sz val="10"/>
        <color rgb="FF000000"/>
        <rFont val="WenQuanYi Zen Hei"/>
        <family val="2"/>
      </rPr>
      <t xml:space="preserve">을 개정</t>
    </r>
    <r>
      <rPr>
        <sz val="10"/>
        <color rgb="FF000000"/>
        <rFont val="맑은 고딕"/>
        <family val="0"/>
        <charset val="1"/>
      </rPr>
      <t xml:space="preserve">)</t>
    </r>
    <r>
      <rPr>
        <sz val="10"/>
        <color rgb="FF000000"/>
        <rFont val="WenQuanYi Zen Hei"/>
        <family val="2"/>
      </rPr>
      <t xml:space="preserve">은 연구자 해석</t>
    </r>
    <r>
      <rPr>
        <sz val="10"/>
        <color rgb="FF000000"/>
        <rFont val="맑은 고딕"/>
        <family val="0"/>
        <charset val="1"/>
      </rPr>
      <t xml:space="preserve">.</t>
    </r>
  </si>
  <si>
    <r>
      <rPr>
        <sz val="10"/>
        <color rgb="FF000000"/>
        <rFont val="WenQuanYi Zen Hei"/>
        <family val="2"/>
      </rPr>
      <t xml:space="preserve">환류 연결</t>
    </r>
    <r>
      <rPr>
        <sz val="10"/>
        <color rgb="FF000000"/>
        <rFont val="맑은 고딕"/>
        <family val="0"/>
        <charset val="1"/>
      </rPr>
      <t xml:space="preserve">: 6</t>
    </r>
    <r>
      <rPr>
        <sz val="10"/>
        <color rgb="FF000000"/>
        <rFont val="WenQuanYi Zen Hei"/>
        <family val="2"/>
      </rPr>
      <t xml:space="preserve">개 차원 모두 적용</t>
    </r>
    <r>
      <rPr>
        <sz val="10"/>
        <color rgb="FF000000"/>
        <rFont val="맑은 고딕"/>
        <family val="0"/>
        <charset val="1"/>
      </rPr>
      <t xml:space="preserve">(</t>
    </r>
    <r>
      <rPr>
        <sz val="10"/>
        <color rgb="FF000000"/>
        <rFont val="WenQuanYi Zen Hei"/>
        <family val="2"/>
      </rPr>
      <t xml:space="preserve">환류폐쇄성 포함</t>
    </r>
    <r>
      <rPr>
        <sz val="10"/>
        <color rgb="FF000000"/>
        <rFont val="맑은 고딕"/>
        <family val="0"/>
        <charset val="1"/>
      </rPr>
      <t xml:space="preserve">)</t>
    </r>
  </si>
  <si>
    <t xml:space="preserve">L17</t>
  </si>
  <si>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 → </t>
    </r>
    <r>
      <rPr>
        <sz val="10"/>
        <color rgb="FF000000"/>
        <rFont val="맑은 고딕"/>
        <family val="0"/>
        <charset val="1"/>
      </rPr>
      <t xml:space="preserve">AWR </t>
    </r>
    <r>
      <rPr>
        <sz val="10"/>
        <color rgb="FF000000"/>
        <rFont val="WenQuanYi Zen Hei"/>
        <family val="2"/>
      </rPr>
      <t xml:space="preserve">인식</t>
    </r>
    <r>
      <rPr>
        <sz val="10"/>
        <color rgb="FF000000"/>
        <rFont val="맑은 고딕"/>
        <family val="0"/>
        <charset val="1"/>
      </rPr>
      <t xml:space="preserve">·</t>
    </r>
    <r>
      <rPr>
        <sz val="10"/>
        <color rgb="FF000000"/>
        <rFont val="WenQuanYi Zen Hei"/>
        <family val="2"/>
      </rPr>
      <t xml:space="preserve">역량</t>
    </r>
    <r>
      <rPr>
        <sz val="10"/>
        <color rgb="FF000000"/>
        <rFont val="맑은 고딕"/>
        <family val="0"/>
        <charset val="1"/>
      </rPr>
      <t xml:space="preserve">·</t>
    </r>
    <r>
      <rPr>
        <sz val="10"/>
        <color rgb="FF000000"/>
        <rFont val="WenQuanYi Zen Hei"/>
        <family val="2"/>
      </rPr>
      <t xml:space="preserve">교육</t>
    </r>
  </si>
  <si>
    <t xml:space="preserve">AWR</t>
  </si>
  <si>
    <t xml:space="preserve">A24 / B12</t>
  </si>
  <si>
    <r>
      <rPr>
        <sz val="10"/>
        <color rgb="FF000000"/>
        <rFont val="맑은 고딕"/>
        <family val="0"/>
        <charset val="1"/>
      </rPr>
      <t xml:space="preserve">Arias</t>
    </r>
    <r>
      <rPr>
        <sz val="10"/>
        <color rgb="FF000000"/>
        <rFont val="WenQuanYi Zen Hei"/>
        <family val="2"/>
      </rPr>
      <t xml:space="preserve">는 인식</t>
    </r>
    <r>
      <rPr>
        <sz val="10"/>
        <color rgb="FF000000"/>
        <rFont val="맑은 고딕"/>
        <family val="0"/>
        <charset val="1"/>
      </rPr>
      <t xml:space="preserve">·</t>
    </r>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교육 프로그램이 인력의 인식과 역량을 키운다고만 서술하며 계획</t>
    </r>
    <r>
      <rPr>
        <sz val="10"/>
        <color rgb="FF000000"/>
        <rFont val="맑은 고딕"/>
        <family val="0"/>
        <charset val="1"/>
      </rPr>
      <t xml:space="preserve">·</t>
    </r>
    <r>
      <rPr>
        <sz val="10"/>
        <color rgb="FF000000"/>
        <rFont val="WenQuanYi Zen Hei"/>
        <family val="2"/>
      </rPr>
      <t xml:space="preserve">절차와의 연결은 서술하지 않는다</t>
    </r>
    <r>
      <rPr>
        <sz val="10"/>
        <color rgb="FF000000"/>
        <rFont val="맑은 고딕"/>
        <family val="0"/>
        <charset val="1"/>
      </rPr>
      <t xml:space="preserve">. Białas</t>
    </r>
    <r>
      <rPr>
        <sz val="10"/>
        <color rgb="FF000000"/>
        <rFont val="WenQuanYi Zen Hei"/>
        <family val="2"/>
      </rPr>
      <t xml:space="preserve">는 훈련 활동에 </t>
    </r>
    <r>
      <rPr>
        <sz val="10"/>
        <color rgb="FF000000"/>
        <rFont val="맑은 고딕"/>
        <family val="0"/>
        <charset val="1"/>
      </rPr>
      <t xml:space="preserve">"</t>
    </r>
    <r>
      <rPr>
        <sz val="10"/>
        <color rgb="FF000000"/>
        <rFont val="WenQuanYi Zen Hei"/>
        <family val="2"/>
      </rPr>
      <t xml:space="preserve">필요</t>
    </r>
    <r>
      <rPr>
        <sz val="10"/>
        <color rgb="FF000000"/>
        <rFont val="맑은 고딕"/>
        <family val="0"/>
        <charset val="1"/>
      </rPr>
      <t xml:space="preserve">(needs)"</t>
    </r>
    <r>
      <rPr>
        <sz val="10"/>
        <color rgb="FF000000"/>
        <rFont val="WenQuanYi Zen Hei"/>
        <family val="2"/>
      </rPr>
      <t xml:space="preserve">를 별도 항목으로 둔다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</si>
  <si>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가정</t>
    </r>
    <r>
      <rPr>
        <sz val="10"/>
        <color rgb="FF000000"/>
        <rFont val="맑은 고딕"/>
        <family val="0"/>
        <charset val="1"/>
      </rPr>
      <t xml:space="preserve">] </t>
    </r>
    <r>
      <rPr>
        <sz val="10"/>
        <color rgb="FF000000"/>
        <rFont val="WenQuanYi Zen Hei"/>
        <family val="2"/>
      </rPr>
      <t xml:space="preserve">교육 내용이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r>
      <rPr>
        <sz val="10"/>
        <color rgb="FF000000"/>
        <rFont val="맑은 고딕"/>
        <family val="0"/>
        <charset val="1"/>
      </rPr>
      <t xml:space="preserve">(</t>
    </r>
    <r>
      <rPr>
        <sz val="10"/>
        <color rgb="FF000000"/>
        <rFont val="WenQuanYi Zen Hei"/>
        <family val="2"/>
      </rPr>
      <t xml:space="preserve">역할 포함</t>
    </r>
    <r>
      <rPr>
        <sz val="10"/>
        <color rgb="FF000000"/>
        <rFont val="맑은 고딕"/>
        <family val="0"/>
        <charset val="1"/>
      </rPr>
      <t xml:space="preserve">)</t>
    </r>
    <r>
      <rPr>
        <sz val="10"/>
        <color rgb="FF000000"/>
        <rFont val="WenQuanYi Zen Hei"/>
        <family val="2"/>
      </rPr>
      <t xml:space="preserve">에서 도출</t>
    </r>
    <r>
      <rPr>
        <sz val="10"/>
        <color rgb="FF000000"/>
        <rFont val="맑은 고딕"/>
        <family val="0"/>
        <charset val="1"/>
      </rPr>
      <t xml:space="preserve">·</t>
    </r>
    <r>
      <rPr>
        <sz val="10"/>
        <color rgb="FF000000"/>
        <rFont val="WenQuanYi Zen Hei"/>
        <family val="2"/>
      </rPr>
      <t xml:space="preserve">반영된다는 연결은 두 논문에 직접 근거가 없다</t>
    </r>
    <r>
      <rPr>
        <sz val="10"/>
        <color rgb="FF000000"/>
        <rFont val="맑은 고딕"/>
        <family val="0"/>
        <charset val="1"/>
      </rPr>
      <t xml:space="preserve">. </t>
    </r>
    <r>
      <rPr>
        <sz val="10"/>
        <color rgb="FF000000"/>
        <rFont val="WenQuanYi Zen Hei"/>
        <family val="2"/>
      </rPr>
      <t xml:space="preserve">인력이 계획과 자기 역할을 알아야 계획이 실행된다는 연구자 판단에 기초한다</t>
    </r>
    <r>
      <rPr>
        <sz val="10"/>
        <color rgb="FF000000"/>
        <rFont val="맑은 고딕"/>
        <family val="0"/>
        <charset val="1"/>
      </rPr>
      <t xml:space="preserve">.</t>
    </r>
  </si>
  <si>
    <r>
      <rPr>
        <sz val="10"/>
        <color rgb="FF000000"/>
        <rFont val="맑은 고딕"/>
        <family val="0"/>
        <charset val="1"/>
      </rPr>
      <t xml:space="preserve">Białas §2.8 Fig.3 </t>
    </r>
    <r>
      <rPr>
        <sz val="10"/>
        <color rgb="FF000000"/>
        <rFont val="WenQuanYi Zen Hei"/>
        <family val="2"/>
      </rPr>
      <t xml:space="preserve">설명</t>
    </r>
    <r>
      <rPr>
        <sz val="10"/>
        <color rgb="FF000000"/>
        <rFont val="맑은 고딕"/>
        <family val="0"/>
        <charset val="1"/>
      </rPr>
      <t xml:space="preserve">(B12): </t>
    </r>
    <r>
      <rPr>
        <sz val="10"/>
        <color rgb="FF000000"/>
        <rFont val="WenQuanYi Zen Hei"/>
        <family val="2"/>
      </rPr>
      <t xml:space="preserve">훈련의 </t>
    </r>
    <r>
      <rPr>
        <sz val="10"/>
        <color rgb="FF000000"/>
        <rFont val="맑은 고딕"/>
        <family val="0"/>
        <charset val="1"/>
      </rPr>
      <t xml:space="preserve">needs, programs, results, records</t>
    </r>
  </si>
  <si>
    <r>
      <rPr>
        <sz val="10"/>
        <color rgb="FF000000"/>
        <rFont val="WenQuanYi Zen Hei"/>
        <family val="2"/>
      </rPr>
      <t xml:space="preserve">전문가 합의 필수</t>
    </r>
    <r>
      <rPr>
        <sz val="10"/>
        <color rgb="FF000000"/>
        <rFont val="맑은 고딕"/>
        <family val="0"/>
        <charset val="1"/>
      </rPr>
      <t xml:space="preserve">. </t>
    </r>
    <r>
      <rPr>
        <sz val="10"/>
        <color rgb="FF000000"/>
        <rFont val="WenQuanYi Zen Hei"/>
        <family val="2"/>
      </rPr>
      <t xml:space="preserve">합의 </t>
    </r>
    <r>
      <rPr>
        <sz val="10"/>
        <color rgb="FF000000"/>
        <rFont val="맑은 고딕"/>
        <family val="0"/>
        <charset val="1"/>
      </rPr>
      <t xml:space="preserve">80% </t>
    </r>
    <r>
      <rPr>
        <sz val="10"/>
        <color rgb="FF000000"/>
        <rFont val="WenQuanYi Zen Hei"/>
        <family val="2"/>
      </rPr>
      <t xml:space="preserve">미만이면 삭제</t>
    </r>
  </si>
  <si>
    <t xml:space="preserve">L18</t>
  </si>
  <si>
    <r>
      <rPr>
        <sz val="10"/>
        <color rgb="FF000000"/>
        <rFont val="WenQuanYi Zen Hei"/>
        <family val="2"/>
      </rPr>
      <t xml:space="preserve">④ 평가</t>
    </r>
    <r>
      <rPr>
        <sz val="10"/>
        <color rgb="FF000000"/>
        <rFont val="맑은 고딕"/>
        <family val="0"/>
        <charset val="1"/>
      </rPr>
      <t xml:space="preserve">·</t>
    </r>
    <r>
      <rPr>
        <sz val="10"/>
        <color rgb="FF000000"/>
        <rFont val="WenQuanYi Zen Hei"/>
        <family val="2"/>
      </rPr>
      <t xml:space="preserve">개선</t>
    </r>
    <r>
      <rPr>
        <sz val="10"/>
        <color rgb="FF000000"/>
        <rFont val="맑은 고딕"/>
        <family val="0"/>
        <charset val="1"/>
      </rPr>
      <t xml:space="preserve">·</t>
    </r>
    <r>
      <rPr>
        <sz val="10"/>
        <color rgb="FF000000"/>
        <rFont val="WenQuanYi Zen Hei"/>
        <family val="2"/>
      </rPr>
      <t xml:space="preserve">변경</t>
    </r>
  </si>
  <si>
    <r>
      <rPr>
        <sz val="10"/>
        <color rgb="FF000000"/>
        <rFont val="맑은 고딕"/>
        <family val="0"/>
        <charset val="1"/>
      </rPr>
      <t xml:space="preserve">PERF </t>
    </r>
    <r>
      <rPr>
        <sz val="10"/>
        <color rgb="FF000000"/>
        <rFont val="WenQuanYi Zen Hei"/>
        <family val="2"/>
      </rPr>
      <t xml:space="preserve">성과평가 → </t>
    </r>
    <r>
      <rPr>
        <sz val="10"/>
        <color rgb="FF000000"/>
        <rFont val="맑은 고딕"/>
        <family val="0"/>
        <charset val="1"/>
      </rPr>
      <t xml:space="preserve">CI </t>
    </r>
    <r>
      <rPr>
        <sz val="10"/>
        <color rgb="FF000000"/>
        <rFont val="WenQuanYi Zen Hei"/>
        <family val="2"/>
      </rPr>
      <t xml:space="preserve">지속적 개선</t>
    </r>
  </si>
  <si>
    <t xml:space="preserve">PERF</t>
  </si>
  <si>
    <t xml:space="preserve">CI</t>
  </si>
  <si>
    <t xml:space="preserve">V07</t>
  </si>
  <si>
    <r>
      <rPr>
        <sz val="10"/>
        <color rgb="FF000000"/>
        <rFont val="WenQuanYi Zen Hei"/>
        <family val="2"/>
      </rPr>
      <t xml:space="preserve">성과평가의 결과는 </t>
    </r>
    <r>
      <rPr>
        <sz val="10"/>
        <color rgb="FF000000"/>
        <rFont val="맑은 고딕"/>
        <family val="0"/>
        <charset val="1"/>
      </rPr>
      <t xml:space="preserve">BCMS </t>
    </r>
    <r>
      <rPr>
        <sz val="10"/>
        <color rgb="FF000000"/>
        <rFont val="WenQuanYi Zen Hei"/>
        <family val="2"/>
      </rPr>
      <t xml:space="preserve">및 전략</t>
    </r>
    <r>
      <rPr>
        <sz val="10"/>
        <color rgb="FF000000"/>
        <rFont val="맑은 고딕"/>
        <family val="0"/>
        <charset val="1"/>
      </rPr>
      <t xml:space="preserve">·</t>
    </r>
    <r>
      <rPr>
        <sz val="10"/>
        <color rgb="FF000000"/>
        <rFont val="WenQuanYi Zen Hei"/>
        <family val="2"/>
      </rPr>
      <t xml:space="preserve">솔루션</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효과성</t>
    </r>
    <r>
      <rPr>
        <sz val="10"/>
        <color rgb="FF000000"/>
        <rFont val="맑은 고딕"/>
        <family val="0"/>
        <charset val="1"/>
      </rPr>
      <t xml:space="preserve">·</t>
    </r>
    <r>
      <rPr>
        <sz val="10"/>
        <color rgb="FF000000"/>
        <rFont val="WenQuanYi Zen Hei"/>
        <family val="2"/>
      </rPr>
      <t xml:space="preserve">효율성</t>
    </r>
    <r>
      <rPr>
        <sz val="10"/>
        <color rgb="FF000000"/>
        <rFont val="맑은 고딕"/>
        <family val="0"/>
        <charset val="1"/>
      </rPr>
      <t xml:space="preserve">·</t>
    </r>
    <r>
      <rPr>
        <sz val="10"/>
        <color rgb="FF000000"/>
        <rFont val="WenQuanYi Zen Hei"/>
        <family val="2"/>
      </rPr>
      <t xml:space="preserve">적합성</t>
    </r>
    <r>
      <rPr>
        <sz val="10"/>
        <color rgb="FF000000"/>
        <rFont val="맑은 고딕"/>
        <family val="0"/>
        <charset val="1"/>
      </rPr>
      <t xml:space="preserve">·</t>
    </r>
    <r>
      <rPr>
        <sz val="10"/>
        <color rgb="FF000000"/>
        <rFont val="WenQuanYi Zen Hei"/>
        <family val="2"/>
      </rPr>
      <t xml:space="preserve">충분성을 개선하는 데 사용되며</t>
    </r>
    <r>
      <rPr>
        <sz val="10"/>
        <color rgb="FF000000"/>
        <rFont val="맑은 고딕"/>
        <family val="0"/>
        <charset val="1"/>
      </rPr>
      <t xml:space="preserve">, </t>
    </r>
    <r>
      <rPr>
        <sz val="10"/>
        <color rgb="FF000000"/>
        <rFont val="WenQuanYi Zen Hei"/>
        <family val="2"/>
      </rPr>
      <t xml:space="preserve">이는 지속적 개선 프로세스에서 실현된다</t>
    </r>
    <r>
      <rPr>
        <sz val="10"/>
        <color rgb="FF000000"/>
        <rFont val="맑은 고딕"/>
        <family val="0"/>
        <charset val="1"/>
      </rPr>
      <t xml:space="preserve">.</t>
    </r>
  </si>
  <si>
    <r>
      <rPr>
        <sz val="10"/>
        <color rgb="FF000000"/>
        <rFont val="맑은 고딕"/>
        <family val="0"/>
        <charset val="1"/>
      </rPr>
      <t xml:space="preserve">A25</t>
    </r>
    <r>
      <rPr>
        <sz val="10"/>
        <color rgb="FF000000"/>
        <rFont val="WenQuanYi Zen Hei"/>
        <family val="2"/>
      </rPr>
      <t xml:space="preserve">는 </t>
    </r>
    <r>
      <rPr>
        <sz val="10"/>
        <color rgb="FF000000"/>
        <rFont val="맑은 고딕"/>
        <family val="0"/>
        <charset val="1"/>
      </rPr>
      <t xml:space="preserve">3</t>
    </r>
    <r>
      <rPr>
        <sz val="10"/>
        <color rgb="FF000000"/>
        <rFont val="WenQuanYi Zen Hei"/>
        <family val="2"/>
      </rPr>
      <t xml:space="preserve">개 출처를 한 문장에 열거하므로 </t>
    </r>
    <r>
      <rPr>
        <sz val="10"/>
        <color rgb="FF000000"/>
        <rFont val="맑은 고딕"/>
        <family val="0"/>
        <charset val="1"/>
      </rPr>
      <t xml:space="preserve">L18·L19·L20</t>
    </r>
    <r>
      <rPr>
        <sz val="10"/>
        <color rgb="FF000000"/>
        <rFont val="WenQuanYi Zen Hei"/>
        <family val="2"/>
      </rPr>
      <t xml:space="preserve">은 연구자가 분리한 연결</t>
    </r>
    <r>
      <rPr>
        <sz val="10"/>
        <color rgb="FF000000"/>
        <rFont val="맑은 고딕"/>
        <family val="0"/>
        <charset val="1"/>
      </rPr>
      <t xml:space="preserve">.</t>
    </r>
  </si>
  <si>
    <t xml:space="preserve">L19</t>
  </si>
  <si>
    <r>
      <rPr>
        <sz val="10"/>
        <color rgb="FF000000"/>
        <rFont val="맑은 고딕"/>
        <family val="0"/>
        <charset val="1"/>
      </rPr>
      <t xml:space="preserve">AUD </t>
    </r>
    <r>
      <rPr>
        <sz val="10"/>
        <color rgb="FF000000"/>
        <rFont val="WenQuanYi Zen Hei"/>
        <family val="2"/>
      </rPr>
      <t xml:space="preserve">내부감사 → </t>
    </r>
    <r>
      <rPr>
        <sz val="10"/>
        <color rgb="FF000000"/>
        <rFont val="맑은 고딕"/>
        <family val="0"/>
        <charset val="1"/>
      </rPr>
      <t xml:space="preserve">CI </t>
    </r>
    <r>
      <rPr>
        <sz val="10"/>
        <color rgb="FF000000"/>
        <rFont val="WenQuanYi Zen Hei"/>
        <family val="2"/>
      </rPr>
      <t xml:space="preserve">지속적 개선</t>
    </r>
  </si>
  <si>
    <r>
      <rPr>
        <sz val="10"/>
        <color rgb="FF000000"/>
        <rFont val="WenQuanYi Zen Hei"/>
        <family val="2"/>
      </rPr>
      <t xml:space="preserve">내부감사의 결과는 </t>
    </r>
    <r>
      <rPr>
        <sz val="10"/>
        <color rgb="FF000000"/>
        <rFont val="맑은 고딕"/>
        <family val="0"/>
        <charset val="1"/>
      </rPr>
      <t xml:space="preserve">BCMS </t>
    </r>
    <r>
      <rPr>
        <sz val="10"/>
        <color rgb="FF000000"/>
        <rFont val="WenQuanYi Zen Hei"/>
        <family val="2"/>
      </rPr>
      <t xml:space="preserve">개선에 사용되며</t>
    </r>
    <r>
      <rPr>
        <sz val="10"/>
        <color rgb="FF000000"/>
        <rFont val="맑은 고딕"/>
        <family val="0"/>
        <charset val="1"/>
      </rPr>
      <t xml:space="preserve">, </t>
    </r>
    <r>
      <rPr>
        <sz val="10"/>
        <color rgb="FF000000"/>
        <rFont val="WenQuanYi Zen Hei"/>
        <family val="2"/>
      </rPr>
      <t xml:space="preserve">지속적 개선 프로세스에서 실현된다</t>
    </r>
    <r>
      <rPr>
        <sz val="10"/>
        <color rgb="FF000000"/>
        <rFont val="맑은 고딕"/>
        <family val="0"/>
        <charset val="1"/>
      </rPr>
      <t xml:space="preserve">.</t>
    </r>
  </si>
  <si>
    <r>
      <rPr>
        <sz val="10"/>
        <color rgb="FF000000"/>
        <rFont val="WenQuanYi Zen Hei"/>
        <family val="2"/>
      </rPr>
      <t xml:space="preserve">분리 사유는 </t>
    </r>
    <r>
      <rPr>
        <sz val="10"/>
        <color rgb="FF000000"/>
        <rFont val="맑은 고딕"/>
        <family val="0"/>
        <charset val="1"/>
      </rPr>
      <t xml:space="preserve">L18</t>
    </r>
    <r>
      <rPr>
        <sz val="10"/>
        <color rgb="FF000000"/>
        <rFont val="WenQuanYi Zen Hei"/>
        <family val="2"/>
      </rPr>
      <t xml:space="preserve">과 동일</t>
    </r>
    <r>
      <rPr>
        <sz val="10"/>
        <color rgb="FF000000"/>
        <rFont val="맑은 고딕"/>
        <family val="0"/>
        <charset val="1"/>
      </rPr>
      <t xml:space="preserve">.</t>
    </r>
  </si>
  <si>
    <t xml:space="preserve">L20</t>
  </si>
  <si>
    <r>
      <rPr>
        <sz val="10"/>
        <color rgb="FF000000"/>
        <rFont val="맑은 고딕"/>
        <family val="0"/>
        <charset val="1"/>
      </rPr>
      <t xml:space="preserve">SUP </t>
    </r>
    <r>
      <rPr>
        <sz val="10"/>
        <color rgb="FF000000"/>
        <rFont val="WenQuanYi Zen Hei"/>
        <family val="2"/>
      </rPr>
      <t xml:space="preserve">공급망관리 → </t>
    </r>
    <r>
      <rPr>
        <sz val="10"/>
        <color rgb="FF000000"/>
        <rFont val="맑은 고딕"/>
        <family val="0"/>
        <charset val="1"/>
      </rPr>
      <t xml:space="preserve">CI </t>
    </r>
    <r>
      <rPr>
        <sz val="10"/>
        <color rgb="FF000000"/>
        <rFont val="WenQuanYi Zen Hei"/>
        <family val="2"/>
      </rPr>
      <t xml:space="preserve">지속적 개선</t>
    </r>
  </si>
  <si>
    <r>
      <rPr>
        <sz val="10"/>
        <color rgb="FF000000"/>
        <rFont val="WenQuanYi Zen Hei"/>
        <family val="2"/>
      </rPr>
      <t xml:space="preserve">공급망관리의 결과는 </t>
    </r>
    <r>
      <rPr>
        <sz val="10"/>
        <color rgb="FF000000"/>
        <rFont val="맑은 고딕"/>
        <family val="0"/>
        <charset val="1"/>
      </rPr>
      <t xml:space="preserve">BCMS </t>
    </r>
    <r>
      <rPr>
        <sz val="10"/>
        <color rgb="FF000000"/>
        <rFont val="WenQuanYi Zen Hei"/>
        <family val="2"/>
      </rPr>
      <t xml:space="preserve">개선에 사용되며</t>
    </r>
    <r>
      <rPr>
        <sz val="10"/>
        <color rgb="FF000000"/>
        <rFont val="맑은 고딕"/>
        <family val="0"/>
        <charset val="1"/>
      </rPr>
      <t xml:space="preserve">, </t>
    </r>
    <r>
      <rPr>
        <sz val="10"/>
        <color rgb="FF000000"/>
        <rFont val="WenQuanYi Zen Hei"/>
        <family val="2"/>
      </rPr>
      <t xml:space="preserve">지속적 개선 프로세스에서 실현된다</t>
    </r>
    <r>
      <rPr>
        <sz val="10"/>
        <color rgb="FF000000"/>
        <rFont val="맑은 고딕"/>
        <family val="0"/>
        <charset val="1"/>
      </rPr>
      <t xml:space="preserve">.</t>
    </r>
  </si>
  <si>
    <r>
      <rPr>
        <sz val="10"/>
        <color rgb="FF000000"/>
        <rFont val="맑은 고딕"/>
        <family val="0"/>
        <charset val="1"/>
      </rPr>
      <t xml:space="preserve">CHG BC </t>
    </r>
    <r>
      <rPr>
        <sz val="10"/>
        <color rgb="FF000000"/>
        <rFont val="WenQuanYi Zen Hei"/>
        <family val="2"/>
      </rPr>
      <t xml:space="preserve">변경관리 → </t>
    </r>
    <r>
      <rPr>
        <sz val="10"/>
        <color rgb="FF000000"/>
        <rFont val="맑은 고딕"/>
        <family val="0"/>
        <charset val="1"/>
      </rPr>
      <t xml:space="preserve">RA </t>
    </r>
    <r>
      <rPr>
        <sz val="10"/>
        <color rgb="FF000000"/>
        <rFont val="WenQuanYi Zen Hei"/>
        <family val="2"/>
      </rPr>
      <t xml:space="preserve">리스크평가</t>
    </r>
  </si>
  <si>
    <t xml:space="preserve">CHG</t>
  </si>
  <si>
    <t xml:space="preserve">V05</t>
  </si>
  <si>
    <r>
      <rPr>
        <sz val="10"/>
        <color rgb="FF000000"/>
        <rFont val="맑은 고딕"/>
        <family val="0"/>
        <charset val="1"/>
      </rPr>
      <t xml:space="preserve">BC </t>
    </r>
    <r>
      <rPr>
        <sz val="10"/>
        <color rgb="FF000000"/>
        <rFont val="WenQuanYi Zen Hei"/>
        <family val="2"/>
      </rPr>
      <t xml:space="preserve">변경관리의 산출물에는 중대한 제안</t>
    </r>
    <r>
      <rPr>
        <sz val="10"/>
        <color rgb="FF000000"/>
        <rFont val="맑은 고딕"/>
        <family val="0"/>
        <charset val="1"/>
      </rPr>
      <t xml:space="preserve">·</t>
    </r>
    <r>
      <rPr>
        <sz val="10"/>
        <color rgb="FF000000"/>
        <rFont val="WenQuanYi Zen Hei"/>
        <family val="2"/>
      </rPr>
      <t xml:space="preserve">발생 변경에 대응한 리스크평가의 개시</t>
    </r>
    <r>
      <rPr>
        <sz val="10"/>
        <color rgb="FF000000"/>
        <rFont val="맑은 고딕"/>
        <family val="0"/>
        <charset val="1"/>
      </rPr>
      <t xml:space="preserve">, </t>
    </r>
    <r>
      <rPr>
        <sz val="10"/>
        <color rgb="FF000000"/>
        <rFont val="WenQuanYi Zen Hei"/>
        <family val="2"/>
      </rPr>
      <t xml:space="preserve">그리고 리스크평가와 오가는 제안</t>
    </r>
    <r>
      <rPr>
        <sz val="10"/>
        <color rgb="FF000000"/>
        <rFont val="맑은 고딕"/>
        <family val="0"/>
        <charset val="1"/>
      </rPr>
      <t xml:space="preserve">·</t>
    </r>
    <r>
      <rPr>
        <sz val="10"/>
        <color rgb="FF000000"/>
        <rFont val="WenQuanYi Zen Hei"/>
        <family val="2"/>
      </rPr>
      <t xml:space="preserve">필요 변경 및 변경 결과가 포함된다</t>
    </r>
    <r>
      <rPr>
        <sz val="10"/>
        <color rgb="FF000000"/>
        <rFont val="맑은 고딕"/>
        <family val="0"/>
        <charset val="1"/>
      </rPr>
      <t xml:space="preserve">.</t>
    </r>
  </si>
  <si>
    <r>
      <rPr>
        <sz val="10"/>
        <color rgb="FF000000"/>
        <rFont val="맑은 고딕"/>
        <family val="0"/>
        <charset val="1"/>
      </rPr>
      <t xml:space="preserve">A26</t>
    </r>
    <r>
      <rPr>
        <sz val="10"/>
        <color rgb="FF000000"/>
        <rFont val="WenQuanYi Zen Hei"/>
        <family val="2"/>
      </rPr>
      <t xml:space="preserve">의 </t>
    </r>
    <r>
      <rPr>
        <sz val="10"/>
        <color rgb="FF000000"/>
        <rFont val="맑은 고딕"/>
        <family val="0"/>
        <charset val="1"/>
      </rPr>
      <t xml:space="preserve">"for and from"</t>
    </r>
    <r>
      <rPr>
        <sz val="10"/>
        <color rgb="FF000000"/>
        <rFont val="WenQuanYi Zen Hei"/>
        <family val="2"/>
      </rPr>
      <t xml:space="preserve">은 양방향 흐름을 시사하나 본 연결은 </t>
    </r>
    <r>
      <rPr>
        <sz val="10"/>
        <color rgb="FF000000"/>
        <rFont val="맑은 고딕"/>
        <family val="0"/>
        <charset val="1"/>
      </rPr>
      <t xml:space="preserve">CHG→RA </t>
    </r>
    <r>
      <rPr>
        <sz val="10"/>
        <color rgb="FF000000"/>
        <rFont val="WenQuanYi Zen Hei"/>
        <family val="2"/>
      </rPr>
      <t xml:space="preserve">방향만 채택하고 반대 방향은 보류연결 </t>
    </r>
    <r>
      <rPr>
        <sz val="10"/>
        <color rgb="FF000000"/>
        <rFont val="맑은 고딕"/>
        <family val="0"/>
        <charset val="1"/>
      </rPr>
      <t xml:space="preserve">H02</t>
    </r>
    <r>
      <rPr>
        <sz val="10"/>
        <color rgb="FF000000"/>
        <rFont val="WenQuanYi Zen Hei"/>
        <family val="2"/>
      </rPr>
      <t xml:space="preserve">에 기록</t>
    </r>
    <r>
      <rPr>
        <sz val="10"/>
        <color rgb="FF000000"/>
        <rFont val="맑은 고딕"/>
        <family val="0"/>
        <charset val="1"/>
      </rPr>
      <t xml:space="preserve">(</t>
    </r>
    <r>
      <rPr>
        <sz val="10"/>
        <color rgb="FF000000"/>
        <rFont val="WenQuanYi Zen Hei"/>
        <family val="2"/>
      </rPr>
      <t xml:space="preserve">연구자 판단</t>
    </r>
    <r>
      <rPr>
        <sz val="10"/>
        <color rgb="FF000000"/>
        <rFont val="맑은 고딕"/>
        <family val="0"/>
        <charset val="1"/>
      </rPr>
      <t xml:space="preserve">).</t>
    </r>
  </si>
  <si>
    <r>
      <rPr>
        <sz val="10"/>
        <color rgb="FF000000"/>
        <rFont val="맑은 고딕"/>
        <family val="0"/>
        <charset val="1"/>
      </rPr>
      <t xml:space="preserve">CHG BC </t>
    </r>
    <r>
      <rPr>
        <sz val="10"/>
        <color rgb="FF000000"/>
        <rFont val="WenQuanYi Zen Hei"/>
        <family val="2"/>
      </rPr>
      <t xml:space="preserve">변경관리 → </t>
    </r>
    <r>
      <rPr>
        <sz val="10"/>
        <color rgb="FF000000"/>
        <rFont val="맑은 고딕"/>
        <family val="0"/>
        <charset val="1"/>
      </rPr>
      <t xml:space="preserve">DOC </t>
    </r>
    <r>
      <rPr>
        <sz val="10"/>
        <color rgb="FF000000"/>
        <rFont val="WenQuanYi Zen Hei"/>
        <family val="2"/>
      </rPr>
      <t xml:space="preserve">문서화된 정보 통제</t>
    </r>
  </si>
  <si>
    <t xml:space="preserve">DOC</t>
  </si>
  <si>
    <r>
      <rPr>
        <sz val="10"/>
        <color rgb="FF000000"/>
        <rFont val="맑은 고딕"/>
        <family val="0"/>
        <charset val="1"/>
      </rPr>
      <t xml:space="preserve">BC </t>
    </r>
    <r>
      <rPr>
        <sz val="10"/>
        <color rgb="FF000000"/>
        <rFont val="WenQuanYi Zen Hei"/>
        <family val="2"/>
      </rPr>
      <t xml:space="preserve">변경관리의 산출물에는 문서화된 정보 통제 프로세스를 위한 필요한 변경이 포함된다</t>
    </r>
    <r>
      <rPr>
        <sz val="10"/>
        <color rgb="FF000000"/>
        <rFont val="맑은 고딕"/>
        <family val="0"/>
        <charset val="1"/>
      </rPr>
      <t xml:space="preserve">. </t>
    </r>
    <r>
      <rPr>
        <sz val="10"/>
        <color rgb="FF000000"/>
        <rFont val="WenQuanYi Zen Hei"/>
        <family val="2"/>
      </rPr>
      <t xml:space="preserve">문서화된 정보 통제는 정보의 식별</t>
    </r>
    <r>
      <rPr>
        <sz val="10"/>
        <color rgb="FF000000"/>
        <rFont val="맑은 고딕"/>
        <family val="0"/>
        <charset val="1"/>
      </rPr>
      <t xml:space="preserve">·</t>
    </r>
    <r>
      <rPr>
        <sz val="10"/>
        <color rgb="FF000000"/>
        <rFont val="WenQuanYi Zen Hei"/>
        <family val="2"/>
      </rPr>
      <t xml:space="preserve">작성</t>
    </r>
    <r>
      <rPr>
        <sz val="10"/>
        <color rgb="FF000000"/>
        <rFont val="맑은 고딕"/>
        <family val="0"/>
        <charset val="1"/>
      </rPr>
      <t xml:space="preserve">·</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통제를 포함한다</t>
    </r>
    <r>
      <rPr>
        <sz val="10"/>
        <color rgb="FF000000"/>
        <rFont val="맑은 고딕"/>
        <family val="0"/>
        <charset val="1"/>
      </rPr>
      <t xml:space="preserve">.</t>
    </r>
  </si>
  <si>
    <r>
      <rPr>
        <sz val="10"/>
        <color rgb="FF000000"/>
        <rFont val="맑은 고딕"/>
        <family val="0"/>
        <charset val="1"/>
      </rPr>
      <t xml:space="preserve">A41</t>
    </r>
    <r>
      <rPr>
        <sz val="10"/>
        <color rgb="FF000000"/>
        <rFont val="WenQuanYi Zen Hei"/>
        <family val="2"/>
      </rPr>
      <t xml:space="preserve">의 </t>
    </r>
    <r>
      <rPr>
        <sz val="10"/>
        <color rgb="FF000000"/>
        <rFont val="맑은 고딕"/>
        <family val="0"/>
        <charset val="1"/>
      </rPr>
      <t xml:space="preserve">"updating"</t>
    </r>
    <r>
      <rPr>
        <sz val="10"/>
        <color rgb="FF000000"/>
        <rFont val="WenQuanYi Zen Hei"/>
        <family val="2"/>
      </rPr>
      <t xml:space="preserve">은 최신성 차원의 정의를 고안할 때 참고했으며</t>
    </r>
    <r>
      <rPr>
        <sz val="10"/>
        <color rgb="FF000000"/>
        <rFont val="맑은 고딕"/>
        <family val="0"/>
        <charset val="1"/>
      </rPr>
      <t xml:space="preserve">, </t>
    </r>
    <r>
      <rPr>
        <sz val="10"/>
        <color rgb="FF000000"/>
        <rFont val="WenQuanYi Zen Hei"/>
        <family val="2"/>
      </rPr>
      <t xml:space="preserve">최신성의 정의 자체는 연구자 정의</t>
    </r>
    <r>
      <rPr>
        <sz val="10"/>
        <color rgb="FF000000"/>
        <rFont val="맑은 고딕"/>
        <family val="0"/>
        <charset val="1"/>
      </rPr>
      <t xml:space="preserve">.</t>
    </r>
  </si>
  <si>
    <t xml:space="preserve">L23</t>
  </si>
  <si>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 </t>
    </r>
    <r>
      <rPr>
        <sz val="10"/>
        <color rgb="FF000000"/>
        <rFont val="맑은 고딕"/>
        <family val="0"/>
        <charset val="1"/>
      </rPr>
      <t xml:space="preserve">CHG BC </t>
    </r>
    <r>
      <rPr>
        <sz val="10"/>
        <color rgb="FF000000"/>
        <rFont val="WenQuanYi Zen Hei"/>
        <family val="2"/>
      </rPr>
      <t xml:space="preserve">변경관리</t>
    </r>
  </si>
  <si>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대응이 개시한 변경의 결과가 변경관리의 산출물에 포함된다</t>
    </r>
    <r>
      <rPr>
        <sz val="10"/>
        <color rgb="FF000000"/>
        <rFont val="맑은 고딕"/>
        <family val="0"/>
        <charset val="1"/>
      </rPr>
      <t xml:space="preserve">("as those processes initiated them").</t>
    </r>
  </si>
  <si>
    <r>
      <rPr>
        <sz val="10"/>
        <color rgb="FF000000"/>
        <rFont val="맑은 고딕"/>
        <family val="0"/>
        <charset val="1"/>
      </rPr>
      <t xml:space="preserve">"initiated"</t>
    </r>
    <r>
      <rPr>
        <sz val="10"/>
        <color rgb="FF000000"/>
        <rFont val="WenQuanYi Zen Hei"/>
        <family val="2"/>
      </rPr>
      <t xml:space="preserve">를 </t>
    </r>
    <r>
      <rPr>
        <sz val="10"/>
        <color rgb="FF000000"/>
        <rFont val="맑은 고딕"/>
        <family val="0"/>
        <charset val="1"/>
      </rPr>
      <t xml:space="preserve">triggers(S</t>
    </r>
    <r>
      <rPr>
        <sz val="10"/>
        <color rgb="FF000000"/>
        <rFont val="WenQuanYi Zen Hei"/>
        <family val="2"/>
      </rPr>
      <t xml:space="preserve">의 사건</t>
    </r>
    <r>
      <rPr>
        <sz val="10"/>
        <color rgb="FF000000"/>
        <rFont val="맑은 고딕"/>
        <family val="0"/>
        <charset val="1"/>
      </rPr>
      <t xml:space="preserve">·</t>
    </r>
    <r>
      <rPr>
        <sz val="10"/>
        <color rgb="FF000000"/>
        <rFont val="WenQuanYi Zen Hei"/>
        <family val="2"/>
      </rPr>
      <t xml:space="preserve">결과가 </t>
    </r>
    <r>
      <rPr>
        <sz val="10"/>
        <color rgb="FF000000"/>
        <rFont val="맑은 고딕"/>
        <family val="0"/>
        <charset val="1"/>
      </rPr>
      <t xml:space="preserve">T</t>
    </r>
    <r>
      <rPr>
        <sz val="10"/>
        <color rgb="FF000000"/>
        <rFont val="WenQuanYi Zen Hei"/>
        <family val="2"/>
      </rPr>
      <t xml:space="preserve">의 수행을 개시</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 A29</t>
    </r>
    <r>
      <rPr>
        <sz val="10"/>
        <color rgb="FF000000"/>
        <rFont val="WenQuanYi Zen Hei"/>
        <family val="2"/>
      </rPr>
      <t xml:space="preserve">는 </t>
    </r>
    <r>
      <rPr>
        <sz val="10"/>
        <color rgb="FF000000"/>
        <rFont val="맑은 고딕"/>
        <family val="0"/>
        <charset val="1"/>
      </rPr>
      <t xml:space="preserve">INC·EXE</t>
    </r>
    <r>
      <rPr>
        <sz val="10"/>
        <color rgb="FF000000"/>
        <rFont val="WenQuanYi Zen Hei"/>
        <family val="2"/>
      </rPr>
      <t xml:space="preserve">와 변경 결과 방향을 한 문장에 담으므로 </t>
    </r>
    <r>
      <rPr>
        <sz val="10"/>
        <color rgb="FF000000"/>
        <rFont val="맑은 고딕"/>
        <family val="0"/>
        <charset val="1"/>
      </rPr>
      <t xml:space="preserve">L23~L26</t>
    </r>
    <r>
      <rPr>
        <sz val="10"/>
        <color rgb="FF000000"/>
        <rFont val="WenQuanYi Zen Hei"/>
        <family val="2"/>
      </rPr>
      <t xml:space="preserve">은 연구자가 분리한 </t>
    </r>
    <r>
      <rPr>
        <sz val="10"/>
        <color rgb="FF000000"/>
        <rFont val="맑은 고딕"/>
        <family val="0"/>
        <charset val="1"/>
      </rPr>
      <t xml:space="preserve">4</t>
    </r>
    <r>
      <rPr>
        <sz val="10"/>
        <color rgb="FF000000"/>
        <rFont val="WenQuanYi Zen Hei"/>
        <family val="2"/>
      </rPr>
      <t xml:space="preserve">개 연결</t>
    </r>
    <r>
      <rPr>
        <sz val="10"/>
        <color rgb="FF000000"/>
        <rFont val="맑은 고딕"/>
        <family val="0"/>
        <charset val="1"/>
      </rPr>
      <t xml:space="preserve">.</t>
    </r>
  </si>
  <si>
    <t xml:space="preserve">L24</t>
  </si>
  <si>
    <r>
      <rPr>
        <sz val="10"/>
        <color rgb="FF000000"/>
        <rFont val="맑은 고딕"/>
        <family val="0"/>
        <charset val="1"/>
      </rPr>
      <t xml:space="preserve">EXE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 → </t>
    </r>
    <r>
      <rPr>
        <sz val="10"/>
        <color rgb="FF000000"/>
        <rFont val="맑은 고딕"/>
        <family val="0"/>
        <charset val="1"/>
      </rPr>
      <t xml:space="preserve">CHG BC </t>
    </r>
    <r>
      <rPr>
        <sz val="10"/>
        <color rgb="FF000000"/>
        <rFont val="WenQuanYi Zen Hei"/>
        <family val="2"/>
      </rPr>
      <t xml:space="preserve">변경관리</t>
    </r>
  </si>
  <si>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연습이 개시한 변경의 결과가 변경관리의 산출물에 포함된다</t>
    </r>
    <r>
      <rPr>
        <sz val="10"/>
        <color rgb="FF000000"/>
        <rFont val="맑은 고딕"/>
        <family val="0"/>
        <charset val="1"/>
      </rPr>
      <t xml:space="preserve">.</t>
    </r>
  </si>
  <si>
    <r>
      <rPr>
        <sz val="10"/>
        <color rgb="FF000000"/>
        <rFont val="WenQuanYi Zen Hei"/>
        <family val="2"/>
      </rPr>
      <t xml:space="preserve">분리 사유는 </t>
    </r>
    <r>
      <rPr>
        <sz val="10"/>
        <color rgb="FF000000"/>
        <rFont val="맑은 고딕"/>
        <family val="0"/>
        <charset val="1"/>
      </rPr>
      <t xml:space="preserve">L23</t>
    </r>
    <r>
      <rPr>
        <sz val="10"/>
        <color rgb="FF000000"/>
        <rFont val="WenQuanYi Zen Hei"/>
        <family val="2"/>
      </rPr>
      <t xml:space="preserve">과 동일</t>
    </r>
    <r>
      <rPr>
        <sz val="10"/>
        <color rgb="FF000000"/>
        <rFont val="맑은 고딕"/>
        <family val="0"/>
        <charset val="1"/>
      </rPr>
      <t xml:space="preserve">.</t>
    </r>
  </si>
  <si>
    <t xml:space="preserve">L25</t>
  </si>
  <si>
    <r>
      <rPr>
        <sz val="10"/>
        <color rgb="FF000000"/>
        <rFont val="맑은 고딕"/>
        <family val="0"/>
        <charset val="1"/>
      </rPr>
      <t xml:space="preserve">CHG BC </t>
    </r>
    <r>
      <rPr>
        <sz val="10"/>
        <color rgb="FF000000"/>
        <rFont val="WenQuanYi Zen Hei"/>
        <family val="2"/>
      </rPr>
      <t xml:space="preserve">변경관리 → </t>
    </r>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t>
    </r>
  </si>
  <si>
    <r>
      <rPr>
        <sz val="10"/>
        <color rgb="FF000000"/>
        <rFont val="WenQuanYi Zen Hei"/>
        <family val="2"/>
      </rPr>
      <t xml:space="preserve">변경의 결과가 사고</t>
    </r>
    <r>
      <rPr>
        <sz val="10"/>
        <color rgb="FF000000"/>
        <rFont val="맑은 고딕"/>
        <family val="0"/>
        <charset val="1"/>
      </rPr>
      <t xml:space="preserve">·</t>
    </r>
    <r>
      <rPr>
        <sz val="10"/>
        <color rgb="FF000000"/>
        <rFont val="WenQuanYi Zen Hei"/>
        <family val="2"/>
      </rPr>
      <t xml:space="preserve">비상 대응 프로세스로 돌아간다</t>
    </r>
    <r>
      <rPr>
        <sz val="10"/>
        <color rgb="FF000000"/>
        <rFont val="맑은 고딕"/>
        <family val="0"/>
        <charset val="1"/>
      </rPr>
      <t xml:space="preserve">("The results of changes to the incident and emergency handling process").</t>
    </r>
  </si>
  <si>
    <r>
      <rPr>
        <sz val="10"/>
        <color rgb="FF000000"/>
        <rFont val="WenQuanYi Zen Hei"/>
        <family val="2"/>
      </rPr>
      <t xml:space="preserve">분리 사유는 </t>
    </r>
    <r>
      <rPr>
        <sz val="10"/>
        <color rgb="FF000000"/>
        <rFont val="맑은 고딕"/>
        <family val="0"/>
        <charset val="1"/>
      </rPr>
      <t xml:space="preserve">L23</t>
    </r>
    <r>
      <rPr>
        <sz val="10"/>
        <color rgb="FF000000"/>
        <rFont val="WenQuanYi Zen Hei"/>
        <family val="2"/>
      </rPr>
      <t xml:space="preserve">과 동일</t>
    </r>
    <r>
      <rPr>
        <sz val="10"/>
        <color rgb="FF000000"/>
        <rFont val="맑은 고딕"/>
        <family val="0"/>
        <charset val="1"/>
      </rPr>
      <t xml:space="preserve">. "results of changes to"</t>
    </r>
    <r>
      <rPr>
        <sz val="10"/>
        <color rgb="FF000000"/>
        <rFont val="WenQuanYi Zen Hei"/>
        <family val="2"/>
      </rPr>
      <t xml:space="preserve">를 </t>
    </r>
    <r>
      <rPr>
        <sz val="10"/>
        <color rgb="FF000000"/>
        <rFont val="맑은 고딕"/>
        <family val="0"/>
        <charset val="1"/>
      </rPr>
      <t xml:space="preserve">updates(</t>
    </r>
    <r>
      <rPr>
        <sz val="10"/>
        <color rgb="FF000000"/>
        <rFont val="WenQuanYi Zen Hei"/>
        <family val="2"/>
      </rPr>
      <t xml:space="preserve">변경이 </t>
    </r>
    <r>
      <rPr>
        <sz val="10"/>
        <color rgb="FF000000"/>
        <rFont val="맑은 고딕"/>
        <family val="0"/>
        <charset val="1"/>
      </rPr>
      <t xml:space="preserve">T</t>
    </r>
    <r>
      <rPr>
        <sz val="10"/>
        <color rgb="FF000000"/>
        <rFont val="WenQuanYi Zen Hei"/>
        <family val="2"/>
      </rPr>
      <t xml:space="preserve">의 내용을 개정</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t>
    </r>
  </si>
  <si>
    <t xml:space="preserve">L26</t>
  </si>
  <si>
    <r>
      <rPr>
        <sz val="10"/>
        <color rgb="FF000000"/>
        <rFont val="맑은 고딕"/>
        <family val="0"/>
        <charset val="1"/>
      </rPr>
      <t xml:space="preserve">CHG BC </t>
    </r>
    <r>
      <rPr>
        <sz val="10"/>
        <color rgb="FF000000"/>
        <rFont val="WenQuanYi Zen Hei"/>
        <family val="2"/>
      </rPr>
      <t xml:space="preserve">변경관리 → </t>
    </r>
    <r>
      <rPr>
        <sz val="10"/>
        <color rgb="FF000000"/>
        <rFont val="맑은 고딕"/>
        <family val="0"/>
        <charset val="1"/>
      </rPr>
      <t xml:space="preserve">EXE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t>
    </r>
  </si>
  <si>
    <r>
      <rPr>
        <sz val="10"/>
        <color rgb="FF000000"/>
        <rFont val="WenQuanYi Zen Hei"/>
        <family val="2"/>
      </rPr>
      <t xml:space="preserve">변경의 결과가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 프로세스로 돌아간다</t>
    </r>
    <r>
      <rPr>
        <sz val="10"/>
        <color rgb="FF000000"/>
        <rFont val="맑은 고딕"/>
        <family val="0"/>
        <charset val="1"/>
      </rPr>
      <t xml:space="preserve">.</t>
    </r>
  </si>
  <si>
    <r>
      <rPr>
        <sz val="10"/>
        <color rgb="FF000000"/>
        <rFont val="WenQuanYi Zen Hei"/>
        <family val="2"/>
      </rPr>
      <t xml:space="preserve">⑤ 거버넌스</t>
    </r>
    <r>
      <rPr>
        <sz val="10"/>
        <color rgb="FF000000"/>
        <rFont val="맑은 고딕"/>
        <family val="0"/>
        <charset val="1"/>
      </rPr>
      <t xml:space="preserve">·</t>
    </r>
    <r>
      <rPr>
        <sz val="10"/>
        <color rgb="FF000000"/>
        <rFont val="WenQuanYi Zen Hei"/>
        <family val="2"/>
      </rPr>
      <t xml:space="preserve">이해관계자</t>
    </r>
  </si>
  <si>
    <r>
      <rPr>
        <sz val="10"/>
        <color rgb="FF000000"/>
        <rFont val="WenQuanYi Zen Hei"/>
        <family val="2"/>
      </rPr>
      <t xml:space="preserve">핵심 </t>
    </r>
    <r>
      <rPr>
        <sz val="10"/>
        <color rgb="FF000000"/>
        <rFont val="맑은 고딕"/>
        <family val="0"/>
        <charset val="1"/>
      </rPr>
      <t xml:space="preserve">BCMS </t>
    </r>
    <r>
      <rPr>
        <sz val="10"/>
        <color rgb="FF000000"/>
        <rFont val="WenQuanYi Zen Hei"/>
        <family val="2"/>
      </rPr>
      <t xml:space="preserve">프로세스 전반</t>
    </r>
    <r>
      <rPr>
        <sz val="10"/>
        <color rgb="FF000000"/>
        <rFont val="맑은 고딕"/>
        <family val="0"/>
        <charset val="1"/>
      </rPr>
      <t xml:space="preserve">(</t>
    </r>
    <r>
      <rPr>
        <sz val="10"/>
        <color rgb="FF000000"/>
        <rFont val="WenQuanYi Zen Hei"/>
        <family val="2"/>
      </rPr>
      <t xml:space="preserve">집단</t>
    </r>
    <r>
      <rPr>
        <sz val="10"/>
        <color rgb="FF000000"/>
        <rFont val="맑은 고딕"/>
        <family val="0"/>
        <charset val="1"/>
      </rPr>
      <t xml:space="preserve">) → COM </t>
    </r>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t>
    </r>
  </si>
  <si>
    <t xml:space="preserve">CORE</t>
  </si>
  <si>
    <t xml:space="preserve">COM</t>
  </si>
  <si>
    <t xml:space="preserve">V11</t>
  </si>
  <si>
    <r>
      <rPr>
        <sz val="10"/>
        <color rgb="FF000000"/>
        <rFont val="WenQuanYi Zen Hei"/>
        <family val="2"/>
      </rPr>
      <t xml:space="preserve">거의 모든 </t>
    </r>
    <r>
      <rPr>
        <sz val="10"/>
        <color rgb="FF000000"/>
        <rFont val="맑은 고딕"/>
        <family val="0"/>
        <charset val="1"/>
      </rPr>
      <t xml:space="preserve">BCMS </t>
    </r>
    <r>
      <rPr>
        <sz val="10"/>
        <color rgb="FF000000"/>
        <rFont val="WenQuanYi Zen Hei"/>
        <family val="2"/>
      </rPr>
      <t xml:space="preserve">프로세스의 결과가 협의</t>
    </r>
    <r>
      <rPr>
        <sz val="10"/>
        <color rgb="FF000000"/>
        <rFont val="맑은 고딕"/>
        <family val="0"/>
        <charset val="1"/>
      </rPr>
      <t xml:space="preserve">·</t>
    </r>
    <r>
      <rPr>
        <sz val="10"/>
        <color rgb="FF000000"/>
        <rFont val="WenQuanYi Zen Hei"/>
        <family val="2"/>
      </rPr>
      <t xml:space="preserve">커뮤니케이션 프로세스를 통해 </t>
    </r>
    <r>
      <rPr>
        <sz val="10"/>
        <color rgb="FF000000"/>
        <rFont val="맑은 고딕"/>
        <family val="0"/>
        <charset val="1"/>
      </rPr>
      <t xml:space="preserve">BCMS </t>
    </r>
    <r>
      <rPr>
        <sz val="10"/>
        <color rgb="FF000000"/>
        <rFont val="WenQuanYi Zen Hei"/>
        <family val="2"/>
      </rPr>
      <t xml:space="preserve">외부 이해관계자에게 중앙에서 전달된다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</si>
  <si>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판단</t>
    </r>
    <r>
      <rPr>
        <sz val="10"/>
        <color rgb="FF000000"/>
        <rFont val="맑은 고딕"/>
        <family val="0"/>
        <charset val="1"/>
      </rPr>
      <t xml:space="preserve">] "nearly all BCMS processes"</t>
    </r>
    <r>
      <rPr>
        <sz val="10"/>
        <color rgb="FF000000"/>
        <rFont val="WenQuanYi Zen Hei"/>
        <family val="2"/>
      </rPr>
      <t xml:space="preserve">는 프로세스를 열거하지 않으므로 출발점을 집단 노드 </t>
    </r>
    <r>
      <rPr>
        <sz val="10"/>
        <color rgb="FF000000"/>
        <rFont val="맑은 고딕"/>
        <family val="0"/>
        <charset val="1"/>
      </rPr>
      <t xml:space="preserve">CORE("</t>
    </r>
    <r>
      <rPr>
        <sz val="10"/>
        <color rgb="FF000000"/>
        <rFont val="WenQuanYi Zen Hei"/>
        <family val="2"/>
      </rPr>
      <t xml:space="preserve">핵심 </t>
    </r>
    <r>
      <rPr>
        <sz val="10"/>
        <color rgb="FF000000"/>
        <rFont val="맑은 고딕"/>
        <family val="0"/>
        <charset val="1"/>
      </rPr>
      <t xml:space="preserve">BCMS </t>
    </r>
    <r>
      <rPr>
        <sz val="10"/>
        <color rgb="FF000000"/>
        <rFont val="WenQuanYi Zen Hei"/>
        <family val="2"/>
      </rPr>
      <t xml:space="preserve">프로세스 전반</t>
    </r>
    <r>
      <rPr>
        <sz val="10"/>
        <color rgb="FF000000"/>
        <rFont val="맑은 고딕"/>
        <family val="0"/>
        <charset val="1"/>
      </rPr>
      <t xml:space="preserve">")</t>
    </r>
    <r>
      <rPr>
        <sz val="10"/>
        <color rgb="FF000000"/>
        <rFont val="WenQuanYi Zen Hei"/>
        <family val="2"/>
      </rPr>
      <t xml:space="preserve">로 처리했다</t>
    </r>
    <r>
      <rPr>
        <sz val="10"/>
        <color rgb="FF000000"/>
        <rFont val="맑은 고딕"/>
        <family val="0"/>
        <charset val="1"/>
      </rPr>
      <t xml:space="preserve">. CORE</t>
    </r>
    <r>
      <rPr>
        <sz val="10"/>
        <color rgb="FF000000"/>
        <rFont val="WenQuanYi Zen Hei"/>
        <family val="2"/>
      </rPr>
      <t xml:space="preserve">는 </t>
    </r>
    <r>
      <rPr>
        <sz val="10"/>
        <color rgb="FF000000"/>
        <rFont val="맑은 고딕"/>
        <family val="0"/>
        <charset val="1"/>
      </rPr>
      <t xml:space="preserve">Arias</t>
    </r>
    <r>
      <rPr>
        <sz val="10"/>
        <color rgb="FF000000"/>
        <rFont val="WenQuanYi Zen Hei"/>
        <family val="2"/>
      </rPr>
      <t xml:space="preserve">의 객체가 아니라 연구자가 만든 가상 노드이다</t>
    </r>
    <r>
      <rPr>
        <sz val="10"/>
        <color rgb="FF000000"/>
        <rFont val="맑은 고딕"/>
        <family val="0"/>
        <charset val="1"/>
      </rPr>
      <t xml:space="preserve">.</t>
    </r>
  </si>
  <si>
    <t xml:space="preserve">전문가 패널에서 집단 출발점 처리의 적절성 평가</t>
  </si>
  <si>
    <r>
      <rPr>
        <sz val="10"/>
        <color rgb="FF000000"/>
        <rFont val="맑은 고딕"/>
        <family val="0"/>
        <charset val="1"/>
      </rPr>
      <t xml:space="preserve">COM </t>
    </r>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 → </t>
    </r>
    <r>
      <rPr>
        <sz val="10"/>
        <color rgb="FF000000"/>
        <rFont val="맑은 고딕"/>
        <family val="0"/>
        <charset val="1"/>
      </rPr>
      <t xml:space="preserve">GOV BC </t>
    </r>
    <r>
      <rPr>
        <sz val="10"/>
        <color rgb="FF000000"/>
        <rFont val="WenQuanYi Zen Hei"/>
        <family val="2"/>
      </rPr>
      <t xml:space="preserve">거버넌스</t>
    </r>
  </si>
  <si>
    <t xml:space="preserve">GOV</t>
  </si>
  <si>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커뮤니케이션의 보고와 식별된 요구사항은 </t>
    </r>
    <r>
      <rPr>
        <sz val="10"/>
        <color rgb="FF000000"/>
        <rFont val="맑은 고딕"/>
        <family val="0"/>
        <charset val="1"/>
      </rPr>
      <t xml:space="preserve">BC </t>
    </r>
    <r>
      <rPr>
        <sz val="10"/>
        <color rgb="FF000000"/>
        <rFont val="WenQuanYi Zen Hei"/>
        <family val="2"/>
      </rPr>
      <t xml:space="preserve">거버넌스 프로세스의 입력으로 쓰인다</t>
    </r>
    <r>
      <rPr>
        <sz val="10"/>
        <color rgb="FF000000"/>
        <rFont val="맑은 고딕"/>
        <family val="0"/>
        <charset val="1"/>
      </rPr>
      <t xml:space="preserve">.</t>
    </r>
  </si>
  <si>
    <r>
      <rPr>
        <sz val="10"/>
        <color rgb="FF000000"/>
        <rFont val="맑은 고딕"/>
        <family val="0"/>
        <charset val="1"/>
      </rPr>
      <t xml:space="preserve">"These reports"</t>
    </r>
    <r>
      <rPr>
        <sz val="10"/>
        <color rgb="FF000000"/>
        <rFont val="WenQuanYi Zen Hei"/>
        <family val="2"/>
      </rPr>
      <t xml:space="preserve">는 앞 문장</t>
    </r>
    <r>
      <rPr>
        <sz val="10"/>
        <color rgb="FF000000"/>
        <rFont val="맑은 고딕"/>
        <family val="0"/>
        <charset val="1"/>
      </rPr>
      <t xml:space="preserve">(</t>
    </r>
    <r>
      <rPr>
        <sz val="10"/>
        <color rgb="FF000000"/>
        <rFont val="WenQuanYi Zen Hei"/>
        <family val="2"/>
      </rPr>
      <t xml:space="preserve">리스크와 </t>
    </r>
    <r>
      <rPr>
        <sz val="10"/>
        <color rgb="FF000000"/>
        <rFont val="맑은 고딕"/>
        <family val="0"/>
        <charset val="1"/>
      </rPr>
      <t xml:space="preserve">BC </t>
    </r>
    <r>
      <rPr>
        <sz val="10"/>
        <color rgb="FF000000"/>
        <rFont val="WenQuanYi Zen Hei"/>
        <family val="2"/>
      </rPr>
      <t xml:space="preserve">관리 보고의 커뮤니케이션</t>
    </r>
    <r>
      <rPr>
        <sz val="10"/>
        <color rgb="FF000000"/>
        <rFont val="맑은 고딕"/>
        <family val="0"/>
        <charset val="1"/>
      </rPr>
      <t xml:space="preserve">)</t>
    </r>
    <r>
      <rPr>
        <sz val="10"/>
        <color rgb="FF000000"/>
        <rFont val="WenQuanYi Zen Hei"/>
        <family val="2"/>
      </rPr>
      <t xml:space="preserve">을 가리킨다고 연구자가 확인</t>
    </r>
    <r>
      <rPr>
        <sz val="10"/>
        <color rgb="FF000000"/>
        <rFont val="맑은 고딕"/>
        <family val="0"/>
        <charset val="1"/>
      </rPr>
      <t xml:space="preserve">(A47).</t>
    </r>
  </si>
  <si>
    <r>
      <rPr>
        <sz val="10"/>
        <color rgb="FF000000"/>
        <rFont val="맑은 고딕"/>
        <family val="0"/>
        <charset val="1"/>
      </rPr>
      <t xml:space="preserve">GOV BC </t>
    </r>
    <r>
      <rPr>
        <sz val="10"/>
        <color rgb="FF000000"/>
        <rFont val="WenQuanYi Zen Hei"/>
        <family val="2"/>
      </rPr>
      <t xml:space="preserve">거버넌스 → </t>
    </r>
    <r>
      <rPr>
        <sz val="10"/>
        <color rgb="FF000000"/>
        <rFont val="맑은 고딕"/>
        <family val="0"/>
        <charset val="1"/>
      </rPr>
      <t xml:space="preserve">POL BC </t>
    </r>
    <r>
      <rPr>
        <sz val="10"/>
        <color rgb="FF000000"/>
        <rFont val="WenQuanYi Zen Hei"/>
        <family val="2"/>
      </rPr>
      <t xml:space="preserve">정책관리</t>
    </r>
  </si>
  <si>
    <t xml:space="preserve">POL</t>
  </si>
  <si>
    <t xml:space="preserve">A33 / A34 / A35 / B13</t>
  </si>
  <si>
    <r>
      <rPr>
        <sz val="10"/>
        <color rgb="FF000000"/>
        <rFont val="맑은 고딕"/>
        <family val="0"/>
        <charset val="1"/>
      </rPr>
      <t xml:space="preserve">Arias</t>
    </r>
    <r>
      <rPr>
        <sz val="10"/>
        <color rgb="FF000000"/>
        <rFont val="WenQuanYi Zen Hei"/>
        <family val="2"/>
      </rPr>
      <t xml:space="preserve">는 거버넌스</t>
    </r>
    <r>
      <rPr>
        <sz val="10"/>
        <color rgb="FF000000"/>
        <rFont val="맑은 고딕"/>
        <family val="0"/>
        <charset val="1"/>
      </rPr>
      <t xml:space="preserve">(BCMS</t>
    </r>
    <r>
      <rPr>
        <sz val="10"/>
        <color rgb="FF000000"/>
        <rFont val="WenQuanYi Zen Hei"/>
        <family val="2"/>
      </rPr>
      <t xml:space="preserve">가 이해관계자의 목표</t>
    </r>
    <r>
      <rPr>
        <sz val="10"/>
        <color rgb="FF000000"/>
        <rFont val="맑은 고딕"/>
        <family val="0"/>
        <charset val="1"/>
      </rPr>
      <t xml:space="preserve">·</t>
    </r>
    <r>
      <rPr>
        <sz val="10"/>
        <color rgb="FF000000"/>
        <rFont val="WenQuanYi Zen Hei"/>
        <family val="2"/>
      </rPr>
      <t xml:space="preserve">요구에 부합하도록 보장</t>
    </r>
    <r>
      <rPr>
        <sz val="10"/>
        <color rgb="FF000000"/>
        <rFont val="맑은 고딕"/>
        <family val="0"/>
        <charset val="1"/>
      </rPr>
      <t xml:space="preserve">)</t>
    </r>
    <r>
      <rPr>
        <sz val="10"/>
        <color rgb="FF000000"/>
        <rFont val="WenQuanYi Zen Hei"/>
        <family val="2"/>
      </rPr>
      <t xml:space="preserve">와 정책관리</t>
    </r>
    <r>
      <rPr>
        <sz val="10"/>
        <color rgb="FF000000"/>
        <rFont val="맑은 고딕"/>
        <family val="0"/>
        <charset val="1"/>
      </rPr>
      <t xml:space="preserve">(</t>
    </r>
    <r>
      <rPr>
        <sz val="10"/>
        <color rgb="FF000000"/>
        <rFont val="WenQuanYi Zen Hei"/>
        <family val="2"/>
      </rPr>
      <t xml:space="preserve">정책의 개발</t>
    </r>
    <r>
      <rPr>
        <sz val="10"/>
        <color rgb="FF000000"/>
        <rFont val="맑은 고딕"/>
        <family val="0"/>
        <charset val="1"/>
      </rPr>
      <t xml:space="preserve">·</t>
    </r>
    <r>
      <rPr>
        <sz val="10"/>
        <color rgb="FF000000"/>
        <rFont val="WenQuanYi Zen Hei"/>
        <family val="2"/>
      </rPr>
      <t xml:space="preserve">유지</t>
    </r>
    <r>
      <rPr>
        <sz val="10"/>
        <color rgb="FF000000"/>
        <rFont val="맑은 고딕"/>
        <family val="0"/>
        <charset val="1"/>
      </rPr>
      <t xml:space="preserve">·</t>
    </r>
    <r>
      <rPr>
        <sz val="10"/>
        <color rgb="FF000000"/>
        <rFont val="WenQuanYi Zen Hei"/>
        <family val="2"/>
      </rPr>
      <t xml:space="preserve">보존</t>
    </r>
    <r>
      <rPr>
        <sz val="10"/>
        <color rgb="FF000000"/>
        <rFont val="맑은 고딕"/>
        <family val="0"/>
        <charset val="1"/>
      </rPr>
      <t xml:space="preserve">, </t>
    </r>
    <r>
      <rPr>
        <sz val="10"/>
        <color rgb="FF000000"/>
        <rFont val="WenQuanYi Zen Hei"/>
        <family val="2"/>
      </rPr>
      <t xml:space="preserve">접근</t>
    </r>
    <r>
      <rPr>
        <sz val="10"/>
        <color rgb="FF000000"/>
        <rFont val="맑은 고딕"/>
        <family val="0"/>
        <charset val="1"/>
      </rPr>
      <t xml:space="preserve">·</t>
    </r>
    <r>
      <rPr>
        <sz val="10"/>
        <color rgb="FF000000"/>
        <rFont val="WenQuanYi Zen Hei"/>
        <family val="2"/>
      </rPr>
      <t xml:space="preserve">이해 보장</t>
    </r>
    <r>
      <rPr>
        <sz val="10"/>
        <color rgb="FF000000"/>
        <rFont val="맑은 고딕"/>
        <family val="0"/>
        <charset val="1"/>
      </rPr>
      <t xml:space="preserve">)</t>
    </r>
    <r>
      <rPr>
        <sz val="10"/>
        <color rgb="FF000000"/>
        <rFont val="WenQuanYi Zen Hei"/>
        <family val="2"/>
      </rPr>
      <t xml:space="preserve">를 각각 서술할 뿐 두 프로세스의 관계는 서술하지 않는다</t>
    </r>
    <r>
      <rPr>
        <sz val="10"/>
        <color rgb="FF000000"/>
        <rFont val="맑은 고딕"/>
        <family val="0"/>
        <charset val="1"/>
      </rPr>
      <t xml:space="preserve">. Białas</t>
    </r>
    <r>
      <rPr>
        <sz val="10"/>
        <color rgb="FF000000"/>
        <rFont val="WenQuanYi Zen Hei"/>
        <family val="2"/>
      </rPr>
      <t xml:space="preserve">는 목표</t>
    </r>
    <r>
      <rPr>
        <sz val="10"/>
        <color rgb="FF000000"/>
        <rFont val="맑은 고딕"/>
        <family val="0"/>
        <charset val="1"/>
      </rPr>
      <t xml:space="preserve">(objectives)</t>
    </r>
    <r>
      <rPr>
        <sz val="10"/>
        <color rgb="FF000000"/>
        <rFont val="WenQuanYi Zen Hei"/>
        <family val="2"/>
      </rPr>
      <t xml:space="preserve">와 정책</t>
    </r>
    <r>
      <rPr>
        <sz val="10"/>
        <color rgb="FF000000"/>
        <rFont val="맑은 고딕"/>
        <family val="0"/>
        <charset val="1"/>
      </rPr>
      <t xml:space="preserve">(policy)</t>
    </r>
    <r>
      <rPr>
        <sz val="10"/>
        <color rgb="FF000000"/>
        <rFont val="WenQuanYi Zen Hei"/>
        <family val="2"/>
      </rPr>
      <t xml:space="preserve">을 </t>
    </r>
    <r>
      <rPr>
        <sz val="10"/>
        <color rgb="FF000000"/>
        <rFont val="맑은 고딕"/>
        <family val="0"/>
        <charset val="1"/>
      </rPr>
      <t xml:space="preserve">"Plan" </t>
    </r>
    <r>
      <rPr>
        <sz val="10"/>
        <color rgb="FF000000"/>
        <rFont val="WenQuanYi Zen Hei"/>
        <family val="2"/>
      </rPr>
      <t xml:space="preserve">단계의 병렬 항목으로 나열한다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</si>
  <si>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가정</t>
    </r>
    <r>
      <rPr>
        <sz val="10"/>
        <color rgb="FF000000"/>
        <rFont val="맑은 고딕"/>
        <family val="0"/>
        <charset val="1"/>
      </rPr>
      <t xml:space="preserve">] </t>
    </r>
    <r>
      <rPr>
        <sz val="10"/>
        <color rgb="FF000000"/>
        <rFont val="WenQuanYi Zen Hei"/>
        <family val="2"/>
      </rPr>
      <t xml:space="preserve">정책이 경영진이 정한 </t>
    </r>
    <r>
      <rPr>
        <sz val="10"/>
        <color rgb="FF000000"/>
        <rFont val="맑은 고딕"/>
        <family val="0"/>
        <charset val="1"/>
      </rPr>
      <t xml:space="preserve">BC </t>
    </r>
    <r>
      <rPr>
        <sz val="10"/>
        <color rgb="FF000000"/>
        <rFont val="WenQuanYi Zen Hei"/>
        <family val="2"/>
      </rPr>
      <t xml:space="preserve">목표</t>
    </r>
    <r>
      <rPr>
        <sz val="10"/>
        <color rgb="FF000000"/>
        <rFont val="맑은 고딕"/>
        <family val="0"/>
        <charset val="1"/>
      </rPr>
      <t xml:space="preserve">·</t>
    </r>
    <r>
      <rPr>
        <sz val="10"/>
        <color rgb="FF000000"/>
        <rFont val="WenQuanYi Zen Hei"/>
        <family val="2"/>
      </rPr>
      <t xml:space="preserve">방향에서 도출된다는 연결은 두 논문에 근거가 없다</t>
    </r>
    <r>
      <rPr>
        <sz val="10"/>
        <color rgb="FF000000"/>
        <rFont val="맑은 고딕"/>
        <family val="0"/>
        <charset val="1"/>
      </rPr>
      <t xml:space="preserve">(</t>
    </r>
    <r>
      <rPr>
        <sz val="10"/>
        <color rgb="FF000000"/>
        <rFont val="WenQuanYi Zen Hei"/>
        <family val="2"/>
      </rPr>
      <t xml:space="preserve">이를 뒷받침하는 인용이 두 논문에 없음</t>
    </r>
    <r>
      <rPr>
        <sz val="10"/>
        <color rgb="FF000000"/>
        <rFont val="맑은 고딕"/>
        <family val="0"/>
        <charset val="1"/>
      </rPr>
      <t xml:space="preserve">). </t>
    </r>
    <r>
      <rPr>
        <sz val="10"/>
        <color rgb="FF000000"/>
        <rFont val="WenQuanYi Zen Hei"/>
        <family val="2"/>
      </rPr>
      <t xml:space="preserve">또한 </t>
    </r>
    <r>
      <rPr>
        <sz val="10"/>
        <color rgb="FF000000"/>
        <rFont val="맑은 고딕"/>
        <family val="0"/>
        <charset val="1"/>
      </rPr>
      <t xml:space="preserve">Białas</t>
    </r>
    <r>
      <rPr>
        <sz val="10"/>
        <color rgb="FF000000"/>
        <rFont val="WenQuanYi Zen Hei"/>
        <family val="2"/>
      </rPr>
      <t xml:space="preserve">에서는 정책과 목표가 형제 항목이므로 </t>
    </r>
    <r>
      <rPr>
        <sz val="10"/>
        <color rgb="FF000000"/>
        <rFont val="맑은 고딕"/>
        <family val="0"/>
        <charset val="1"/>
      </rPr>
      <t xml:space="preserve">Białas</t>
    </r>
    <r>
      <rPr>
        <sz val="10"/>
        <color rgb="FF000000"/>
        <rFont val="WenQuanYi Zen Hei"/>
        <family val="2"/>
      </rPr>
      <t xml:space="preserve">는 이 연결을 지지하지 않는다</t>
    </r>
    <r>
      <rPr>
        <sz val="10"/>
        <color rgb="FF000000"/>
        <rFont val="맑은 고딕"/>
        <family val="0"/>
        <charset val="1"/>
      </rPr>
      <t xml:space="preserve">.</t>
    </r>
  </si>
  <si>
    <r>
      <rPr>
        <sz val="10"/>
        <color rgb="FF000000"/>
        <rFont val="맑은 고딕"/>
        <family val="0"/>
        <charset val="1"/>
      </rPr>
      <t xml:space="preserve">Białas §2.8 Fig.2 </t>
    </r>
    <r>
      <rPr>
        <sz val="10"/>
        <color rgb="FF000000"/>
        <rFont val="WenQuanYi Zen Hei"/>
        <family val="2"/>
      </rPr>
      <t xml:space="preserve">설명</t>
    </r>
    <r>
      <rPr>
        <sz val="10"/>
        <color rgb="FF000000"/>
        <rFont val="맑은 고딕"/>
        <family val="0"/>
        <charset val="1"/>
      </rPr>
      <t xml:space="preserve">(B13): </t>
    </r>
    <r>
      <rPr>
        <sz val="10"/>
        <color rgb="FF000000"/>
        <rFont val="WenQuanYi Zen Hei"/>
        <family val="2"/>
      </rPr>
      <t xml:space="preserve">목표와 정책이 같은 </t>
    </r>
    <r>
      <rPr>
        <sz val="10"/>
        <color rgb="FF000000"/>
        <rFont val="맑은 고딕"/>
        <family val="0"/>
        <charset val="1"/>
      </rPr>
      <t xml:space="preserve">Plan </t>
    </r>
    <r>
      <rPr>
        <sz val="10"/>
        <color rgb="FF000000"/>
        <rFont val="WenQuanYi Zen Hei"/>
        <family val="2"/>
      </rPr>
      <t xml:space="preserve">단계의 병렬 항목</t>
    </r>
  </si>
  <si>
    <t xml:space="preserve">L30</t>
  </si>
  <si>
    <r>
      <rPr>
        <sz val="10"/>
        <color rgb="FF000000"/>
        <rFont val="맑은 고딕"/>
        <family val="0"/>
        <charset val="1"/>
      </rPr>
      <t xml:space="preserve">RES </t>
    </r>
    <r>
      <rPr>
        <sz val="10"/>
        <color rgb="FF000000"/>
        <rFont val="WenQuanYi Zen Hei"/>
        <family val="2"/>
      </rPr>
      <t xml:space="preserve">자원관리 → 핵심 </t>
    </r>
    <r>
      <rPr>
        <sz val="10"/>
        <color rgb="FF000000"/>
        <rFont val="맑은 고딕"/>
        <family val="0"/>
        <charset val="1"/>
      </rPr>
      <t xml:space="preserve">BCMS </t>
    </r>
    <r>
      <rPr>
        <sz val="10"/>
        <color rgb="FF000000"/>
        <rFont val="WenQuanYi Zen Hei"/>
        <family val="2"/>
      </rPr>
      <t xml:space="preserve">프로세스 전반</t>
    </r>
    <r>
      <rPr>
        <sz val="10"/>
        <color rgb="FF000000"/>
        <rFont val="맑은 고딕"/>
        <family val="0"/>
        <charset val="1"/>
      </rPr>
      <t xml:space="preserve">(</t>
    </r>
    <r>
      <rPr>
        <sz val="10"/>
        <color rgb="FF000000"/>
        <rFont val="WenQuanYi Zen Hei"/>
        <family val="2"/>
      </rPr>
      <t xml:space="preserve">집단</t>
    </r>
    <r>
      <rPr>
        <sz val="10"/>
        <color rgb="FF000000"/>
        <rFont val="맑은 고딕"/>
        <family val="0"/>
        <charset val="1"/>
      </rPr>
      <t xml:space="preserve">)</t>
    </r>
  </si>
  <si>
    <r>
      <rPr>
        <sz val="10"/>
        <color rgb="FF000000"/>
        <rFont val="WenQuanYi Zen Hei"/>
        <family val="2"/>
      </rPr>
      <t xml:space="preserve">자원관리의 산출물에는 핵심 </t>
    </r>
    <r>
      <rPr>
        <sz val="10"/>
        <color rgb="FF000000"/>
        <rFont val="맑은 고딕"/>
        <family val="0"/>
        <charset val="1"/>
      </rPr>
      <t xml:space="preserve">BCMS </t>
    </r>
    <r>
      <rPr>
        <sz val="10"/>
        <color rgb="FF000000"/>
        <rFont val="WenQuanYi Zen Hei"/>
        <family val="2"/>
      </rPr>
      <t xml:space="preserve">프로세스 운영을 위한 자원과 </t>
    </r>
    <r>
      <rPr>
        <sz val="10"/>
        <color rgb="FF000000"/>
        <rFont val="맑은 고딕"/>
        <family val="0"/>
        <charset val="1"/>
      </rPr>
      <t xml:space="preserve">BCMS </t>
    </r>
    <r>
      <rPr>
        <sz val="10"/>
        <color rgb="FF000000"/>
        <rFont val="WenQuanYi Zen Hei"/>
        <family val="2"/>
      </rPr>
      <t xml:space="preserve">핵심 프로세스에 대한 자원 사용 보고가 포함된다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</si>
  <si>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판단</t>
    </r>
    <r>
      <rPr>
        <sz val="10"/>
        <color rgb="FF000000"/>
        <rFont val="맑은 고딕"/>
        <family val="0"/>
        <charset val="1"/>
      </rPr>
      <t xml:space="preserve">] </t>
    </r>
    <r>
      <rPr>
        <sz val="10"/>
        <color rgb="FF000000"/>
        <rFont val="WenQuanYi Zen Hei"/>
        <family val="2"/>
      </rPr>
      <t xml:space="preserve">도착이 </t>
    </r>
    <r>
      <rPr>
        <sz val="10"/>
        <color rgb="FF000000"/>
        <rFont val="맑은 고딕"/>
        <family val="0"/>
        <charset val="1"/>
      </rPr>
      <t xml:space="preserve">"</t>
    </r>
    <r>
      <rPr>
        <sz val="10"/>
        <color rgb="FF000000"/>
        <rFont val="WenQuanYi Zen Hei"/>
        <family val="2"/>
      </rPr>
      <t xml:space="preserve">핵심 </t>
    </r>
    <r>
      <rPr>
        <sz val="10"/>
        <color rgb="FF000000"/>
        <rFont val="맑은 고딕"/>
        <family val="0"/>
        <charset val="1"/>
      </rPr>
      <t xml:space="preserve">BCMS </t>
    </r>
    <r>
      <rPr>
        <sz val="10"/>
        <color rgb="FF000000"/>
        <rFont val="WenQuanYi Zen Hei"/>
        <family val="2"/>
      </rPr>
      <t xml:space="preserve">프로세스</t>
    </r>
    <r>
      <rPr>
        <sz val="10"/>
        <color rgb="FF000000"/>
        <rFont val="맑은 고딕"/>
        <family val="0"/>
        <charset val="1"/>
      </rPr>
      <t xml:space="preserve">(</t>
    </r>
    <r>
      <rPr>
        <sz val="10"/>
        <color rgb="FF000000"/>
        <rFont val="WenQuanYi Zen Hei"/>
        <family val="2"/>
      </rPr>
      <t xml:space="preserve">복수</t>
    </r>
    <r>
      <rPr>
        <sz val="10"/>
        <color rgb="FF000000"/>
        <rFont val="맑은 고딕"/>
        <family val="0"/>
        <charset val="1"/>
      </rPr>
      <t xml:space="preserve">)"</t>
    </r>
    <r>
      <rPr>
        <sz val="10"/>
        <color rgb="FF000000"/>
        <rFont val="WenQuanYi Zen Hei"/>
        <family val="2"/>
      </rPr>
      <t xml:space="preserve">이므로 집단 노드 </t>
    </r>
    <r>
      <rPr>
        <sz val="10"/>
        <color rgb="FF000000"/>
        <rFont val="맑은 고딕"/>
        <family val="0"/>
        <charset val="1"/>
      </rPr>
      <t xml:space="preserve">CORE</t>
    </r>
    <r>
      <rPr>
        <sz val="10"/>
        <color rgb="FF000000"/>
        <rFont val="WenQuanYi Zen Hei"/>
        <family val="2"/>
      </rPr>
      <t xml:space="preserve">를 사용</t>
    </r>
    <r>
      <rPr>
        <sz val="10"/>
        <color rgb="FF000000"/>
        <rFont val="맑은 고딕"/>
        <family val="0"/>
        <charset val="1"/>
      </rPr>
      <t xml:space="preserve">(L27</t>
    </r>
    <r>
      <rPr>
        <sz val="10"/>
        <color rgb="FF000000"/>
        <rFont val="WenQuanYi Zen Hei"/>
        <family val="2"/>
      </rPr>
      <t xml:space="preserve">과 동일 사유</t>
    </r>
    <r>
      <rPr>
        <sz val="10"/>
        <color rgb="FF000000"/>
        <rFont val="맑은 고딕"/>
        <family val="0"/>
        <charset val="1"/>
      </rPr>
      <t xml:space="preserve">).</t>
    </r>
  </si>
  <si>
    <t xml:space="preserve">전문가 패널에서 집단 도착점 처리의 적절성 평가</t>
  </si>
  <si>
    <r>
      <rPr>
        <sz val="10"/>
        <color rgb="FF000000"/>
        <rFont val="맑은 고딕"/>
        <family val="0"/>
        <charset val="1"/>
      </rPr>
      <t xml:space="preserve">RES </t>
    </r>
    <r>
      <rPr>
        <sz val="10"/>
        <color rgb="FF000000"/>
        <rFont val="WenQuanYi Zen Hei"/>
        <family val="2"/>
      </rPr>
      <t xml:space="preserve">자원관리 → </t>
    </r>
    <r>
      <rPr>
        <sz val="10"/>
        <color rgb="FF000000"/>
        <rFont val="맑은 고딕"/>
        <family val="0"/>
        <charset val="1"/>
      </rPr>
      <t xml:space="preserve">CRM </t>
    </r>
    <r>
      <rPr>
        <sz val="10"/>
        <color rgb="FF000000"/>
        <rFont val="WenQuanYi Zen Hei"/>
        <family val="2"/>
      </rPr>
      <t xml:space="preserve">고객관계관리</t>
    </r>
  </si>
  <si>
    <t xml:space="preserve">CRM</t>
  </si>
  <si>
    <r>
      <rPr>
        <sz val="10"/>
        <color rgb="FF000000"/>
        <rFont val="WenQuanYi Zen Hei"/>
        <family val="2"/>
      </rPr>
      <t xml:space="preserve">자원관리의 산출물에는 고객관계관리 프로세스에 대한 자원 사용 보고가 포함된다</t>
    </r>
    <r>
      <rPr>
        <sz val="10"/>
        <color rgb="FF000000"/>
        <rFont val="맑은 고딕"/>
        <family val="0"/>
        <charset val="1"/>
      </rPr>
      <t xml:space="preserve">. </t>
    </r>
    <r>
      <rPr>
        <sz val="10"/>
        <color rgb="FF000000"/>
        <rFont val="WenQuanYi Zen Hei"/>
        <family val="2"/>
      </rPr>
      <t xml:space="preserve">고객관계관리는 고객 만족의 운영적 관리와 </t>
    </r>
    <r>
      <rPr>
        <sz val="10"/>
        <color rgb="FF000000"/>
        <rFont val="맑은 고딕"/>
        <family val="0"/>
        <charset val="1"/>
      </rPr>
      <t xml:space="preserve">BC </t>
    </r>
    <r>
      <rPr>
        <sz val="10"/>
        <color rgb="FF000000"/>
        <rFont val="WenQuanYi Zen Hei"/>
        <family val="2"/>
      </rPr>
      <t xml:space="preserve">투자 가치의 지속적 입증을 수행한다</t>
    </r>
    <r>
      <rPr>
        <sz val="10"/>
        <color rgb="FF000000"/>
        <rFont val="맑은 고딕"/>
        <family val="0"/>
        <charset val="1"/>
      </rPr>
      <t xml:space="preserve">.</t>
    </r>
  </si>
  <si>
    <r>
      <rPr>
        <sz val="10"/>
        <color rgb="FF000000"/>
        <rFont val="WenQuanYi Zen Hei"/>
        <family val="2"/>
      </rPr>
      <t xml:space="preserve">고객관계관리를 </t>
    </r>
    <r>
      <rPr>
        <sz val="10"/>
        <color rgb="FF000000"/>
        <rFont val="맑은 고딕"/>
        <family val="0"/>
        <charset val="1"/>
      </rPr>
      <t xml:space="preserve">"</t>
    </r>
    <r>
      <rPr>
        <sz val="10"/>
        <color rgb="FF000000"/>
        <rFont val="WenQuanYi Zen Hei"/>
        <family val="2"/>
      </rPr>
      <t xml:space="preserve">고객 만족</t>
    </r>
    <r>
      <rPr>
        <sz val="10"/>
        <color rgb="FF000000"/>
        <rFont val="맑은 고딕"/>
        <family val="0"/>
        <charset val="1"/>
      </rPr>
      <t xml:space="preserve">·BC </t>
    </r>
    <r>
      <rPr>
        <sz val="10"/>
        <color rgb="FF000000"/>
        <rFont val="WenQuanYi Zen Hei"/>
        <family val="2"/>
      </rPr>
      <t xml:space="preserve">투자 가치 입증</t>
    </r>
    <r>
      <rPr>
        <sz val="10"/>
        <color rgb="FF000000"/>
        <rFont val="맑은 고딕"/>
        <family val="0"/>
        <charset val="1"/>
      </rPr>
      <t xml:space="preserve">"</t>
    </r>
    <r>
      <rPr>
        <sz val="10"/>
        <color rgb="FF000000"/>
        <rFont val="WenQuanYi Zen Hei"/>
        <family val="2"/>
      </rPr>
      <t xml:space="preserve">으로 부르는 것은 </t>
    </r>
    <r>
      <rPr>
        <sz val="10"/>
        <color rgb="FF000000"/>
        <rFont val="맑은 고딕"/>
        <family val="0"/>
        <charset val="1"/>
      </rPr>
      <t xml:space="preserve">CRM</t>
    </r>
    <r>
      <rPr>
        <sz val="10"/>
        <color rgb="FF000000"/>
        <rFont val="WenQuanYi Zen Hei"/>
        <family val="2"/>
      </rPr>
      <t xml:space="preserve">의 기능을 서술한 </t>
    </r>
    <r>
      <rPr>
        <sz val="10"/>
        <color rgb="FF000000"/>
        <rFont val="맑은 고딕"/>
        <family val="0"/>
        <charset val="1"/>
      </rPr>
      <t xml:space="preserve">A32</t>
    </r>
    <r>
      <rPr>
        <sz val="10"/>
        <color rgb="FF000000"/>
        <rFont val="WenQuanYi Zen Hei"/>
        <family val="2"/>
      </rPr>
      <t xml:space="preserve">를 바탕으로 한 연구자의 지표화이며</t>
    </r>
    <r>
      <rPr>
        <sz val="10"/>
        <color rgb="FF000000"/>
        <rFont val="맑은 고딕"/>
        <family val="0"/>
        <charset val="1"/>
      </rPr>
      <t xml:space="preserve">, </t>
    </r>
    <r>
      <rPr>
        <sz val="10"/>
        <color rgb="FF000000"/>
        <rFont val="WenQuanYi Zen Hei"/>
        <family val="2"/>
      </rPr>
      <t xml:space="preserve">인용문이 </t>
    </r>
    <r>
      <rPr>
        <sz val="10"/>
        <color rgb="FF000000"/>
        <rFont val="맑은 고딕"/>
        <family val="0"/>
        <charset val="1"/>
      </rPr>
      <t xml:space="preserve">"</t>
    </r>
    <r>
      <rPr>
        <sz val="10"/>
        <color rgb="FF000000"/>
        <rFont val="WenQuanYi Zen Hei"/>
        <family val="2"/>
      </rPr>
      <t xml:space="preserve">자원 보고가 가치 입증에 쓰인다</t>
    </r>
    <r>
      <rPr>
        <sz val="10"/>
        <color rgb="FF000000"/>
        <rFont val="맑은 고딕"/>
        <family val="0"/>
        <charset val="1"/>
      </rPr>
      <t xml:space="preserve">"</t>
    </r>
    <r>
      <rPr>
        <sz val="10"/>
        <color rgb="FF000000"/>
        <rFont val="WenQuanYi Zen Hei"/>
        <family val="2"/>
      </rPr>
      <t xml:space="preserve">고 직접 말하는 것은 아니다</t>
    </r>
    <r>
      <rPr>
        <sz val="10"/>
        <color rgb="FF000000"/>
        <rFont val="맑은 고딕"/>
        <family val="0"/>
        <charset val="1"/>
      </rPr>
      <t xml:space="preserve">.</t>
    </r>
  </si>
  <si>
    <r>
      <rPr>
        <b val="true"/>
        <sz val="14"/>
        <color rgb="FF101828"/>
        <rFont val="WenQuanYi Zen Hei"/>
        <family val="2"/>
      </rPr>
      <t xml:space="preserve">연결 </t>
    </r>
    <r>
      <rPr>
        <b val="true"/>
        <sz val="14"/>
        <color rgb="FF101828"/>
        <rFont val="맑은 고딕"/>
        <family val="0"/>
        <charset val="1"/>
      </rPr>
      <t xml:space="preserve">× </t>
    </r>
    <r>
      <rPr>
        <b val="true"/>
        <sz val="14"/>
        <color rgb="FF101828"/>
        <rFont val="WenQuanYi Zen Hei"/>
        <family val="2"/>
      </rPr>
      <t xml:space="preserve">품질 차원 적용 매트릭스 </t>
    </r>
    <r>
      <rPr>
        <b val="true"/>
        <sz val="14"/>
        <color rgb="FF101828"/>
        <rFont val="맑은 고딕"/>
        <family val="0"/>
        <charset val="1"/>
      </rPr>
      <t xml:space="preserve">(1 = </t>
    </r>
    <r>
      <rPr>
        <b val="true"/>
        <sz val="14"/>
        <color rgb="FF101828"/>
        <rFont val="WenQuanYi Zen Hei"/>
        <family val="2"/>
      </rPr>
      <t xml:space="preserve">해당 차원 문항 있음</t>
    </r>
    <r>
      <rPr>
        <b val="true"/>
        <sz val="14"/>
        <color rgb="FF101828"/>
        <rFont val="맑은 고딕"/>
        <family val="0"/>
        <charset val="1"/>
      </rPr>
      <t xml:space="preserve">)</t>
    </r>
  </si>
  <si>
    <r>
      <rPr>
        <i val="true"/>
        <sz val="10"/>
        <color rgb="FF475467"/>
        <rFont val="WenQuanYi Zen Hei"/>
        <family val="2"/>
      </rPr>
      <t xml:space="preserve">정합성</t>
    </r>
    <r>
      <rPr>
        <i val="true"/>
        <sz val="10"/>
        <color rgb="FF475467"/>
        <rFont val="맑은 고딕"/>
        <family val="0"/>
        <charset val="1"/>
      </rPr>
      <t xml:space="preserve">·</t>
    </r>
    <r>
      <rPr>
        <i val="true"/>
        <sz val="10"/>
        <color rgb="FF475467"/>
        <rFont val="WenQuanYi Zen Hei"/>
        <family val="2"/>
      </rPr>
      <t xml:space="preserve">추적성</t>
    </r>
    <r>
      <rPr>
        <i val="true"/>
        <sz val="10"/>
        <color rgb="FF475467"/>
        <rFont val="맑은 고딕"/>
        <family val="0"/>
        <charset val="1"/>
      </rPr>
      <t xml:space="preserve">·</t>
    </r>
    <r>
      <rPr>
        <i val="true"/>
        <sz val="10"/>
        <color rgb="FF475467"/>
        <rFont val="WenQuanYi Zen Hei"/>
        <family val="2"/>
      </rPr>
      <t xml:space="preserve">증빙성</t>
    </r>
    <r>
      <rPr>
        <i val="true"/>
        <sz val="10"/>
        <color rgb="FF475467"/>
        <rFont val="맑은 고딕"/>
        <family val="0"/>
        <charset val="1"/>
      </rPr>
      <t xml:space="preserve">·</t>
    </r>
    <r>
      <rPr>
        <i val="true"/>
        <sz val="10"/>
        <color rgb="FF475467"/>
        <rFont val="WenQuanYi Zen Hei"/>
        <family val="2"/>
      </rPr>
      <t xml:space="preserve">책임성</t>
    </r>
    <r>
      <rPr>
        <i val="true"/>
        <sz val="10"/>
        <color rgb="FF475467"/>
        <rFont val="맑은 고딕"/>
        <family val="0"/>
        <charset val="1"/>
      </rPr>
      <t xml:space="preserve">·</t>
    </r>
    <r>
      <rPr>
        <i val="true"/>
        <sz val="10"/>
        <color rgb="FF475467"/>
        <rFont val="WenQuanYi Zen Hei"/>
        <family val="2"/>
      </rPr>
      <t xml:space="preserve">최신성은 전 연결에 적용</t>
    </r>
    <r>
      <rPr>
        <i val="true"/>
        <sz val="10"/>
        <color rgb="FF475467"/>
        <rFont val="맑은 고딕"/>
        <family val="0"/>
        <charset val="1"/>
      </rPr>
      <t xml:space="preserve">, </t>
    </r>
    <r>
      <rPr>
        <i val="true"/>
        <sz val="10"/>
        <color rgb="FF475467"/>
        <rFont val="WenQuanYi Zen Hei"/>
        <family val="2"/>
      </rPr>
      <t xml:space="preserve">환류폐쇄성은 환류 연결 </t>
    </r>
    <r>
      <rPr>
        <i val="true"/>
        <sz val="10"/>
        <color rgb="FF475467"/>
        <rFont val="맑은 고딕"/>
        <family val="0"/>
        <charset val="1"/>
      </rPr>
      <t xml:space="preserve">8</t>
    </r>
    <r>
      <rPr>
        <i val="true"/>
        <sz val="10"/>
        <color rgb="FF475467"/>
        <rFont val="WenQuanYi Zen Hei"/>
        <family val="2"/>
      </rPr>
      <t xml:space="preserve">개에만 적용</t>
    </r>
    <r>
      <rPr>
        <i val="true"/>
        <sz val="10"/>
        <color rgb="FF475467"/>
        <rFont val="맑은 고딕"/>
        <family val="0"/>
        <charset val="1"/>
      </rPr>
      <t xml:space="preserve">(</t>
    </r>
    <r>
      <rPr>
        <i val="true"/>
        <sz val="10"/>
        <color rgb="FF475467"/>
        <rFont val="WenQuanYi Zen Hei"/>
        <family val="2"/>
      </rPr>
      <t xml:space="preserve">연구자 분류</t>
    </r>
    <r>
      <rPr>
        <i val="true"/>
        <sz val="10"/>
        <color rgb="FF475467"/>
        <rFont val="맑은 고딕"/>
        <family val="0"/>
        <charset val="1"/>
      </rPr>
      <t xml:space="preserve">). </t>
    </r>
    <r>
      <rPr>
        <i val="true"/>
        <sz val="10"/>
        <color rgb="FF475467"/>
        <rFont val="WenQuanYi Zen Hei"/>
        <family val="2"/>
      </rPr>
      <t xml:space="preserve">이 표가 문항 수를 결정한다</t>
    </r>
    <r>
      <rPr>
        <i val="true"/>
        <sz val="10"/>
        <color rgb="FF475467"/>
        <rFont val="맑은 고딕"/>
        <family val="0"/>
        <charset val="1"/>
      </rPr>
      <t xml:space="preserve">.</t>
    </r>
  </si>
  <si>
    <r>
      <rPr>
        <b val="true"/>
        <sz val="10"/>
        <color rgb="FFFFFFFF"/>
        <rFont val="WenQuanYi Zen Hei"/>
        <family val="2"/>
      </rPr>
      <t xml:space="preserve">연결 </t>
    </r>
    <r>
      <rPr>
        <b val="true"/>
        <sz val="10"/>
        <color rgb="FFFFFFFF"/>
        <rFont val="맑은 고딕"/>
        <family val="0"/>
        <charset val="1"/>
      </rPr>
      <t xml:space="preserve">ID</t>
    </r>
  </si>
  <si>
    <t xml:space="preserve">합계</t>
  </si>
  <si>
    <t xml:space="preserve">REQ → BIA</t>
  </si>
  <si>
    <t xml:space="preserve">REQ → RA</t>
  </si>
  <si>
    <t xml:space="preserve">BIA → RA</t>
  </si>
  <si>
    <t xml:space="preserve">REQ → AUD</t>
  </si>
  <si>
    <t xml:space="preserve">REQ → SUP</t>
  </si>
  <si>
    <t xml:space="preserve">BIA → STR</t>
  </si>
  <si>
    <t xml:space="preserve">STR → IMP</t>
  </si>
  <si>
    <t xml:space="preserve">STR → PLAN</t>
  </si>
  <si>
    <t xml:space="preserve">RA → PLAN</t>
  </si>
  <si>
    <t xml:space="preserve">RES → IMP</t>
  </si>
  <si>
    <t xml:space="preserve">BIA → RES</t>
  </si>
  <si>
    <t xml:space="preserve">PLAN → INC</t>
  </si>
  <si>
    <t xml:space="preserve">INC → WARN</t>
  </si>
  <si>
    <t xml:space="preserve">INC → REC</t>
  </si>
  <si>
    <t xml:space="preserve">PLAN → EXE</t>
  </si>
  <si>
    <t xml:space="preserve">EXE → PLAN</t>
  </si>
  <si>
    <t xml:space="preserve">PLAN → AWR</t>
  </si>
  <si>
    <t xml:space="preserve">PERF → CI</t>
  </si>
  <si>
    <t xml:space="preserve">AUD → CI</t>
  </si>
  <si>
    <t xml:space="preserve">SUP → CI</t>
  </si>
  <si>
    <t xml:space="preserve">CHG → RA</t>
  </si>
  <si>
    <t xml:space="preserve">CHG → DOC</t>
  </si>
  <si>
    <t xml:space="preserve">INC → CHG</t>
  </si>
  <si>
    <t xml:space="preserve">EXE → CHG</t>
  </si>
  <si>
    <t xml:space="preserve">CHG → INC</t>
  </si>
  <si>
    <t xml:space="preserve">CHG → EXE</t>
  </si>
  <si>
    <t xml:space="preserve">CORE → COM</t>
  </si>
  <si>
    <t xml:space="preserve">COM → GOV</t>
  </si>
  <si>
    <t xml:space="preserve">GOV → POL</t>
  </si>
  <si>
    <t xml:space="preserve">RES → CORE</t>
  </si>
  <si>
    <t xml:space="preserve">RES → CRM</t>
  </si>
  <si>
    <r>
      <rPr>
        <b val="true"/>
        <sz val="14"/>
        <color rgb="FF101828"/>
        <rFont val="WenQuanYi Zen Hei"/>
        <family val="2"/>
      </rPr>
      <t xml:space="preserve">관계층 — 관계동사 </t>
    </r>
    <r>
      <rPr>
        <b val="true"/>
        <sz val="14"/>
        <color rgb="FF101828"/>
        <rFont val="맑은 고딕"/>
        <family val="0"/>
        <charset val="1"/>
      </rPr>
      <t xml:space="preserve">11</t>
    </r>
    <r>
      <rPr>
        <b val="true"/>
        <sz val="14"/>
        <color rgb="FF101828"/>
        <rFont val="WenQuanYi Zen Hei"/>
        <family val="2"/>
      </rPr>
      <t xml:space="preserve">개 </t>
    </r>
    <r>
      <rPr>
        <b val="true"/>
        <sz val="14"/>
        <color rgb="FF101828"/>
        <rFont val="맑은 고딕"/>
        <family val="0"/>
        <charset val="1"/>
      </rPr>
      <t xml:space="preserve">(</t>
    </r>
    <r>
      <rPr>
        <b val="true"/>
        <sz val="14"/>
        <color rgb="FF101828"/>
        <rFont val="WenQuanYi Zen Hei"/>
        <family val="2"/>
      </rPr>
      <t xml:space="preserve">연구자 정의</t>
    </r>
    <r>
      <rPr>
        <b val="true"/>
        <sz val="14"/>
        <color rgb="FF101828"/>
        <rFont val="맑은 고딕"/>
        <family val="0"/>
        <charset val="1"/>
      </rPr>
      <t xml:space="preserve">, Arias </t>
    </r>
    <r>
      <rPr>
        <b val="true"/>
        <sz val="14"/>
        <color rgb="FF101828"/>
        <rFont val="WenQuanYi Zen Hei"/>
        <family val="2"/>
      </rPr>
      <t xml:space="preserve">서술문에서 동사 추출</t>
    </r>
    <r>
      <rPr>
        <b val="true"/>
        <sz val="14"/>
        <color rgb="FF101828"/>
        <rFont val="맑은 고딕"/>
        <family val="0"/>
        <charset val="1"/>
      </rPr>
      <t xml:space="preserve">)</t>
    </r>
  </si>
  <si>
    <r>
      <rPr>
        <i val="true"/>
        <sz val="10"/>
        <color rgb="FF475467"/>
        <rFont val="WenQuanYi Zen Hei"/>
        <family val="2"/>
      </rPr>
      <t xml:space="preserve">첨부 문서의 동사 중 일치</t>
    </r>
    <r>
      <rPr>
        <i val="true"/>
        <sz val="10"/>
        <color rgb="FF475467"/>
        <rFont val="맑은 고딕"/>
        <family val="0"/>
        <charset val="1"/>
      </rPr>
      <t xml:space="preserve">·</t>
    </r>
    <r>
      <rPr>
        <i val="true"/>
        <sz val="10"/>
        <color rgb="FF475467"/>
        <rFont val="WenQuanYi Zen Hei"/>
        <family val="2"/>
      </rPr>
      <t xml:space="preserve">추적</t>
    </r>
    <r>
      <rPr>
        <i val="true"/>
        <sz val="10"/>
        <color rgb="FF475467"/>
        <rFont val="맑은 고딕"/>
        <family val="0"/>
        <charset val="1"/>
      </rPr>
      <t xml:space="preserve">·</t>
    </r>
    <r>
      <rPr>
        <i val="true"/>
        <sz val="10"/>
        <color rgb="FF475467"/>
        <rFont val="WenQuanYi Zen Hei"/>
        <family val="2"/>
      </rPr>
      <t xml:space="preserve">증빙은 품질층 차원과 겹쳐 품질층으로 옮겼다</t>
    </r>
    <r>
      <rPr>
        <i val="true"/>
        <sz val="10"/>
        <color rgb="FF475467"/>
        <rFont val="맑은 고딕"/>
        <family val="0"/>
        <charset val="1"/>
      </rPr>
      <t xml:space="preserve">. V10(</t>
    </r>
    <r>
      <rPr>
        <i val="true"/>
        <sz val="10"/>
        <color rgb="FF475467"/>
        <rFont val="WenQuanYi Zen Hei"/>
        <family val="2"/>
      </rPr>
      <t xml:space="preserve">승인한다</t>
    </r>
    <r>
      <rPr>
        <i val="true"/>
        <sz val="10"/>
        <color rgb="FF475467"/>
        <rFont val="맑은 고딕"/>
        <family val="0"/>
        <charset val="1"/>
      </rPr>
      <t xml:space="preserve">)</t>
    </r>
    <r>
      <rPr>
        <i val="true"/>
        <sz val="10"/>
        <color rgb="FF475467"/>
        <rFont val="WenQuanYi Zen Hei"/>
        <family val="2"/>
      </rPr>
      <t xml:space="preserve">은 문헌에서 확인되나 이번 연결 </t>
    </r>
    <r>
      <rPr>
        <i val="true"/>
        <sz val="10"/>
        <color rgb="FF475467"/>
        <rFont val="맑은 고딕"/>
        <family val="0"/>
        <charset val="1"/>
      </rPr>
      <t xml:space="preserve">31</t>
    </r>
    <r>
      <rPr>
        <i val="true"/>
        <sz val="10"/>
        <color rgb="FF475467"/>
        <rFont val="WenQuanYi Zen Hei"/>
        <family val="2"/>
      </rPr>
      <t xml:space="preserve">개에는 쓰지 않았다</t>
    </r>
    <r>
      <rPr>
        <i val="true"/>
        <sz val="10"/>
        <color rgb="FF475467"/>
        <rFont val="맑은 고딕"/>
        <family val="0"/>
        <charset val="1"/>
      </rPr>
      <t xml:space="preserve">.</t>
    </r>
  </si>
  <si>
    <r>
      <rPr>
        <b val="true"/>
        <sz val="10"/>
        <color rgb="FFFFFFFF"/>
        <rFont val="WenQuanYi Zen Hei"/>
        <family val="2"/>
      </rPr>
      <t xml:space="preserve">영문 </t>
    </r>
    <r>
      <rPr>
        <b val="true"/>
        <sz val="10"/>
        <color rgb="FFFFFFFF"/>
        <rFont val="맑은 고딕"/>
        <family val="0"/>
        <charset val="1"/>
      </rPr>
      <t xml:space="preserve">predicate</t>
    </r>
  </si>
  <si>
    <r>
      <rPr>
        <b val="true"/>
        <sz val="10"/>
        <color rgb="FFFFFFFF"/>
        <rFont val="WenQuanYi Zen Hei"/>
        <family val="2"/>
      </rPr>
      <t xml:space="preserve">의미 </t>
    </r>
    <r>
      <rPr>
        <b val="true"/>
        <sz val="10"/>
        <color rgb="FFFFFFFF"/>
        <rFont val="맑은 고딕"/>
        <family val="0"/>
        <charset val="1"/>
      </rPr>
      <t xml:space="preserve">(S→T)</t>
    </r>
  </si>
  <si>
    <t xml:space="preserve">판정 질문</t>
  </si>
  <si>
    <r>
      <rPr>
        <b val="true"/>
        <sz val="10"/>
        <color rgb="FFFFFFFF"/>
        <rFont val="맑은 고딕"/>
        <family val="0"/>
        <charset val="1"/>
      </rPr>
      <t xml:space="preserve">Arias </t>
    </r>
    <r>
      <rPr>
        <b val="true"/>
        <sz val="10"/>
        <color rgb="FFFFFFFF"/>
        <rFont val="WenQuanYi Zen Hei"/>
        <family val="2"/>
      </rPr>
      <t xml:space="preserve">원문 동사 </t>
    </r>
    <r>
      <rPr>
        <b val="true"/>
        <sz val="10"/>
        <color rgb="FFFFFFFF"/>
        <rFont val="맑은 고딕"/>
        <family val="0"/>
        <charset val="1"/>
      </rPr>
      <t xml:space="preserve">(</t>
    </r>
    <r>
      <rPr>
        <b val="true"/>
        <sz val="10"/>
        <color rgb="FFFFFFFF"/>
        <rFont val="WenQuanYi Zen Hei"/>
        <family val="2"/>
      </rPr>
      <t xml:space="preserve">영문 표현</t>
    </r>
    <r>
      <rPr>
        <b val="true"/>
        <sz val="10"/>
        <color rgb="FFFFFFFF"/>
        <rFont val="맑은 고딕"/>
        <family val="0"/>
        <charset val="1"/>
      </rPr>
      <t xml:space="preserve">)</t>
    </r>
  </si>
  <si>
    <t xml:space="preserve">첨부 문서 동사와의 대응</t>
  </si>
  <si>
    <t xml:space="preserve">사용 연결</t>
  </si>
  <si>
    <t xml:space="preserve">사용 수</t>
  </si>
  <si>
    <r>
      <rPr>
        <b val="true"/>
        <sz val="10"/>
        <color rgb="FF000000"/>
        <rFont val="WenQuanYi Zen Hei"/>
        <family val="2"/>
      </rPr>
      <t xml:space="preserve">입력된다</t>
    </r>
    <r>
      <rPr>
        <b val="true"/>
        <sz val="10"/>
        <color rgb="FF000000"/>
        <rFont val="맑은 고딕"/>
        <family val="0"/>
        <charset val="1"/>
      </rPr>
      <t xml:space="preserve">·</t>
    </r>
    <r>
      <rPr>
        <b val="true"/>
        <sz val="10"/>
        <color rgb="FF000000"/>
        <rFont val="WenQuanYi Zen Hei"/>
        <family val="2"/>
      </rPr>
      <t xml:space="preserve">활용된다</t>
    </r>
  </si>
  <si>
    <t xml:space="preserve">isInputTo</t>
  </si>
  <si>
    <r>
      <rPr>
        <sz val="10"/>
        <color rgb="FF000000"/>
        <rFont val="맑은 고딕"/>
        <family val="0"/>
        <charset val="1"/>
      </rPr>
      <t xml:space="preserve">S</t>
    </r>
    <r>
      <rPr>
        <sz val="10"/>
        <color rgb="FF000000"/>
        <rFont val="WenQuanYi Zen Hei"/>
        <family val="2"/>
      </rPr>
      <t xml:space="preserve">의 산출물이 </t>
    </r>
    <r>
      <rPr>
        <sz val="10"/>
        <color rgb="FF000000"/>
        <rFont val="맑은 고딕"/>
        <family val="0"/>
        <charset val="1"/>
      </rPr>
      <t xml:space="preserve">T</t>
    </r>
    <r>
      <rPr>
        <sz val="10"/>
        <color rgb="FF000000"/>
        <rFont val="WenQuanYi Zen Hei"/>
        <family val="2"/>
      </rPr>
      <t xml:space="preserve">의 입력</t>
    </r>
    <r>
      <rPr>
        <sz val="10"/>
        <color rgb="FF000000"/>
        <rFont val="맑은 고딕"/>
        <family val="0"/>
        <charset val="1"/>
      </rPr>
      <t xml:space="preserve">·</t>
    </r>
    <r>
      <rPr>
        <sz val="10"/>
        <color rgb="FF000000"/>
        <rFont val="WenQuanYi Zen Hei"/>
        <family val="2"/>
      </rPr>
      <t xml:space="preserve">기준으로 쓰인다</t>
    </r>
  </si>
  <si>
    <r>
      <rPr>
        <sz val="10"/>
        <color rgb="FF000000"/>
        <rFont val="맑은 고딕"/>
        <family val="0"/>
        <charset val="1"/>
      </rPr>
      <t xml:space="preserve">T</t>
    </r>
    <r>
      <rPr>
        <sz val="10"/>
        <color rgb="FF000000"/>
        <rFont val="WenQuanYi Zen Hei"/>
        <family val="2"/>
      </rPr>
      <t xml:space="preserve">를 수행할 때 </t>
    </r>
    <r>
      <rPr>
        <sz val="10"/>
        <color rgb="FF000000"/>
        <rFont val="맑은 고딕"/>
        <family val="0"/>
        <charset val="1"/>
      </rPr>
      <t xml:space="preserve">S</t>
    </r>
    <r>
      <rPr>
        <sz val="10"/>
        <color rgb="FF000000"/>
        <rFont val="WenQuanYi Zen Hei"/>
        <family val="2"/>
      </rPr>
      <t xml:space="preserve">의 산출물이 입력으로 쓰이는가</t>
    </r>
    <r>
      <rPr>
        <sz val="10"/>
        <color rgb="FF000000"/>
        <rFont val="맑은 고딕"/>
        <family val="0"/>
        <charset val="1"/>
      </rPr>
      <t xml:space="preserve">?</t>
    </r>
  </si>
  <si>
    <t xml:space="preserve">inform / essential input / serve as inputs</t>
  </si>
  <si>
    <t xml:space="preserve">A11 / A17 / A31</t>
  </si>
  <si>
    <r>
      <rPr>
        <sz val="10"/>
        <color rgb="FF000000"/>
        <rFont val="WenQuanYi Zen Hei"/>
        <family val="2"/>
      </rPr>
      <t xml:space="preserve">첨부 문서의 </t>
    </r>
    <r>
      <rPr>
        <sz val="10"/>
        <color rgb="FF000000"/>
        <rFont val="맑은 고딕"/>
        <family val="0"/>
        <charset val="1"/>
      </rPr>
      <t xml:space="preserve">"</t>
    </r>
    <r>
      <rPr>
        <sz val="10"/>
        <color rgb="FF000000"/>
        <rFont val="WenQuanYi Zen Hei"/>
        <family val="2"/>
      </rPr>
      <t xml:space="preserve">입력된다</t>
    </r>
    <r>
      <rPr>
        <sz val="10"/>
        <color rgb="FF000000"/>
        <rFont val="맑은 고딕"/>
        <family val="0"/>
        <charset val="1"/>
      </rPr>
      <t xml:space="preserve">/</t>
    </r>
    <r>
      <rPr>
        <sz val="10"/>
        <color rgb="FF000000"/>
        <rFont val="WenQuanYi Zen Hei"/>
        <family val="2"/>
      </rPr>
      <t xml:space="preserve">활용된다</t>
    </r>
    <r>
      <rPr>
        <sz val="10"/>
        <color rgb="FF000000"/>
        <rFont val="맑은 고딕"/>
        <family val="0"/>
        <charset val="1"/>
      </rPr>
      <t xml:space="preserve">"</t>
    </r>
  </si>
  <si>
    <t xml:space="preserve">L01, L02, L04, L05, L09, L11, L17, L28</t>
  </si>
  <si>
    <t xml:space="preserve">근거가 된다</t>
  </si>
  <si>
    <t xml:space="preserve">isBasisFor</t>
  </si>
  <si>
    <r>
      <rPr>
        <sz val="10"/>
        <color rgb="FF000000"/>
        <rFont val="맑은 고딕"/>
        <family val="0"/>
        <charset val="1"/>
      </rPr>
      <t xml:space="preserve">S</t>
    </r>
    <r>
      <rPr>
        <sz val="10"/>
        <color rgb="FF000000"/>
        <rFont val="WenQuanYi Zen Hei"/>
        <family val="2"/>
      </rPr>
      <t xml:space="preserve">의 결과가 </t>
    </r>
    <r>
      <rPr>
        <sz val="10"/>
        <color rgb="FF000000"/>
        <rFont val="맑은 고딕"/>
        <family val="0"/>
        <charset val="1"/>
      </rPr>
      <t xml:space="preserve">T</t>
    </r>
    <r>
      <rPr>
        <sz val="10"/>
        <color rgb="FF000000"/>
        <rFont val="WenQuanYi Zen Hei"/>
        <family val="2"/>
      </rPr>
      <t xml:space="preserve">의 결정</t>
    </r>
    <r>
      <rPr>
        <sz val="10"/>
        <color rgb="FF000000"/>
        <rFont val="맑은 고딕"/>
        <family val="0"/>
        <charset val="1"/>
      </rPr>
      <t xml:space="preserve">·</t>
    </r>
    <r>
      <rPr>
        <sz val="10"/>
        <color rgb="FF000000"/>
        <rFont val="WenQuanYi Zen Hei"/>
        <family val="2"/>
      </rPr>
      <t xml:space="preserve">선정의 근거</t>
    </r>
    <r>
      <rPr>
        <sz val="10"/>
        <color rgb="FF000000"/>
        <rFont val="맑은 고딕"/>
        <family val="0"/>
        <charset val="1"/>
      </rPr>
      <t xml:space="preserve">(</t>
    </r>
    <r>
      <rPr>
        <sz val="10"/>
        <color rgb="FF000000"/>
        <rFont val="WenQuanYi Zen Hei"/>
        <family val="2"/>
      </rPr>
      <t xml:space="preserve">기준</t>
    </r>
    <r>
      <rPr>
        <sz val="10"/>
        <color rgb="FF000000"/>
        <rFont val="맑은 고딕"/>
        <family val="0"/>
        <charset val="1"/>
      </rPr>
      <t xml:space="preserve">)</t>
    </r>
    <r>
      <rPr>
        <sz val="10"/>
        <color rgb="FF000000"/>
        <rFont val="WenQuanYi Zen Hei"/>
        <family val="2"/>
      </rPr>
      <t xml:space="preserve">가 된다</t>
    </r>
  </si>
  <si>
    <r>
      <rPr>
        <sz val="10"/>
        <color rgb="FF000000"/>
        <rFont val="맑은 고딕"/>
        <family val="0"/>
        <charset val="1"/>
      </rPr>
      <t xml:space="preserve">T</t>
    </r>
    <r>
      <rPr>
        <sz val="10"/>
        <color rgb="FF000000"/>
        <rFont val="WenQuanYi Zen Hei"/>
        <family val="2"/>
      </rPr>
      <t xml:space="preserve">의 결정이 </t>
    </r>
    <r>
      <rPr>
        <sz val="10"/>
        <color rgb="FF000000"/>
        <rFont val="맑은 고딕"/>
        <family val="0"/>
        <charset val="1"/>
      </rPr>
      <t xml:space="preserve">S</t>
    </r>
    <r>
      <rPr>
        <sz val="10"/>
        <color rgb="FF000000"/>
        <rFont val="WenQuanYi Zen Hei"/>
        <family val="2"/>
      </rPr>
      <t xml:space="preserve">의 결과를 근거로 하는가</t>
    </r>
    <r>
      <rPr>
        <sz val="10"/>
        <color rgb="FF000000"/>
        <rFont val="맑은 고딕"/>
        <family val="0"/>
        <charset val="1"/>
      </rPr>
      <t xml:space="preserve">?</t>
    </r>
  </si>
  <si>
    <t xml:space="preserve">relies on … as its foundation / guide the determination and selection</t>
  </si>
  <si>
    <t xml:space="preserve">A12 / A14</t>
  </si>
  <si>
    <r>
      <rPr>
        <sz val="10"/>
        <color rgb="FF000000"/>
        <rFont val="WenQuanYi Zen Hei"/>
        <family val="2"/>
      </rPr>
      <t xml:space="preserve">첨부 문서의 </t>
    </r>
    <r>
      <rPr>
        <sz val="10"/>
        <color rgb="FF000000"/>
        <rFont val="맑은 고딕"/>
        <family val="0"/>
        <charset val="1"/>
      </rPr>
      <t xml:space="preserve">"</t>
    </r>
    <r>
      <rPr>
        <sz val="10"/>
        <color rgb="FF000000"/>
        <rFont val="WenQuanYi Zen Hei"/>
        <family val="2"/>
      </rPr>
      <t xml:space="preserve">근거가 된다</t>
    </r>
    <r>
      <rPr>
        <sz val="10"/>
        <color rgb="FF000000"/>
        <rFont val="맑은 고딕"/>
        <family val="0"/>
        <charset val="1"/>
      </rPr>
      <t xml:space="preserve">"(</t>
    </r>
    <r>
      <rPr>
        <sz val="10"/>
        <color rgb="FF000000"/>
        <rFont val="WenQuanYi Zen Hei"/>
        <family val="2"/>
      </rPr>
      <t xml:space="preserve">일부 </t>
    </r>
    <r>
      <rPr>
        <sz val="10"/>
        <color rgb="FF000000"/>
        <rFont val="맑은 고딕"/>
        <family val="0"/>
        <charset val="1"/>
      </rPr>
      <t xml:space="preserve">"</t>
    </r>
    <r>
      <rPr>
        <sz val="10"/>
        <color rgb="FF000000"/>
        <rFont val="WenQuanYi Zen Hei"/>
        <family val="2"/>
      </rPr>
      <t xml:space="preserve">제약한다</t>
    </r>
    <r>
      <rPr>
        <sz val="10"/>
        <color rgb="FF000000"/>
        <rFont val="맑은 고딕"/>
        <family val="0"/>
        <charset val="1"/>
      </rPr>
      <t xml:space="preserve">")</t>
    </r>
  </si>
  <si>
    <t xml:space="preserve">L03, L06</t>
  </si>
  <si>
    <r>
      <rPr>
        <b val="true"/>
        <sz val="10"/>
        <color rgb="FF000000"/>
        <rFont val="WenQuanYi Zen Hei"/>
        <family val="2"/>
      </rPr>
      <t xml:space="preserve">도출</t>
    </r>
    <r>
      <rPr>
        <b val="true"/>
        <sz val="10"/>
        <color rgb="FF000000"/>
        <rFont val="맑은 고딕"/>
        <family val="0"/>
        <charset val="1"/>
      </rPr>
      <t xml:space="preserve">·</t>
    </r>
    <r>
      <rPr>
        <b val="true"/>
        <sz val="10"/>
        <color rgb="FF000000"/>
        <rFont val="WenQuanYi Zen Hei"/>
        <family val="2"/>
      </rPr>
      <t xml:space="preserve">이행된다</t>
    </r>
  </si>
  <si>
    <t xml:space="preserve">isElaboratedInto</t>
  </si>
  <si>
    <r>
      <rPr>
        <sz val="10"/>
        <color rgb="FF000000"/>
        <rFont val="맑은 고딕"/>
        <family val="0"/>
        <charset val="1"/>
      </rPr>
      <t xml:space="preserve">S</t>
    </r>
    <r>
      <rPr>
        <sz val="10"/>
        <color rgb="FF000000"/>
        <rFont val="WenQuanYi Zen Hei"/>
        <family val="2"/>
      </rPr>
      <t xml:space="preserve">의 내용이 </t>
    </r>
    <r>
      <rPr>
        <sz val="10"/>
        <color rgb="FF000000"/>
        <rFont val="맑은 고딕"/>
        <family val="0"/>
        <charset val="1"/>
      </rPr>
      <t xml:space="preserve">T</t>
    </r>
    <r>
      <rPr>
        <sz val="10"/>
        <color rgb="FF000000"/>
        <rFont val="WenQuanYi Zen Hei"/>
        <family val="2"/>
      </rPr>
      <t xml:space="preserve">로 구체화</t>
    </r>
    <r>
      <rPr>
        <sz val="10"/>
        <color rgb="FF000000"/>
        <rFont val="맑은 고딕"/>
        <family val="0"/>
        <charset val="1"/>
      </rPr>
      <t xml:space="preserve">·</t>
    </r>
    <r>
      <rPr>
        <sz val="10"/>
        <color rgb="FF000000"/>
        <rFont val="WenQuanYi Zen Hei"/>
        <family val="2"/>
      </rPr>
      <t xml:space="preserve">도출되거나 </t>
    </r>
    <r>
      <rPr>
        <sz val="10"/>
        <color rgb="FF000000"/>
        <rFont val="맑은 고딕"/>
        <family val="0"/>
        <charset val="1"/>
      </rPr>
      <t xml:space="preserve">T</t>
    </r>
    <r>
      <rPr>
        <sz val="10"/>
        <color rgb="FF000000"/>
        <rFont val="WenQuanYi Zen Hei"/>
        <family val="2"/>
      </rPr>
      <t xml:space="preserve">에서 실행된다</t>
    </r>
  </si>
  <si>
    <r>
      <rPr>
        <sz val="10"/>
        <color rgb="FF000000"/>
        <rFont val="맑은 고딕"/>
        <family val="0"/>
        <charset val="1"/>
      </rPr>
      <t xml:space="preserve">T</t>
    </r>
    <r>
      <rPr>
        <sz val="10"/>
        <color rgb="FF000000"/>
        <rFont val="WenQuanYi Zen Hei"/>
        <family val="2"/>
      </rPr>
      <t xml:space="preserve">의 내용이 </t>
    </r>
    <r>
      <rPr>
        <sz val="10"/>
        <color rgb="FF000000"/>
        <rFont val="맑은 고딕"/>
        <family val="0"/>
        <charset val="1"/>
      </rPr>
      <t xml:space="preserve">S</t>
    </r>
    <r>
      <rPr>
        <sz val="10"/>
        <color rgb="FF000000"/>
        <rFont val="WenQuanYi Zen Hei"/>
        <family val="2"/>
      </rPr>
      <t xml:space="preserve">에서 도출되거나 </t>
    </r>
    <r>
      <rPr>
        <sz val="10"/>
        <color rgb="FF000000"/>
        <rFont val="맑은 고딕"/>
        <family val="0"/>
        <charset val="1"/>
      </rPr>
      <t xml:space="preserve">S</t>
    </r>
    <r>
      <rPr>
        <sz val="10"/>
        <color rgb="FF000000"/>
        <rFont val="WenQuanYi Zen Hei"/>
        <family val="2"/>
      </rPr>
      <t xml:space="preserve">를 실행하는가</t>
    </r>
    <r>
      <rPr>
        <sz val="10"/>
        <color rgb="FF000000"/>
        <rFont val="맑은 고딕"/>
        <family val="0"/>
        <charset val="1"/>
      </rPr>
      <t xml:space="preserve">?</t>
    </r>
  </si>
  <si>
    <t xml:space="preserve">derived from / executed as planned / through the execution of</t>
  </si>
  <si>
    <t xml:space="preserve">A16 / A15 / A19</t>
  </si>
  <si>
    <r>
      <rPr>
        <sz val="10"/>
        <color rgb="FF000000"/>
        <rFont val="맑은 고딕"/>
        <family val="0"/>
        <charset val="1"/>
      </rPr>
      <t xml:space="preserve">(Arias</t>
    </r>
    <r>
      <rPr>
        <sz val="10"/>
        <color rgb="FF000000"/>
        <rFont val="WenQuanYi Zen Hei"/>
        <family val="2"/>
      </rPr>
      <t xml:space="preserve">에서 추가한 동사</t>
    </r>
    <r>
      <rPr>
        <sz val="10"/>
        <color rgb="FF000000"/>
        <rFont val="맑은 고딕"/>
        <family val="0"/>
        <charset val="1"/>
      </rPr>
      <t xml:space="preserve">)</t>
    </r>
  </si>
  <si>
    <t xml:space="preserve">L07, L08, L12, L29</t>
  </si>
  <si>
    <r>
      <rPr>
        <b val="true"/>
        <sz val="10"/>
        <color rgb="FF000000"/>
        <rFont val="WenQuanYi Zen Hei"/>
        <family val="2"/>
      </rPr>
      <t xml:space="preserve">시험</t>
    </r>
    <r>
      <rPr>
        <b val="true"/>
        <sz val="10"/>
        <color rgb="FF000000"/>
        <rFont val="맑은 고딕"/>
        <family val="0"/>
        <charset val="1"/>
      </rPr>
      <t xml:space="preserve">·</t>
    </r>
    <r>
      <rPr>
        <b val="true"/>
        <sz val="10"/>
        <color rgb="FF000000"/>
        <rFont val="WenQuanYi Zen Hei"/>
        <family val="2"/>
      </rPr>
      <t xml:space="preserve">검증된다</t>
    </r>
  </si>
  <si>
    <t xml:space="preserve">isVerifiedBy</t>
  </si>
  <si>
    <r>
      <rPr>
        <sz val="10"/>
        <color rgb="FF000000"/>
        <rFont val="맑은 고딕"/>
        <family val="0"/>
        <charset val="1"/>
      </rPr>
      <t xml:space="preserve">S</t>
    </r>
    <r>
      <rPr>
        <sz val="10"/>
        <color rgb="FF000000"/>
        <rFont val="WenQuanYi Zen Hei"/>
        <family val="2"/>
      </rPr>
      <t xml:space="preserve">가 </t>
    </r>
    <r>
      <rPr>
        <sz val="10"/>
        <color rgb="FF000000"/>
        <rFont val="맑은 고딕"/>
        <family val="0"/>
        <charset val="1"/>
      </rPr>
      <t xml:space="preserve">T</t>
    </r>
    <r>
      <rPr>
        <sz val="10"/>
        <color rgb="FF000000"/>
        <rFont val="WenQuanYi Zen Hei"/>
        <family val="2"/>
      </rPr>
      <t xml:space="preserve">에서 시험</t>
    </r>
    <r>
      <rPr>
        <sz val="10"/>
        <color rgb="FF000000"/>
        <rFont val="맑은 고딕"/>
        <family val="0"/>
        <charset val="1"/>
      </rPr>
      <t xml:space="preserve">·</t>
    </r>
    <r>
      <rPr>
        <sz val="10"/>
        <color rgb="FF000000"/>
        <rFont val="WenQuanYi Zen Hei"/>
        <family val="2"/>
      </rPr>
      <t xml:space="preserve">검증된다</t>
    </r>
  </si>
  <si>
    <r>
      <rPr>
        <sz val="10"/>
        <color rgb="FF000000"/>
        <rFont val="맑은 고딕"/>
        <family val="0"/>
        <charset val="1"/>
      </rPr>
      <t xml:space="preserve">T</t>
    </r>
    <r>
      <rPr>
        <sz val="10"/>
        <color rgb="FF000000"/>
        <rFont val="WenQuanYi Zen Hei"/>
        <family val="2"/>
      </rPr>
      <t xml:space="preserve">가 </t>
    </r>
    <r>
      <rPr>
        <sz val="10"/>
        <color rgb="FF000000"/>
        <rFont val="맑은 고딕"/>
        <family val="0"/>
        <charset val="1"/>
      </rPr>
      <t xml:space="preserve">S</t>
    </r>
    <r>
      <rPr>
        <sz val="10"/>
        <color rgb="FF000000"/>
        <rFont val="WenQuanYi Zen Hei"/>
        <family val="2"/>
      </rPr>
      <t xml:space="preserve">의 유효성을 시험</t>
    </r>
    <r>
      <rPr>
        <sz val="10"/>
        <color rgb="FF000000"/>
        <rFont val="맑은 고딕"/>
        <family val="0"/>
        <charset val="1"/>
      </rPr>
      <t xml:space="preserve">·</t>
    </r>
    <r>
      <rPr>
        <sz val="10"/>
        <color rgb="FF000000"/>
        <rFont val="WenQuanYi Zen Hei"/>
        <family val="2"/>
      </rPr>
      <t xml:space="preserve">평가하는가</t>
    </r>
    <r>
      <rPr>
        <sz val="10"/>
        <color rgb="FF000000"/>
        <rFont val="맑은 고딕"/>
        <family val="0"/>
        <charset val="1"/>
      </rPr>
      <t xml:space="preserve">?</t>
    </r>
  </si>
  <si>
    <t xml:space="preserve">tested regularly to validate their effectiveness</t>
  </si>
  <si>
    <r>
      <rPr>
        <sz val="10"/>
        <color rgb="FF000000"/>
        <rFont val="WenQuanYi Zen Hei"/>
        <family val="2"/>
      </rPr>
      <t xml:space="preserve">첨부 문서의 </t>
    </r>
    <r>
      <rPr>
        <sz val="10"/>
        <color rgb="FF000000"/>
        <rFont val="맑은 고딕"/>
        <family val="0"/>
        <charset val="1"/>
      </rPr>
      <t xml:space="preserve">"</t>
    </r>
    <r>
      <rPr>
        <sz val="10"/>
        <color rgb="FF000000"/>
        <rFont val="WenQuanYi Zen Hei"/>
        <family val="2"/>
      </rPr>
      <t xml:space="preserve">검증한다</t>
    </r>
    <r>
      <rPr>
        <sz val="10"/>
        <color rgb="FF000000"/>
        <rFont val="맑은 고딕"/>
        <family val="0"/>
        <charset val="1"/>
      </rPr>
      <t xml:space="preserve">"</t>
    </r>
  </si>
  <si>
    <t xml:space="preserve">수행을 촉발한다</t>
  </si>
  <si>
    <t xml:space="preserve">triggers</t>
  </si>
  <si>
    <r>
      <rPr>
        <sz val="10"/>
        <color rgb="FF000000"/>
        <rFont val="맑은 고딕"/>
        <family val="0"/>
        <charset val="1"/>
      </rPr>
      <t xml:space="preserve">S</t>
    </r>
    <r>
      <rPr>
        <sz val="10"/>
        <color rgb="FF000000"/>
        <rFont val="WenQuanYi Zen Hei"/>
        <family val="2"/>
      </rPr>
      <t xml:space="preserve">의 사건</t>
    </r>
    <r>
      <rPr>
        <sz val="10"/>
        <color rgb="FF000000"/>
        <rFont val="맑은 고딕"/>
        <family val="0"/>
        <charset val="1"/>
      </rPr>
      <t xml:space="preserve">·</t>
    </r>
    <r>
      <rPr>
        <sz val="10"/>
        <color rgb="FF000000"/>
        <rFont val="WenQuanYi Zen Hei"/>
        <family val="2"/>
      </rPr>
      <t xml:space="preserve">결과가 </t>
    </r>
    <r>
      <rPr>
        <sz val="10"/>
        <color rgb="FF000000"/>
        <rFont val="맑은 고딕"/>
        <family val="0"/>
        <charset val="1"/>
      </rPr>
      <t xml:space="preserve">T</t>
    </r>
    <r>
      <rPr>
        <sz val="10"/>
        <color rgb="FF000000"/>
        <rFont val="WenQuanYi Zen Hei"/>
        <family val="2"/>
      </rPr>
      <t xml:space="preserve">의 수행을 개시시킨다</t>
    </r>
  </si>
  <si>
    <r>
      <rPr>
        <sz val="10"/>
        <color rgb="FF000000"/>
        <rFont val="맑은 고딕"/>
        <family val="0"/>
        <charset val="1"/>
      </rPr>
      <t xml:space="preserve">S</t>
    </r>
    <r>
      <rPr>
        <sz val="10"/>
        <color rgb="FF000000"/>
        <rFont val="WenQuanYi Zen Hei"/>
        <family val="2"/>
      </rPr>
      <t xml:space="preserve">가 일어나면 </t>
    </r>
    <r>
      <rPr>
        <sz val="10"/>
        <color rgb="FF000000"/>
        <rFont val="맑은 고딕"/>
        <family val="0"/>
        <charset val="1"/>
      </rPr>
      <t xml:space="preserve">T</t>
    </r>
    <r>
      <rPr>
        <sz val="10"/>
        <color rgb="FF000000"/>
        <rFont val="WenQuanYi Zen Hei"/>
        <family val="2"/>
      </rPr>
      <t xml:space="preserve">가 시작되는가</t>
    </r>
    <r>
      <rPr>
        <sz val="10"/>
        <color rgb="FF000000"/>
        <rFont val="맑은 고딕"/>
        <family val="0"/>
        <charset val="1"/>
      </rPr>
      <t xml:space="preserve">?</t>
    </r>
  </si>
  <si>
    <t xml:space="preserve">initiation of / as those processes initiated them</t>
  </si>
  <si>
    <t xml:space="preserve">A27 / A29</t>
  </si>
  <si>
    <r>
      <rPr>
        <sz val="10"/>
        <color rgb="FF000000"/>
        <rFont val="WenQuanYi Zen Hei"/>
        <family val="2"/>
      </rPr>
      <t xml:space="preserve">첨부 문서의 </t>
    </r>
    <r>
      <rPr>
        <sz val="10"/>
        <color rgb="FF000000"/>
        <rFont val="맑은 고딕"/>
        <family val="0"/>
        <charset val="1"/>
      </rPr>
      <t xml:space="preserve">"</t>
    </r>
    <r>
      <rPr>
        <sz val="10"/>
        <color rgb="FF000000"/>
        <rFont val="WenQuanYi Zen Hei"/>
        <family val="2"/>
      </rPr>
      <t xml:space="preserve">변경을 촉발한다</t>
    </r>
    <r>
      <rPr>
        <sz val="10"/>
        <color rgb="FF000000"/>
        <rFont val="맑은 고딕"/>
        <family val="0"/>
        <charset val="1"/>
      </rPr>
      <t xml:space="preserve">"</t>
    </r>
  </si>
  <si>
    <t xml:space="preserve">L21, L23, L24</t>
  </si>
  <si>
    <r>
      <rPr>
        <b val="true"/>
        <sz val="10"/>
        <color rgb="FF000000"/>
        <rFont val="WenQuanYi Zen Hei"/>
        <family val="2"/>
      </rPr>
      <t xml:space="preserve">개정</t>
    </r>
    <r>
      <rPr>
        <b val="true"/>
        <sz val="10"/>
        <color rgb="FF000000"/>
        <rFont val="맑은 고딕"/>
        <family val="0"/>
        <charset val="1"/>
      </rPr>
      <t xml:space="preserve">·</t>
    </r>
    <r>
      <rPr>
        <b val="true"/>
        <sz val="10"/>
        <color rgb="FF000000"/>
        <rFont val="WenQuanYi Zen Hei"/>
        <family val="2"/>
      </rPr>
      <t xml:space="preserve">갱신한다</t>
    </r>
  </si>
  <si>
    <t xml:space="preserve">revises</t>
  </si>
  <si>
    <r>
      <rPr>
        <sz val="10"/>
        <color rgb="FF000000"/>
        <rFont val="맑은 고딕"/>
        <family val="0"/>
        <charset val="1"/>
      </rPr>
      <t xml:space="preserve">S</t>
    </r>
    <r>
      <rPr>
        <sz val="10"/>
        <color rgb="FF000000"/>
        <rFont val="WenQuanYi Zen Hei"/>
        <family val="2"/>
      </rPr>
      <t xml:space="preserve">의 결과</t>
    </r>
    <r>
      <rPr>
        <sz val="10"/>
        <color rgb="FF000000"/>
        <rFont val="맑은 고딕"/>
        <family val="0"/>
        <charset val="1"/>
      </rPr>
      <t xml:space="preserve">·</t>
    </r>
    <r>
      <rPr>
        <sz val="10"/>
        <color rgb="FF000000"/>
        <rFont val="WenQuanYi Zen Hei"/>
        <family val="2"/>
      </rPr>
      <t xml:space="preserve">승인된 변경이 </t>
    </r>
    <r>
      <rPr>
        <sz val="10"/>
        <color rgb="FF000000"/>
        <rFont val="맑은 고딕"/>
        <family val="0"/>
        <charset val="1"/>
      </rPr>
      <t xml:space="preserve">T</t>
    </r>
    <r>
      <rPr>
        <sz val="10"/>
        <color rgb="FF000000"/>
        <rFont val="WenQuanYi Zen Hei"/>
        <family val="2"/>
      </rPr>
      <t xml:space="preserve">의 내용을 개정</t>
    </r>
    <r>
      <rPr>
        <sz val="10"/>
        <color rgb="FF000000"/>
        <rFont val="맑은 고딕"/>
        <family val="0"/>
        <charset val="1"/>
      </rPr>
      <t xml:space="preserve">·</t>
    </r>
    <r>
      <rPr>
        <sz val="10"/>
        <color rgb="FF000000"/>
        <rFont val="WenQuanYi Zen Hei"/>
        <family val="2"/>
      </rPr>
      <t xml:space="preserve">갱신한다</t>
    </r>
  </si>
  <si>
    <r>
      <rPr>
        <sz val="10"/>
        <color rgb="FF000000"/>
        <rFont val="맑은 고딕"/>
        <family val="0"/>
        <charset val="1"/>
      </rPr>
      <t xml:space="preserve">S</t>
    </r>
    <r>
      <rPr>
        <sz val="10"/>
        <color rgb="FF000000"/>
        <rFont val="WenQuanYi Zen Hei"/>
        <family val="2"/>
      </rPr>
      <t xml:space="preserve">의 결과가 </t>
    </r>
    <r>
      <rPr>
        <sz val="10"/>
        <color rgb="FF000000"/>
        <rFont val="맑은 고딕"/>
        <family val="0"/>
        <charset val="1"/>
      </rPr>
      <t xml:space="preserve">T</t>
    </r>
    <r>
      <rPr>
        <sz val="10"/>
        <color rgb="FF000000"/>
        <rFont val="WenQuanYi Zen Hei"/>
        <family val="2"/>
      </rPr>
      <t xml:space="preserve">의 문서</t>
    </r>
    <r>
      <rPr>
        <sz val="10"/>
        <color rgb="FF000000"/>
        <rFont val="맑은 고딕"/>
        <family val="0"/>
        <charset val="1"/>
      </rPr>
      <t xml:space="preserve">·</t>
    </r>
    <r>
      <rPr>
        <sz val="10"/>
        <color rgb="FF000000"/>
        <rFont val="WenQuanYi Zen Hei"/>
        <family val="2"/>
      </rPr>
      <t xml:space="preserve">절차를 바꾸는가</t>
    </r>
    <r>
      <rPr>
        <sz val="10"/>
        <color rgb="FF000000"/>
        <rFont val="맑은 고딕"/>
        <family val="0"/>
        <charset val="1"/>
      </rPr>
      <t xml:space="preserve">?</t>
    </r>
  </si>
  <si>
    <t xml:space="preserve">prompt any necessary adjustments / necessary changes (for DOC) / updating</t>
  </si>
  <si>
    <t xml:space="preserve">A23 / A28 / A41</t>
  </si>
  <si>
    <r>
      <rPr>
        <sz val="10"/>
        <color rgb="FF000000"/>
        <rFont val="WenQuanYi Zen Hei"/>
        <family val="2"/>
      </rPr>
      <t xml:space="preserve">첨부 문서의 </t>
    </r>
    <r>
      <rPr>
        <sz val="10"/>
        <color rgb="FF000000"/>
        <rFont val="맑은 고딕"/>
        <family val="0"/>
        <charset val="1"/>
      </rPr>
      <t xml:space="preserve">"</t>
    </r>
    <r>
      <rPr>
        <sz val="10"/>
        <color rgb="FF000000"/>
        <rFont val="WenQuanYi Zen Hei"/>
        <family val="2"/>
      </rPr>
      <t xml:space="preserve">개정</t>
    </r>
    <r>
      <rPr>
        <sz val="10"/>
        <color rgb="FF000000"/>
        <rFont val="맑은 고딕"/>
        <family val="0"/>
        <charset val="1"/>
      </rPr>
      <t xml:space="preserve">·</t>
    </r>
    <r>
      <rPr>
        <sz val="10"/>
        <color rgb="FF000000"/>
        <rFont val="WenQuanYi Zen Hei"/>
        <family val="2"/>
      </rPr>
      <t xml:space="preserve">갱신한다</t>
    </r>
    <r>
      <rPr>
        <sz val="10"/>
        <color rgb="FF000000"/>
        <rFont val="맑은 고딕"/>
        <family val="0"/>
        <charset val="1"/>
      </rPr>
      <t xml:space="preserve">"</t>
    </r>
  </si>
  <si>
    <t xml:space="preserve">L16, L22</t>
  </si>
  <si>
    <t xml:space="preserve">환류된다</t>
  </si>
  <si>
    <t xml:space="preserve">feedsBackTo</t>
  </si>
  <si>
    <r>
      <rPr>
        <sz val="10"/>
        <color rgb="FF000000"/>
        <rFont val="맑은 고딕"/>
        <family val="0"/>
        <charset val="1"/>
      </rPr>
      <t xml:space="preserve">S</t>
    </r>
    <r>
      <rPr>
        <sz val="10"/>
        <color rgb="FF000000"/>
        <rFont val="WenQuanYi Zen Hei"/>
        <family val="2"/>
      </rPr>
      <t xml:space="preserve">의 결과가 </t>
    </r>
    <r>
      <rPr>
        <sz val="10"/>
        <color rgb="FF000000"/>
        <rFont val="맑은 고딕"/>
        <family val="0"/>
        <charset val="1"/>
      </rPr>
      <t xml:space="preserve">T(</t>
    </r>
    <r>
      <rPr>
        <sz val="10"/>
        <color rgb="FF000000"/>
        <rFont val="WenQuanYi Zen Hei"/>
        <family val="2"/>
      </rPr>
      <t xml:space="preserve">개선</t>
    </r>
    <r>
      <rPr>
        <sz val="10"/>
        <color rgb="FF000000"/>
        <rFont val="맑은 고딕"/>
        <family val="0"/>
        <charset val="1"/>
      </rPr>
      <t xml:space="preserve">·</t>
    </r>
    <r>
      <rPr>
        <sz val="10"/>
        <color rgb="FF000000"/>
        <rFont val="WenQuanYi Zen Hei"/>
        <family val="2"/>
      </rPr>
      <t xml:space="preserve">재수정</t>
    </r>
    <r>
      <rPr>
        <sz val="10"/>
        <color rgb="FF000000"/>
        <rFont val="맑은 고딕"/>
        <family val="0"/>
        <charset val="1"/>
      </rPr>
      <t xml:space="preserve">)</t>
    </r>
    <r>
      <rPr>
        <sz val="10"/>
        <color rgb="FF000000"/>
        <rFont val="WenQuanYi Zen Hei"/>
        <family val="2"/>
      </rPr>
      <t xml:space="preserve">로 되돌아간다</t>
    </r>
  </si>
  <si>
    <r>
      <rPr>
        <sz val="10"/>
        <color rgb="FF000000"/>
        <rFont val="맑은 고딕"/>
        <family val="0"/>
        <charset val="1"/>
      </rPr>
      <t xml:space="preserve">S</t>
    </r>
    <r>
      <rPr>
        <sz val="10"/>
        <color rgb="FF000000"/>
        <rFont val="WenQuanYi Zen Hei"/>
        <family val="2"/>
      </rPr>
      <t xml:space="preserve">의 결과가 개선</t>
    </r>
    <r>
      <rPr>
        <sz val="10"/>
        <color rgb="FF000000"/>
        <rFont val="맑은 고딕"/>
        <family val="0"/>
        <charset val="1"/>
      </rPr>
      <t xml:space="preserve">·</t>
    </r>
    <r>
      <rPr>
        <sz val="10"/>
        <color rgb="FF000000"/>
        <rFont val="WenQuanYi Zen Hei"/>
        <family val="2"/>
      </rPr>
      <t xml:space="preserve">재수정 대상</t>
    </r>
    <r>
      <rPr>
        <sz val="10"/>
        <color rgb="FF000000"/>
        <rFont val="맑은 고딕"/>
        <family val="0"/>
        <charset val="1"/>
      </rPr>
      <t xml:space="preserve">(T)</t>
    </r>
    <r>
      <rPr>
        <sz val="10"/>
        <color rgb="FF000000"/>
        <rFont val="WenQuanYi Zen Hei"/>
        <family val="2"/>
      </rPr>
      <t xml:space="preserve">으로 되돌아가는가</t>
    </r>
    <r>
      <rPr>
        <sz val="10"/>
        <color rgb="FF000000"/>
        <rFont val="맑은 고딕"/>
        <family val="0"/>
        <charset val="1"/>
      </rPr>
      <t xml:space="preserve">?</t>
    </r>
  </si>
  <si>
    <t xml:space="preserve">are used to improve / results of changes … as those processes initiated them</t>
  </si>
  <si>
    <t xml:space="preserve">A25 / A46 / A29</t>
  </si>
  <si>
    <r>
      <rPr>
        <sz val="10"/>
        <color rgb="FF000000"/>
        <rFont val="WenQuanYi Zen Hei"/>
        <family val="2"/>
      </rPr>
      <t xml:space="preserve">첨부 문서의 </t>
    </r>
    <r>
      <rPr>
        <sz val="10"/>
        <color rgb="FF000000"/>
        <rFont val="맑은 고딕"/>
        <family val="0"/>
        <charset val="1"/>
      </rPr>
      <t xml:space="preserve">"</t>
    </r>
    <r>
      <rPr>
        <sz val="10"/>
        <color rgb="FF000000"/>
        <rFont val="WenQuanYi Zen Hei"/>
        <family val="2"/>
      </rPr>
      <t xml:space="preserve">환류된다</t>
    </r>
    <r>
      <rPr>
        <sz val="10"/>
        <color rgb="FF000000"/>
        <rFont val="맑은 고딕"/>
        <family val="0"/>
        <charset val="1"/>
      </rPr>
      <t xml:space="preserve">"</t>
    </r>
  </si>
  <si>
    <t xml:space="preserve">L18, L19, L20, L25, L26</t>
  </si>
  <si>
    <t xml:space="preserve">포함한다</t>
  </si>
  <si>
    <t xml:space="preserve">hasSubprocess</t>
  </si>
  <si>
    <r>
      <rPr>
        <sz val="10"/>
        <color rgb="FF000000"/>
        <rFont val="맑은 고딕"/>
        <family val="0"/>
        <charset val="1"/>
      </rPr>
      <t xml:space="preserve">T</t>
    </r>
    <r>
      <rPr>
        <sz val="10"/>
        <color rgb="FF000000"/>
        <rFont val="WenQuanYi Zen Hei"/>
        <family val="2"/>
      </rPr>
      <t xml:space="preserve">는 </t>
    </r>
    <r>
      <rPr>
        <sz val="10"/>
        <color rgb="FF000000"/>
        <rFont val="맑은 고딕"/>
        <family val="0"/>
        <charset val="1"/>
      </rPr>
      <t xml:space="preserve">S</t>
    </r>
    <r>
      <rPr>
        <sz val="10"/>
        <color rgb="FF000000"/>
        <rFont val="WenQuanYi Zen Hei"/>
        <family val="2"/>
      </rPr>
      <t xml:space="preserve">의 하위 프로세스로서 </t>
    </r>
    <r>
      <rPr>
        <sz val="10"/>
        <color rgb="FF000000"/>
        <rFont val="맑은 고딕"/>
        <family val="0"/>
        <charset val="1"/>
      </rPr>
      <t xml:space="preserve">S </t>
    </r>
    <r>
      <rPr>
        <sz val="10"/>
        <color rgb="FF000000"/>
        <rFont val="WenQuanYi Zen Hei"/>
        <family val="2"/>
      </rPr>
      <t xml:space="preserve">안에서 수행된다</t>
    </r>
  </si>
  <si>
    <r>
      <rPr>
        <sz val="10"/>
        <color rgb="FF000000"/>
        <rFont val="맑은 고딕"/>
        <family val="0"/>
        <charset val="1"/>
      </rPr>
      <t xml:space="preserve">T</t>
    </r>
    <r>
      <rPr>
        <sz val="10"/>
        <color rgb="FF000000"/>
        <rFont val="WenQuanYi Zen Hei"/>
        <family val="2"/>
      </rPr>
      <t xml:space="preserve">가 </t>
    </r>
    <r>
      <rPr>
        <sz val="10"/>
        <color rgb="FF000000"/>
        <rFont val="맑은 고딕"/>
        <family val="0"/>
        <charset val="1"/>
      </rPr>
      <t xml:space="preserve">S</t>
    </r>
    <r>
      <rPr>
        <sz val="10"/>
        <color rgb="FF000000"/>
        <rFont val="WenQuanYi Zen Hei"/>
        <family val="2"/>
      </rPr>
      <t xml:space="preserve">의 일부로서 </t>
    </r>
    <r>
      <rPr>
        <sz val="10"/>
        <color rgb="FF000000"/>
        <rFont val="맑은 고딕"/>
        <family val="0"/>
        <charset val="1"/>
      </rPr>
      <t xml:space="preserve">S </t>
    </r>
    <r>
      <rPr>
        <sz val="10"/>
        <color rgb="FF000000"/>
        <rFont val="WenQuanYi Zen Hei"/>
        <family val="2"/>
      </rPr>
      <t xml:space="preserve">안에서 수행되는가</t>
    </r>
    <r>
      <rPr>
        <sz val="10"/>
        <color rgb="FF000000"/>
        <rFont val="맑은 고딕"/>
        <family val="0"/>
        <charset val="1"/>
      </rPr>
      <t xml:space="preserve">?</t>
    </r>
  </si>
  <si>
    <t xml:space="preserve">includes two primary subprocesses</t>
  </si>
  <si>
    <t xml:space="preserve">제공한다</t>
  </si>
  <si>
    <t xml:space="preserve">supplies</t>
  </si>
  <si>
    <r>
      <rPr>
        <sz val="10"/>
        <color rgb="FF000000"/>
        <rFont val="맑은 고딕"/>
        <family val="0"/>
        <charset val="1"/>
      </rPr>
      <t xml:space="preserve">S</t>
    </r>
    <r>
      <rPr>
        <sz val="10"/>
        <color rgb="FF000000"/>
        <rFont val="WenQuanYi Zen Hei"/>
        <family val="2"/>
      </rPr>
      <t xml:space="preserve">가 </t>
    </r>
    <r>
      <rPr>
        <sz val="10"/>
        <color rgb="FF000000"/>
        <rFont val="맑은 고딕"/>
        <family val="0"/>
        <charset val="1"/>
      </rPr>
      <t xml:space="preserve">T</t>
    </r>
    <r>
      <rPr>
        <sz val="10"/>
        <color rgb="FF000000"/>
        <rFont val="WenQuanYi Zen Hei"/>
        <family val="2"/>
      </rPr>
      <t xml:space="preserve">에 자원 또는 자원 관련 보고를 제공한다</t>
    </r>
  </si>
  <si>
    <r>
      <rPr>
        <sz val="10"/>
        <color rgb="FF000000"/>
        <rFont val="맑은 고딕"/>
        <family val="0"/>
        <charset val="1"/>
      </rPr>
      <t xml:space="preserve">T</t>
    </r>
    <r>
      <rPr>
        <sz val="10"/>
        <color rgb="FF000000"/>
        <rFont val="WenQuanYi Zen Hei"/>
        <family val="2"/>
      </rPr>
      <t xml:space="preserve">가 </t>
    </r>
    <r>
      <rPr>
        <sz val="10"/>
        <color rgb="FF000000"/>
        <rFont val="맑은 고딕"/>
        <family val="0"/>
        <charset val="1"/>
      </rPr>
      <t xml:space="preserve">S</t>
    </r>
    <r>
      <rPr>
        <sz val="10"/>
        <color rgb="FF000000"/>
        <rFont val="WenQuanYi Zen Hei"/>
        <family val="2"/>
      </rPr>
      <t xml:space="preserve">로부터 자원 또는 자원 사용 보고를 받는가</t>
    </r>
    <r>
      <rPr>
        <sz val="10"/>
        <color rgb="FF000000"/>
        <rFont val="맑은 고딕"/>
        <family val="0"/>
        <charset val="1"/>
      </rPr>
      <t xml:space="preserve">?</t>
    </r>
  </si>
  <si>
    <t xml:space="preserve">outputs … include documented resources / reports on resource utilization</t>
  </si>
  <si>
    <t xml:space="preserve">V10</t>
  </si>
  <si>
    <t xml:space="preserve">승인한다</t>
  </si>
  <si>
    <t xml:space="preserve">approves</t>
  </si>
  <si>
    <r>
      <rPr>
        <sz val="10"/>
        <color rgb="FF000000"/>
        <rFont val="맑은 고딕"/>
        <family val="0"/>
        <charset val="1"/>
      </rPr>
      <t xml:space="preserve">S</t>
    </r>
    <r>
      <rPr>
        <sz val="10"/>
        <color rgb="FF000000"/>
        <rFont val="WenQuanYi Zen Hei"/>
        <family val="2"/>
      </rPr>
      <t xml:space="preserve">가 </t>
    </r>
    <r>
      <rPr>
        <sz val="10"/>
        <color rgb="FF000000"/>
        <rFont val="맑은 고딕"/>
        <family val="0"/>
        <charset val="1"/>
      </rPr>
      <t xml:space="preserve">T</t>
    </r>
    <r>
      <rPr>
        <sz val="10"/>
        <color rgb="FF000000"/>
        <rFont val="WenQuanYi Zen Hei"/>
        <family val="2"/>
      </rPr>
      <t xml:space="preserve">의 결과를 승인한다</t>
    </r>
  </si>
  <si>
    <r>
      <rPr>
        <sz val="10"/>
        <color rgb="FF000000"/>
        <rFont val="맑은 고딕"/>
        <family val="0"/>
        <charset val="1"/>
      </rPr>
      <t xml:space="preserve">S</t>
    </r>
    <r>
      <rPr>
        <sz val="10"/>
        <color rgb="FF000000"/>
        <rFont val="WenQuanYi Zen Hei"/>
        <family val="2"/>
      </rPr>
      <t xml:space="preserve">가 </t>
    </r>
    <r>
      <rPr>
        <sz val="10"/>
        <color rgb="FF000000"/>
        <rFont val="맑은 고딕"/>
        <family val="0"/>
        <charset val="1"/>
      </rPr>
      <t xml:space="preserve">T</t>
    </r>
    <r>
      <rPr>
        <sz val="10"/>
        <color rgb="FF000000"/>
        <rFont val="WenQuanYi Zen Hei"/>
        <family val="2"/>
      </rPr>
      <t xml:space="preserve">의 결과를 승인하는가</t>
    </r>
    <r>
      <rPr>
        <sz val="10"/>
        <color rgb="FF000000"/>
        <rFont val="맑은 고딕"/>
        <family val="0"/>
        <charset val="1"/>
      </rPr>
      <t xml:space="preserve">?</t>
    </r>
  </si>
  <si>
    <t xml:space="preserve">securing of executive approval of the BIA findings</t>
  </si>
  <si>
    <r>
      <rPr>
        <sz val="10"/>
        <color rgb="FF000000"/>
        <rFont val="WenQuanYi Zen Hei"/>
        <family val="2"/>
      </rPr>
      <t xml:space="preserve">첨부 문서의 </t>
    </r>
    <r>
      <rPr>
        <sz val="10"/>
        <color rgb="FF000000"/>
        <rFont val="맑은 고딕"/>
        <family val="0"/>
        <charset val="1"/>
      </rPr>
      <t xml:space="preserve">"</t>
    </r>
    <r>
      <rPr>
        <sz val="10"/>
        <color rgb="FF000000"/>
        <rFont val="WenQuanYi Zen Hei"/>
        <family val="2"/>
      </rPr>
      <t xml:space="preserve">승인한다</t>
    </r>
    <r>
      <rPr>
        <sz val="10"/>
        <color rgb="FF000000"/>
        <rFont val="맑은 고딕"/>
        <family val="0"/>
        <charset val="1"/>
      </rPr>
      <t xml:space="preserve">" — </t>
    </r>
    <r>
      <rPr>
        <sz val="10"/>
        <color rgb="FF000000"/>
        <rFont val="WenQuanYi Zen Hei"/>
        <family val="2"/>
      </rPr>
      <t xml:space="preserve">이번 연결 </t>
    </r>
    <r>
      <rPr>
        <sz val="10"/>
        <color rgb="FF000000"/>
        <rFont val="맑은 고딕"/>
        <family val="0"/>
        <charset val="1"/>
      </rPr>
      <t xml:space="preserve">31</t>
    </r>
    <r>
      <rPr>
        <sz val="10"/>
        <color rgb="FF000000"/>
        <rFont val="WenQuanYi Zen Hei"/>
        <family val="2"/>
      </rPr>
      <t xml:space="preserve">개에는 사용하지 않음</t>
    </r>
  </si>
  <si>
    <r>
      <rPr>
        <sz val="10"/>
        <color rgb="FF000000"/>
        <rFont val="맑은 고딕"/>
        <family val="0"/>
        <charset val="1"/>
      </rPr>
      <t xml:space="preserve">(</t>
    </r>
    <r>
      <rPr>
        <sz val="10"/>
        <color rgb="FF000000"/>
        <rFont val="WenQuanYi Zen Hei"/>
        <family val="2"/>
      </rPr>
      <t xml:space="preserve">미사용</t>
    </r>
    <r>
      <rPr>
        <sz val="10"/>
        <color rgb="FF000000"/>
        <rFont val="맑은 고딕"/>
        <family val="0"/>
        <charset val="1"/>
      </rPr>
      <t xml:space="preserve">)</t>
    </r>
  </si>
  <si>
    <t xml:space="preserve">전달된다</t>
  </si>
  <si>
    <t xml:space="preserve">isCommunicatedTo</t>
  </si>
  <si>
    <r>
      <rPr>
        <sz val="10"/>
        <color rgb="FF000000"/>
        <rFont val="맑은 고딕"/>
        <family val="0"/>
        <charset val="1"/>
      </rPr>
      <t xml:space="preserve">S</t>
    </r>
    <r>
      <rPr>
        <sz val="10"/>
        <color rgb="FF000000"/>
        <rFont val="WenQuanYi Zen Hei"/>
        <family val="2"/>
      </rPr>
      <t xml:space="preserve">의 결과가 </t>
    </r>
    <r>
      <rPr>
        <sz val="10"/>
        <color rgb="FF000000"/>
        <rFont val="맑은 고딕"/>
        <family val="0"/>
        <charset val="1"/>
      </rPr>
      <t xml:space="preserve">T</t>
    </r>
    <r>
      <rPr>
        <sz val="10"/>
        <color rgb="FF000000"/>
        <rFont val="WenQuanYi Zen Hei"/>
        <family val="2"/>
      </rPr>
      <t xml:space="preserve">로 전달</t>
    </r>
    <r>
      <rPr>
        <sz val="10"/>
        <color rgb="FF000000"/>
        <rFont val="맑은 고딕"/>
        <family val="0"/>
        <charset val="1"/>
      </rPr>
      <t xml:space="preserve">·</t>
    </r>
    <r>
      <rPr>
        <sz val="10"/>
        <color rgb="FF000000"/>
        <rFont val="WenQuanYi Zen Hei"/>
        <family val="2"/>
      </rPr>
      <t xml:space="preserve">보고된다</t>
    </r>
  </si>
  <si>
    <r>
      <rPr>
        <sz val="10"/>
        <color rgb="FF000000"/>
        <rFont val="맑은 고딕"/>
        <family val="0"/>
        <charset val="1"/>
      </rPr>
      <t xml:space="preserve">S</t>
    </r>
    <r>
      <rPr>
        <sz val="10"/>
        <color rgb="FF000000"/>
        <rFont val="WenQuanYi Zen Hei"/>
        <family val="2"/>
      </rPr>
      <t xml:space="preserve">의 결과가 </t>
    </r>
    <r>
      <rPr>
        <sz val="10"/>
        <color rgb="FF000000"/>
        <rFont val="맑은 고딕"/>
        <family val="0"/>
        <charset val="1"/>
      </rPr>
      <t xml:space="preserve">T(</t>
    </r>
    <r>
      <rPr>
        <sz val="10"/>
        <color rgb="FF000000"/>
        <rFont val="WenQuanYi Zen Hei"/>
        <family val="2"/>
      </rPr>
      <t xml:space="preserve">이해관계자 등</t>
    </r>
    <r>
      <rPr>
        <sz val="10"/>
        <color rgb="FF000000"/>
        <rFont val="맑은 고딕"/>
        <family val="0"/>
        <charset val="1"/>
      </rPr>
      <t xml:space="preserve">)</t>
    </r>
    <r>
      <rPr>
        <sz val="10"/>
        <color rgb="FF000000"/>
        <rFont val="WenQuanYi Zen Hei"/>
        <family val="2"/>
      </rPr>
      <t xml:space="preserve">에게 전달되는가</t>
    </r>
    <r>
      <rPr>
        <sz val="10"/>
        <color rgb="FF000000"/>
        <rFont val="맑은 고딕"/>
        <family val="0"/>
        <charset val="1"/>
      </rPr>
      <t xml:space="preserve">?</t>
    </r>
  </si>
  <si>
    <t xml:space="preserve">are communicated centrally to stakeholders</t>
  </si>
  <si>
    <r>
      <rPr>
        <b val="true"/>
        <sz val="14"/>
        <color rgb="FF101828"/>
        <rFont val="WenQuanYi Zen Hei"/>
        <family val="2"/>
      </rPr>
      <t xml:space="preserve">보류</t>
    </r>
    <r>
      <rPr>
        <b val="true"/>
        <sz val="14"/>
        <color rgb="FF101828"/>
        <rFont val="맑은 고딕"/>
        <family val="0"/>
        <charset val="1"/>
      </rPr>
      <t xml:space="preserve">·</t>
    </r>
    <r>
      <rPr>
        <b val="true"/>
        <sz val="14"/>
        <color rgb="FF101828"/>
        <rFont val="WenQuanYi Zen Hei"/>
        <family val="2"/>
      </rPr>
      <t xml:space="preserve">제외한 후보 연결 — 채택하지 않은 이유</t>
    </r>
  </si>
  <si>
    <r>
      <rPr>
        <i val="true"/>
        <sz val="10"/>
        <color rgb="FF475467"/>
        <rFont val="WenQuanYi Zen Hei"/>
        <family val="2"/>
      </rPr>
      <t xml:space="preserve">연구자 결정란에 포함</t>
    </r>
    <r>
      <rPr>
        <i val="true"/>
        <sz val="10"/>
        <color rgb="FF475467"/>
        <rFont val="맑은 고딕"/>
        <family val="0"/>
        <charset val="1"/>
      </rPr>
      <t xml:space="preserve">/</t>
    </r>
    <r>
      <rPr>
        <i val="true"/>
        <sz val="10"/>
        <color rgb="FF475467"/>
        <rFont val="WenQuanYi Zen Hei"/>
        <family val="2"/>
      </rPr>
      <t xml:space="preserve">제외를 직접 기록</t>
    </r>
    <r>
      <rPr>
        <i val="true"/>
        <sz val="10"/>
        <color rgb="FF475467"/>
        <rFont val="맑은 고딕"/>
        <family val="0"/>
        <charset val="1"/>
      </rPr>
      <t xml:space="preserve">(</t>
    </r>
    <r>
      <rPr>
        <i val="true"/>
        <sz val="10"/>
        <color rgb="FF475467"/>
        <rFont val="WenQuanYi Zen Hei"/>
        <family val="2"/>
      </rPr>
      <t xml:space="preserve">노란 칸</t>
    </r>
    <r>
      <rPr>
        <i val="true"/>
        <sz val="10"/>
        <color rgb="FF475467"/>
        <rFont val="맑은 고딕"/>
        <family val="0"/>
        <charset val="1"/>
      </rPr>
      <t xml:space="preserve">)</t>
    </r>
  </si>
  <si>
    <t xml:space="preserve">출발</t>
  </si>
  <si>
    <t xml:space="preserve">도착</t>
  </si>
  <si>
    <t xml:space="preserve">후보 내용</t>
  </si>
  <si>
    <r>
      <rPr>
        <b val="true"/>
        <sz val="10"/>
        <color rgb="FFFFFFFF"/>
        <rFont val="WenQuanYi Zen Hei"/>
        <family val="2"/>
      </rPr>
      <t xml:space="preserve">채택하지 않은 이유</t>
    </r>
    <r>
      <rPr>
        <b val="true"/>
        <sz val="10"/>
        <color rgb="FFFFFFFF"/>
        <rFont val="맑은 고딕"/>
        <family val="0"/>
        <charset val="1"/>
      </rPr>
      <t xml:space="preserve">(</t>
    </r>
    <r>
      <rPr>
        <b val="true"/>
        <sz val="10"/>
        <color rgb="FFFFFFFF"/>
        <rFont val="WenQuanYi Zen Hei"/>
        <family val="2"/>
      </rPr>
      <t xml:space="preserve">인용 근거 부재</t>
    </r>
    <r>
      <rPr>
        <b val="true"/>
        <sz val="10"/>
        <color rgb="FFFFFFFF"/>
        <rFont val="맑은 고딕"/>
        <family val="0"/>
        <charset val="1"/>
      </rPr>
      <t xml:space="preserve">)</t>
    </r>
  </si>
  <si>
    <t xml:space="preserve">권고</t>
  </si>
  <si>
    <t xml:space="preserve">연구자 결정</t>
  </si>
  <si>
    <t xml:space="preserve">H01</t>
  </si>
  <si>
    <r>
      <rPr>
        <sz val="10"/>
        <color rgb="FF000000"/>
        <rFont val="WenQuanYi Zen Hei"/>
        <family val="2"/>
      </rPr>
      <t xml:space="preserve">사고 대응 경험을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개정에 반영</t>
    </r>
  </si>
  <si>
    <r>
      <rPr>
        <sz val="10"/>
        <color rgb="FF000000"/>
        <rFont val="맑은 고딕"/>
        <family val="0"/>
        <charset val="1"/>
      </rPr>
      <t xml:space="preserve">Arias</t>
    </r>
    <r>
      <rPr>
        <sz val="10"/>
        <color rgb="FF000000"/>
        <rFont val="WenQuanYi Zen Hei"/>
        <family val="2"/>
      </rPr>
      <t xml:space="preserve">에는 연습</t>
    </r>
    <r>
      <rPr>
        <sz val="10"/>
        <color rgb="FF000000"/>
        <rFont val="맑은 고딕"/>
        <family val="0"/>
        <charset val="1"/>
      </rPr>
      <t xml:space="preserve">(EXE)→</t>
    </r>
    <r>
      <rPr>
        <sz val="10"/>
        <color rgb="FF000000"/>
        <rFont val="WenQuanYi Zen Hei"/>
        <family val="2"/>
      </rPr>
      <t xml:space="preserve">계획</t>
    </r>
    <r>
      <rPr>
        <sz val="10"/>
        <color rgb="FF000000"/>
        <rFont val="맑은 고딕"/>
        <family val="0"/>
        <charset val="1"/>
      </rPr>
      <t xml:space="preserve">(L16)</t>
    </r>
    <r>
      <rPr>
        <sz val="10"/>
        <color rgb="FF000000"/>
        <rFont val="WenQuanYi Zen Hei"/>
        <family val="2"/>
      </rPr>
      <t xml:space="preserve">만 서술되고 사고 대응→계획 환류는 서술이 없음</t>
    </r>
    <r>
      <rPr>
        <sz val="10"/>
        <color rgb="FF000000"/>
        <rFont val="맑은 고딕"/>
        <family val="0"/>
        <charset val="1"/>
      </rPr>
      <t xml:space="preserve">. </t>
    </r>
    <r>
      <rPr>
        <sz val="10"/>
        <color rgb="FF000000"/>
        <rFont val="WenQuanYi Zen Hei"/>
        <family val="2"/>
      </rPr>
      <t xml:space="preserve">사고 결과는 변경관리</t>
    </r>
    <r>
      <rPr>
        <sz val="10"/>
        <color rgb="FF000000"/>
        <rFont val="맑은 고딕"/>
        <family val="0"/>
        <charset val="1"/>
      </rPr>
      <t xml:space="preserve">(L23)</t>
    </r>
    <r>
      <rPr>
        <sz val="10"/>
        <color rgb="FF000000"/>
        <rFont val="WenQuanYi Zen Hei"/>
        <family val="2"/>
      </rPr>
      <t xml:space="preserve">를 거쳐 반영되는 경로만 근거가 있음</t>
    </r>
    <r>
      <rPr>
        <sz val="10"/>
        <color rgb="FF000000"/>
        <rFont val="맑은 고딕"/>
        <family val="0"/>
        <charset val="1"/>
      </rPr>
      <t xml:space="preserve">.</t>
    </r>
  </si>
  <si>
    <t xml:space="preserve">연구자 결정 필요</t>
  </si>
  <si>
    <t xml:space="preserve">H02</t>
  </si>
  <si>
    <t xml:space="preserve">리스크평가 결과를 변경 판단에 사용</t>
  </si>
  <si>
    <r>
      <rPr>
        <sz val="10"/>
        <color rgb="FF000000"/>
        <rFont val="맑은 고딕"/>
        <family val="0"/>
        <charset val="1"/>
      </rPr>
      <t xml:space="preserve">A26</t>
    </r>
    <r>
      <rPr>
        <sz val="10"/>
        <color rgb="FF000000"/>
        <rFont val="WenQuanYi Zen Hei"/>
        <family val="2"/>
      </rPr>
      <t xml:space="preserve">의 </t>
    </r>
    <r>
      <rPr>
        <sz val="10"/>
        <color rgb="FF000000"/>
        <rFont val="맑은 고딕"/>
        <family val="0"/>
        <charset val="1"/>
      </rPr>
      <t xml:space="preserve">"for and from the risk assessment process"</t>
    </r>
    <r>
      <rPr>
        <sz val="10"/>
        <color rgb="FF000000"/>
        <rFont val="WenQuanYi Zen Hei"/>
        <family val="2"/>
      </rPr>
      <t xml:space="preserve">는 양방향을 시사하나 방향이 문장에서 분리되지 않음</t>
    </r>
    <r>
      <rPr>
        <sz val="10"/>
        <color rgb="FF000000"/>
        <rFont val="맑은 고딕"/>
        <family val="0"/>
        <charset val="1"/>
      </rPr>
      <t xml:space="preserve">. </t>
    </r>
    <r>
      <rPr>
        <sz val="10"/>
        <color rgb="FF000000"/>
        <rFont val="WenQuanYi Zen Hei"/>
        <family val="2"/>
      </rPr>
      <t xml:space="preserve">현재는 </t>
    </r>
    <r>
      <rPr>
        <sz val="10"/>
        <color rgb="FF000000"/>
        <rFont val="맑은 고딕"/>
        <family val="0"/>
        <charset val="1"/>
      </rPr>
      <t xml:space="preserve">CHG→RA(L21)</t>
    </r>
    <r>
      <rPr>
        <sz val="10"/>
        <color rgb="FF000000"/>
        <rFont val="WenQuanYi Zen Hei"/>
        <family val="2"/>
      </rPr>
      <t xml:space="preserve">만 채택</t>
    </r>
    <r>
      <rPr>
        <sz val="10"/>
        <color rgb="FF000000"/>
        <rFont val="맑은 고딕"/>
        <family val="0"/>
        <charset val="1"/>
      </rPr>
      <t xml:space="preserve">.</t>
    </r>
  </si>
  <si>
    <t xml:space="preserve">H03</t>
  </si>
  <si>
    <t xml:space="preserve">연습 결과를 교육 내용에 반영</t>
  </si>
  <si>
    <r>
      <rPr>
        <sz val="10"/>
        <color rgb="FF000000"/>
        <rFont val="WenQuanYi Zen Hei"/>
        <family val="2"/>
      </rPr>
      <t xml:space="preserve">두 논문에 서술 없음</t>
    </r>
    <r>
      <rPr>
        <sz val="10"/>
        <color rgb="FF000000"/>
        <rFont val="맑은 고딕"/>
        <family val="0"/>
        <charset val="1"/>
      </rPr>
      <t xml:space="preserve">. L17(PLAN→AWR)</t>
    </r>
    <r>
      <rPr>
        <sz val="10"/>
        <color rgb="FF000000"/>
        <rFont val="WenQuanYi Zen Hei"/>
        <family val="2"/>
      </rPr>
      <t xml:space="preserve">과 중복 가능성</t>
    </r>
    <r>
      <rPr>
        <sz val="10"/>
        <color rgb="FF000000"/>
        <rFont val="맑은 고딕"/>
        <family val="0"/>
        <charset val="1"/>
      </rPr>
      <t xml:space="preserve">.</t>
    </r>
  </si>
  <si>
    <t xml:space="preserve">제외 권고</t>
  </si>
  <si>
    <t xml:space="preserve">H04</t>
  </si>
  <si>
    <t xml:space="preserve">거버넌스와 고객관계관리의 관계</t>
  </si>
  <si>
    <r>
      <rPr>
        <sz val="10"/>
        <color rgb="FF000000"/>
        <rFont val="맑은 고딕"/>
        <family val="0"/>
        <charset val="1"/>
      </rPr>
      <t xml:space="preserve">A32</t>
    </r>
    <r>
      <rPr>
        <sz val="10"/>
        <color rgb="FF000000"/>
        <rFont val="WenQuanYi Zen Hei"/>
        <family val="2"/>
      </rPr>
      <t xml:space="preserve">는 두 프로세스를 </t>
    </r>
    <r>
      <rPr>
        <sz val="10"/>
        <color rgb="FF000000"/>
        <rFont val="맑은 고딕"/>
        <family val="0"/>
        <charset val="1"/>
      </rPr>
      <t xml:space="preserve">"In addition to"</t>
    </r>
    <r>
      <rPr>
        <sz val="10"/>
        <color rgb="FF000000"/>
        <rFont val="WenQuanYi Zen Hei"/>
        <family val="2"/>
      </rPr>
      <t xml:space="preserve">로 병렬 서술할 뿐 연결을 서술하지 않음</t>
    </r>
    <r>
      <rPr>
        <sz val="10"/>
        <color rgb="FF000000"/>
        <rFont val="맑은 고딕"/>
        <family val="0"/>
        <charset val="1"/>
      </rPr>
      <t xml:space="preserve">.</t>
    </r>
  </si>
  <si>
    <t xml:space="preserve">H05</t>
  </si>
  <si>
    <t xml:space="preserve">개선 결과를 성과평가 지표에 반영</t>
  </si>
  <si>
    <r>
      <rPr>
        <sz val="10"/>
        <color rgb="FF000000"/>
        <rFont val="맑은 고딕"/>
        <family val="0"/>
        <charset val="1"/>
      </rPr>
      <t xml:space="preserve">A25</t>
    </r>
    <r>
      <rPr>
        <sz val="10"/>
        <color rgb="FF000000"/>
        <rFont val="WenQuanYi Zen Hei"/>
        <family val="2"/>
      </rPr>
      <t xml:space="preserve">는 성과평가→개선 방향만 서술</t>
    </r>
    <r>
      <rPr>
        <sz val="10"/>
        <color rgb="FF000000"/>
        <rFont val="맑은 고딕"/>
        <family val="0"/>
        <charset val="1"/>
      </rPr>
      <t xml:space="preserve">. </t>
    </r>
    <r>
      <rPr>
        <sz val="10"/>
        <color rgb="FF000000"/>
        <rFont val="WenQuanYi Zen Hei"/>
        <family val="2"/>
      </rPr>
      <t xml:space="preserve">개선 후 지표 갱신은 서술 없음</t>
    </r>
    <r>
      <rPr>
        <sz val="10"/>
        <color rgb="FF000000"/>
        <rFont val="맑은 고딕"/>
        <family val="0"/>
        <charset val="1"/>
      </rPr>
      <t xml:space="preserve">.</t>
    </r>
  </si>
  <si>
    <t xml:space="preserve">H06</t>
  </si>
  <si>
    <t xml:space="preserve">전 프로세스</t>
  </si>
  <si>
    <t xml:space="preserve">문서화된 정보 통제가 모든 프로세스를 지원</t>
  </si>
  <si>
    <r>
      <rPr>
        <sz val="10"/>
        <color rgb="FF000000"/>
        <rFont val="맑은 고딕"/>
        <family val="0"/>
        <charset val="1"/>
      </rPr>
      <t xml:space="preserve">A41</t>
    </r>
    <r>
      <rPr>
        <sz val="10"/>
        <color rgb="FF000000"/>
        <rFont val="WenQuanYi Zen Hei"/>
        <family val="2"/>
      </rPr>
      <t xml:space="preserve">은 정보 통제의 내용만 서술하고 프로세스별 연결은 </t>
    </r>
    <r>
      <rPr>
        <sz val="10"/>
        <color rgb="FF000000"/>
        <rFont val="맑은 고딕"/>
        <family val="0"/>
        <charset val="1"/>
      </rPr>
      <t xml:space="preserve">CHG→DOC(L22)</t>
    </r>
    <r>
      <rPr>
        <sz val="10"/>
        <color rgb="FF000000"/>
        <rFont val="WenQuanYi Zen Hei"/>
        <family val="2"/>
      </rPr>
      <t xml:space="preserve">만 서술</t>
    </r>
    <r>
      <rPr>
        <sz val="10"/>
        <color rgb="FF000000"/>
        <rFont val="맑은 고딕"/>
        <family val="0"/>
        <charset val="1"/>
      </rPr>
      <t xml:space="preserve">.</t>
    </r>
  </si>
  <si>
    <r>
      <rPr>
        <b val="true"/>
        <sz val="14"/>
        <color rgb="FF101828"/>
        <rFont val="WenQuanYi Zen Hei"/>
        <family val="2"/>
      </rPr>
      <t xml:space="preserve">객체층 — </t>
    </r>
    <r>
      <rPr>
        <b val="true"/>
        <sz val="14"/>
        <color rgb="FF101828"/>
        <rFont val="맑은 고딕"/>
        <family val="0"/>
        <charset val="1"/>
      </rPr>
      <t xml:space="preserve">Arias Table 5</t>
    </r>
    <r>
      <rPr>
        <b val="true"/>
        <sz val="14"/>
        <color rgb="FF101828"/>
        <rFont val="WenQuanYi Zen Hei"/>
        <family val="2"/>
      </rPr>
      <t xml:space="preserve">의 </t>
    </r>
    <r>
      <rPr>
        <b val="true"/>
        <sz val="14"/>
        <color rgb="FF101828"/>
        <rFont val="맑은 고딕"/>
        <family val="0"/>
        <charset val="1"/>
      </rPr>
      <t xml:space="preserve">22</t>
    </r>
    <r>
      <rPr>
        <b val="true"/>
        <sz val="14"/>
        <color rgb="FF101828"/>
        <rFont val="WenQuanYi Zen Hei"/>
        <family val="2"/>
      </rPr>
      <t xml:space="preserve">개 </t>
    </r>
    <r>
      <rPr>
        <b val="true"/>
        <sz val="14"/>
        <color rgb="FF101828"/>
        <rFont val="맑은 고딕"/>
        <family val="0"/>
        <charset val="1"/>
      </rPr>
      <t xml:space="preserve">BCMS </t>
    </r>
    <r>
      <rPr>
        <b val="true"/>
        <sz val="14"/>
        <color rgb="FF101828"/>
        <rFont val="WenQuanYi Zen Hei"/>
        <family val="2"/>
      </rPr>
      <t xml:space="preserve">프로세스</t>
    </r>
  </si>
  <si>
    <r>
      <rPr>
        <i val="true"/>
        <sz val="10"/>
        <color rgb="FF475467"/>
        <rFont val="WenQuanYi Zen Hei"/>
        <family val="2"/>
      </rPr>
      <t xml:space="preserve">범주</t>
    </r>
    <r>
      <rPr>
        <i val="true"/>
        <sz val="10"/>
        <color rgb="FF475467"/>
        <rFont val="맑은 고딕"/>
        <family val="0"/>
        <charset val="1"/>
      </rPr>
      <t xml:space="preserve">·PDCA·</t>
    </r>
    <r>
      <rPr>
        <i val="true"/>
        <sz val="10"/>
        <color rgb="FF475467"/>
        <rFont val="WenQuanYi Zen Hei"/>
        <family val="2"/>
      </rPr>
      <t xml:space="preserve">재난관리주기</t>
    </r>
    <r>
      <rPr>
        <i val="true"/>
        <sz val="10"/>
        <color rgb="FF475467"/>
        <rFont val="맑은 고딕"/>
        <family val="0"/>
        <charset val="1"/>
      </rPr>
      <t xml:space="preserve">: Table 5(p.14) / </t>
    </r>
    <r>
      <rPr>
        <i val="true"/>
        <sz val="10"/>
        <color rgb="FF475467"/>
        <rFont val="WenQuanYi Zen Hei"/>
        <family val="2"/>
      </rPr>
      <t xml:space="preserve">전문가 지명률</t>
    </r>
    <r>
      <rPr>
        <i val="true"/>
        <sz val="10"/>
        <color rgb="FF475467"/>
        <rFont val="맑은 고딕"/>
        <family val="0"/>
        <charset val="1"/>
      </rPr>
      <t xml:space="preserve">: Table 2–4(pp.11–13, </t>
    </r>
    <r>
      <rPr>
        <i val="true"/>
        <sz val="10"/>
        <color rgb="FF475467"/>
        <rFont val="WenQuanYi Zen Hei"/>
        <family val="2"/>
      </rPr>
      <t xml:space="preserve">전문가 </t>
    </r>
    <r>
      <rPr>
        <i val="true"/>
        <sz val="10"/>
        <color rgb="FF475467"/>
        <rFont val="맑은 고딕"/>
        <family val="0"/>
        <charset val="1"/>
      </rPr>
      <t xml:space="preserve">39</t>
    </r>
    <r>
      <rPr>
        <i val="true"/>
        <sz val="10"/>
        <color rgb="FF475467"/>
        <rFont val="WenQuanYi Zen Hei"/>
        <family val="2"/>
      </rPr>
      <t xml:space="preserve">명</t>
    </r>
    <r>
      <rPr>
        <i val="true"/>
        <sz val="10"/>
        <color rgb="FF475467"/>
        <rFont val="맑은 고딕"/>
        <family val="0"/>
        <charset val="1"/>
      </rPr>
      <t xml:space="preserve">) / </t>
    </r>
    <r>
      <rPr>
        <i val="true"/>
        <sz val="10"/>
        <color rgb="FF475467"/>
        <rFont val="WenQuanYi Zen Hei"/>
        <family val="2"/>
      </rPr>
      <t xml:space="preserve">대표 산출물</t>
    </r>
    <r>
      <rPr>
        <i val="true"/>
        <sz val="10"/>
        <color rgb="FF475467"/>
        <rFont val="맑은 고딕"/>
        <family val="0"/>
        <charset val="1"/>
      </rPr>
      <t xml:space="preserve">: </t>
    </r>
    <r>
      <rPr>
        <i val="true"/>
        <sz val="10"/>
        <color rgb="FF475467"/>
        <rFont val="WenQuanYi Zen Hei"/>
        <family val="2"/>
      </rPr>
      <t xml:space="preserve">연구자 제안</t>
    </r>
  </si>
  <si>
    <r>
      <rPr>
        <b val="true"/>
        <sz val="10"/>
        <color rgb="FFFFFFFF"/>
        <rFont val="WenQuanYi Zen Hei"/>
        <family val="2"/>
      </rPr>
      <t xml:space="preserve">프로세스</t>
    </r>
    <r>
      <rPr>
        <b val="true"/>
        <sz val="10"/>
        <color rgb="FFFFFFFF"/>
        <rFont val="맑은 고딕"/>
        <family val="0"/>
        <charset val="1"/>
      </rPr>
      <t xml:space="preserve">(</t>
    </r>
    <r>
      <rPr>
        <b val="true"/>
        <sz val="10"/>
        <color rgb="FFFFFFFF"/>
        <rFont val="WenQuanYi Zen Hei"/>
        <family val="2"/>
      </rPr>
      <t xml:space="preserve">한글</t>
    </r>
    <r>
      <rPr>
        <b val="true"/>
        <sz val="10"/>
        <color rgb="FFFFFFFF"/>
        <rFont val="맑은 고딕"/>
        <family val="0"/>
        <charset val="1"/>
      </rPr>
      <t xml:space="preserve">)</t>
    </r>
  </si>
  <si>
    <r>
      <rPr>
        <b val="true"/>
        <sz val="10"/>
        <color rgb="FFFFFFFF"/>
        <rFont val="맑은 고딕"/>
        <family val="0"/>
        <charset val="1"/>
      </rPr>
      <t xml:space="preserve">Arias </t>
    </r>
    <r>
      <rPr>
        <b val="true"/>
        <sz val="10"/>
        <color rgb="FFFFFFFF"/>
        <rFont val="WenQuanYi Zen Hei"/>
        <family val="2"/>
      </rPr>
      <t xml:space="preserve">원문 이름</t>
    </r>
  </si>
  <si>
    <t xml:space="preserve">범주</t>
  </si>
  <si>
    <t xml:space="preserve">PDCA</t>
  </si>
  <si>
    <t xml:space="preserve">재난관리주기</t>
  </si>
  <si>
    <r>
      <rPr>
        <b val="true"/>
        <sz val="10"/>
        <color rgb="FFFFFFFF"/>
        <rFont val="WenQuanYi Zen Hei"/>
        <family val="2"/>
      </rPr>
      <t xml:space="preserve">전문가 지명률</t>
    </r>
    <r>
      <rPr>
        <b val="true"/>
        <sz val="10"/>
        <color rgb="FFFFFFFF"/>
        <rFont val="맑은 고딕"/>
        <family val="0"/>
        <charset val="1"/>
      </rPr>
      <t xml:space="preserve">(%)</t>
    </r>
  </si>
  <si>
    <r>
      <rPr>
        <b val="true"/>
        <sz val="10"/>
        <color rgb="FFFFFFFF"/>
        <rFont val="맑은 고딕"/>
        <family val="0"/>
        <charset val="1"/>
      </rPr>
      <t xml:space="preserve">Arias </t>
    </r>
    <r>
      <rPr>
        <b val="true"/>
        <sz val="10"/>
        <color rgb="FFFFFFFF"/>
        <rFont val="WenQuanYi Zen Hei"/>
        <family val="2"/>
      </rPr>
      <t xml:space="preserve">합의 구분</t>
    </r>
    <r>
      <rPr>
        <b val="true"/>
        <sz val="10"/>
        <color rgb="FFFFFFFF"/>
        <rFont val="맑은 고딕"/>
        <family val="0"/>
        <charset val="1"/>
      </rPr>
      <t xml:space="preserve">(80/20)</t>
    </r>
  </si>
  <si>
    <r>
      <rPr>
        <b val="true"/>
        <sz val="10"/>
        <color rgb="FFFFFFFF"/>
        <rFont val="WenQuanYi Zen Hei"/>
        <family val="2"/>
      </rPr>
      <t xml:space="preserve">대표 산출물</t>
    </r>
    <r>
      <rPr>
        <b val="true"/>
        <sz val="10"/>
        <color rgb="FFFFFFFF"/>
        <rFont val="맑은 고딕"/>
        <family val="0"/>
        <charset val="1"/>
      </rPr>
      <t xml:space="preserve">(</t>
    </r>
    <r>
      <rPr>
        <b val="true"/>
        <sz val="10"/>
        <color rgb="FFFFFFFF"/>
        <rFont val="WenQuanYi Zen Hei"/>
        <family val="2"/>
      </rPr>
      <t xml:space="preserve">연구자 제안</t>
    </r>
    <r>
      <rPr>
        <b val="true"/>
        <sz val="10"/>
        <color rgb="FFFFFFFF"/>
        <rFont val="맑은 고딕"/>
        <family val="0"/>
        <charset val="1"/>
      </rPr>
      <t xml:space="preserve">)</t>
    </r>
  </si>
  <si>
    <t xml:space="preserve">관련 연결 수</t>
  </si>
  <si>
    <r>
      <rPr>
        <sz val="10"/>
        <color rgb="FF000000"/>
        <rFont val="맑은 고딕"/>
        <family val="0"/>
        <charset val="1"/>
      </rPr>
      <t xml:space="preserve">BC </t>
    </r>
    <r>
      <rPr>
        <sz val="10"/>
        <color rgb="FF000000"/>
        <rFont val="WenQuanYi Zen Hei"/>
        <family val="2"/>
      </rPr>
      <t xml:space="preserve">거버넌스</t>
    </r>
  </si>
  <si>
    <t xml:space="preserve">Business continuity governance process</t>
  </si>
  <si>
    <t xml:space="preserve">관리</t>
  </si>
  <si>
    <t xml:space="preserve">-</t>
  </si>
  <si>
    <t xml:space="preserve">경영진 검토 결과</t>
  </si>
  <si>
    <r>
      <rPr>
        <sz val="10"/>
        <color rgb="FF000000"/>
        <rFont val="맑은 고딕"/>
        <family val="0"/>
        <charset val="1"/>
      </rPr>
      <t xml:space="preserve">BC </t>
    </r>
    <r>
      <rPr>
        <sz val="10"/>
        <color rgb="FF000000"/>
        <rFont val="WenQuanYi Zen Hei"/>
        <family val="2"/>
      </rPr>
      <t xml:space="preserve">정책관리</t>
    </r>
  </si>
  <si>
    <t xml:space="preserve">Business continuity policy management process</t>
  </si>
  <si>
    <t xml:space="preserve">핵심</t>
  </si>
  <si>
    <t xml:space="preserve">Plan</t>
  </si>
  <si>
    <t xml:space="preserve">Mitigation</t>
  </si>
  <si>
    <r>
      <rPr>
        <sz val="10"/>
        <color rgb="FF000000"/>
        <rFont val="맑은 고딕"/>
        <family val="0"/>
        <charset val="1"/>
      </rPr>
      <t xml:space="preserve">BC </t>
    </r>
    <r>
      <rPr>
        <sz val="10"/>
        <color rgb="FF000000"/>
        <rFont val="WenQuanYi Zen Hei"/>
        <family val="2"/>
      </rPr>
      <t xml:space="preserve">정책</t>
    </r>
  </si>
  <si>
    <t xml:space="preserve">요구사항관리</t>
  </si>
  <si>
    <t xml:space="preserve">Requirements management process</t>
  </si>
  <si>
    <r>
      <rPr>
        <sz val="10"/>
        <color rgb="FF000000"/>
        <rFont val="WenQuanYi Zen Hei"/>
        <family val="2"/>
      </rPr>
      <t xml:space="preserve">법규</t>
    </r>
    <r>
      <rPr>
        <sz val="10"/>
        <color rgb="FF000000"/>
        <rFont val="맑은 고딕"/>
        <family val="0"/>
        <charset val="1"/>
      </rPr>
      <t xml:space="preserve">·</t>
    </r>
    <r>
      <rPr>
        <sz val="10"/>
        <color rgb="FF000000"/>
        <rFont val="WenQuanYi Zen Hei"/>
        <family val="2"/>
      </rPr>
      <t xml:space="preserve">계약 요구사항 목록</t>
    </r>
  </si>
  <si>
    <r>
      <rPr>
        <sz val="10"/>
        <color rgb="FF000000"/>
        <rFont val="맑은 고딕"/>
        <family val="0"/>
        <charset val="1"/>
      </rPr>
      <t xml:space="preserve">BIA·</t>
    </r>
    <r>
      <rPr>
        <sz val="10"/>
        <color rgb="FF000000"/>
        <rFont val="WenQuanYi Zen Hei"/>
        <family val="2"/>
      </rPr>
      <t xml:space="preserve">중요도 분석</t>
    </r>
  </si>
  <si>
    <t xml:space="preserve">Business impact assessment and criticality analysis process</t>
  </si>
  <si>
    <r>
      <rPr>
        <sz val="10"/>
        <color rgb="FF000000"/>
        <rFont val="맑은 고딕"/>
        <family val="0"/>
        <charset val="1"/>
      </rPr>
      <t xml:space="preserve">BIA </t>
    </r>
    <r>
      <rPr>
        <sz val="10"/>
        <color rgb="FF000000"/>
        <rFont val="WenQuanYi Zen Hei"/>
        <family val="2"/>
      </rPr>
      <t xml:space="preserve">결과</t>
    </r>
    <r>
      <rPr>
        <sz val="10"/>
        <color rgb="FF000000"/>
        <rFont val="맑은 고딕"/>
        <family val="0"/>
        <charset val="1"/>
      </rPr>
      <t xml:space="preserve">(</t>
    </r>
    <r>
      <rPr>
        <sz val="10"/>
        <color rgb="FF000000"/>
        <rFont val="WenQuanYi Zen Hei"/>
        <family val="2"/>
      </rPr>
      <t xml:space="preserve">문서화된 업무연속성 요구사항</t>
    </r>
    <r>
      <rPr>
        <sz val="10"/>
        <color rgb="FF000000"/>
        <rFont val="맑은 고딕"/>
        <family val="0"/>
        <charset val="1"/>
      </rPr>
      <t xml:space="preserve">)</t>
    </r>
  </si>
  <si>
    <t xml:space="preserve">리스크평가</t>
  </si>
  <si>
    <t xml:space="preserve">Risk assessment process (for risks of disruption)</t>
  </si>
  <si>
    <t xml:space="preserve">리스크 카탈로그</t>
  </si>
  <si>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결정</t>
    </r>
    <r>
      <rPr>
        <sz val="10"/>
        <color rgb="FF000000"/>
        <rFont val="맑은 고딕"/>
        <family val="0"/>
        <charset val="1"/>
      </rPr>
      <t xml:space="preserve">·</t>
    </r>
    <r>
      <rPr>
        <sz val="10"/>
        <color rgb="FF000000"/>
        <rFont val="WenQuanYi Zen Hei"/>
        <family val="2"/>
      </rPr>
      <t xml:space="preserve">선정</t>
    </r>
  </si>
  <si>
    <t xml:space="preserve">Process of determining and selecting BC strategies and solutions</t>
  </si>
  <si>
    <r>
      <rPr>
        <sz val="10"/>
        <color rgb="FF000000"/>
        <rFont val="WenQuanYi Zen Hei"/>
        <family val="2"/>
      </rPr>
      <t xml:space="preserve">선정된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t>
    </r>
  </si>
  <si>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t>
    </r>
  </si>
  <si>
    <t xml:space="preserve">Process of developing BC plans and procedures</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</si>
  <si>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</si>
  <si>
    <t xml:space="preserve">솔루션 이행관리</t>
  </si>
  <si>
    <t xml:space="preserve">Solution implementation management process</t>
  </si>
  <si>
    <t xml:space="preserve">Do</t>
  </si>
  <si>
    <t xml:space="preserve">Preparedness</t>
  </si>
  <si>
    <t xml:space="preserve">구현된 솔루션</t>
  </si>
  <si>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t>
    </r>
  </si>
  <si>
    <t xml:space="preserve">Incident and emergency handling process</t>
  </si>
  <si>
    <t xml:space="preserve">Response</t>
  </si>
  <si>
    <t xml:space="preserve">사고 대응 기록</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</si>
  <si>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t>
    </r>
  </si>
  <si>
    <t xml:space="preserve">Process of exercising BC plans and procedures</t>
  </si>
  <si>
    <t xml:space="preserve">연습 결과</t>
  </si>
  <si>
    <r>
      <rPr>
        <sz val="10"/>
        <color rgb="FF000000"/>
        <rFont val="WenQuanYi Zen Hei"/>
        <family val="2"/>
      </rPr>
      <t xml:space="preserve">인식</t>
    </r>
    <r>
      <rPr>
        <sz val="10"/>
        <color rgb="FF000000"/>
        <rFont val="맑은 고딕"/>
        <family val="0"/>
        <charset val="1"/>
      </rPr>
      <t xml:space="preserve">·</t>
    </r>
    <r>
      <rPr>
        <sz val="10"/>
        <color rgb="FF000000"/>
        <rFont val="WenQuanYi Zen Hei"/>
        <family val="2"/>
      </rPr>
      <t xml:space="preserve">역량</t>
    </r>
    <r>
      <rPr>
        <sz val="10"/>
        <color rgb="FF000000"/>
        <rFont val="맑은 고딕"/>
        <family val="0"/>
        <charset val="1"/>
      </rPr>
      <t xml:space="preserve">·</t>
    </r>
    <r>
      <rPr>
        <sz val="10"/>
        <color rgb="FF000000"/>
        <rFont val="WenQuanYi Zen Hei"/>
        <family val="2"/>
      </rPr>
      <t xml:space="preserve">교육</t>
    </r>
  </si>
  <si>
    <t xml:space="preserve">Awareness, competence, and training process</t>
  </si>
  <si>
    <r>
      <rPr>
        <sz val="10"/>
        <color rgb="FF000000"/>
        <rFont val="WenQuanYi Zen Hei"/>
        <family val="2"/>
      </rPr>
      <t xml:space="preserve">교육 프로그램</t>
    </r>
    <r>
      <rPr>
        <sz val="10"/>
        <color rgb="FF000000"/>
        <rFont val="맑은 고딕"/>
        <family val="0"/>
        <charset val="1"/>
      </rPr>
      <t xml:space="preserve">·</t>
    </r>
    <r>
      <rPr>
        <sz val="10"/>
        <color rgb="FF000000"/>
        <rFont val="WenQuanYi Zen Hei"/>
        <family val="2"/>
      </rPr>
      <t xml:space="preserve">기록</t>
    </r>
  </si>
  <si>
    <t xml:space="preserve">공급망관리</t>
  </si>
  <si>
    <t xml:space="preserve">Supply chain management process</t>
  </si>
  <si>
    <t xml:space="preserve">공급업체 평가 결과</t>
  </si>
  <si>
    <t xml:space="preserve">내부감사</t>
  </si>
  <si>
    <t xml:space="preserve">Internal audit process</t>
  </si>
  <si>
    <t xml:space="preserve">Check</t>
  </si>
  <si>
    <t xml:space="preserve">감사 결과</t>
  </si>
  <si>
    <t xml:space="preserve">성과평가</t>
  </si>
  <si>
    <t xml:space="preserve">Performance evaluation process</t>
  </si>
  <si>
    <t xml:space="preserve">성과평가 결과</t>
  </si>
  <si>
    <t xml:space="preserve">지속적 개선</t>
  </si>
  <si>
    <t xml:space="preserve">Continual improvement process</t>
  </si>
  <si>
    <t xml:space="preserve">Act</t>
  </si>
  <si>
    <r>
      <rPr>
        <sz val="10"/>
        <color rgb="FF000000"/>
        <rFont val="WenQuanYi Zen Hei"/>
        <family val="2"/>
      </rPr>
      <t xml:space="preserve">개선 과제</t>
    </r>
    <r>
      <rPr>
        <sz val="10"/>
        <color rgb="FF000000"/>
        <rFont val="맑은 고딕"/>
        <family val="0"/>
        <charset val="1"/>
      </rPr>
      <t xml:space="preserve">·</t>
    </r>
    <r>
      <rPr>
        <sz val="10"/>
        <color rgb="FF000000"/>
        <rFont val="WenQuanYi Zen Hei"/>
        <family val="2"/>
      </rPr>
      <t xml:space="preserve">조치</t>
    </r>
  </si>
  <si>
    <r>
      <rPr>
        <sz val="10"/>
        <color rgb="FF000000"/>
        <rFont val="맑은 고딕"/>
        <family val="0"/>
        <charset val="1"/>
      </rPr>
      <t xml:space="preserve">BC </t>
    </r>
    <r>
      <rPr>
        <sz val="10"/>
        <color rgb="FF000000"/>
        <rFont val="WenQuanYi Zen Hei"/>
        <family val="2"/>
      </rPr>
      <t xml:space="preserve">변경관리</t>
    </r>
  </si>
  <si>
    <t xml:space="preserve">Business continuity changes management process</t>
  </si>
  <si>
    <r>
      <rPr>
        <sz val="10"/>
        <color rgb="FF000000"/>
        <rFont val="WenQuanYi Zen Hei"/>
        <family val="2"/>
      </rPr>
      <t xml:space="preserve">변경 요청</t>
    </r>
    <r>
      <rPr>
        <sz val="10"/>
        <color rgb="FF000000"/>
        <rFont val="맑은 고딕"/>
        <family val="0"/>
        <charset val="1"/>
      </rPr>
      <t xml:space="preserve">·</t>
    </r>
    <r>
      <rPr>
        <sz val="10"/>
        <color rgb="FF000000"/>
        <rFont val="WenQuanYi Zen Hei"/>
        <family val="2"/>
      </rPr>
      <t xml:space="preserve">변경 결과</t>
    </r>
  </si>
  <si>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t>
    </r>
  </si>
  <si>
    <t xml:space="preserve">Warning and communication process</t>
  </si>
  <si>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전파 기록</t>
    </r>
  </si>
  <si>
    <t xml:space="preserve">복구</t>
  </si>
  <si>
    <t xml:space="preserve">Recovery process</t>
  </si>
  <si>
    <t xml:space="preserve">Recovery</t>
  </si>
  <si>
    <t xml:space="preserve">복구 결과</t>
  </si>
  <si>
    <t xml:space="preserve">문서화된 정보 통제</t>
  </si>
  <si>
    <t xml:space="preserve">Process of controlling documented information</t>
  </si>
  <si>
    <t xml:space="preserve">지원</t>
  </si>
  <si>
    <r>
      <rPr>
        <sz val="10"/>
        <color rgb="FF000000"/>
        <rFont val="WenQuanYi Zen Hei"/>
        <family val="2"/>
      </rPr>
      <t xml:space="preserve">문서</t>
    </r>
    <r>
      <rPr>
        <sz val="10"/>
        <color rgb="FF000000"/>
        <rFont val="맑은 고딕"/>
        <family val="0"/>
        <charset val="1"/>
      </rPr>
      <t xml:space="preserve">·</t>
    </r>
    <r>
      <rPr>
        <sz val="10"/>
        <color rgb="FF000000"/>
        <rFont val="WenQuanYi Zen Hei"/>
        <family val="2"/>
      </rPr>
      <t xml:space="preserve">기록</t>
    </r>
  </si>
  <si>
    <t xml:space="preserve">자원관리</t>
  </si>
  <si>
    <t xml:space="preserve">Resource management process</t>
  </si>
  <si>
    <r>
      <rPr>
        <sz val="10"/>
        <color rgb="FF000000"/>
        <rFont val="WenQuanYi Zen Hei"/>
        <family val="2"/>
      </rPr>
      <t xml:space="preserve">자원</t>
    </r>
    <r>
      <rPr>
        <sz val="10"/>
        <color rgb="FF000000"/>
        <rFont val="맑은 고딕"/>
        <family val="0"/>
        <charset val="1"/>
      </rPr>
      <t xml:space="preserve">·</t>
    </r>
    <r>
      <rPr>
        <sz val="10"/>
        <color rgb="FF000000"/>
        <rFont val="WenQuanYi Zen Hei"/>
        <family val="2"/>
      </rPr>
      <t xml:space="preserve">자원 사용 보고</t>
    </r>
  </si>
  <si>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t>
    </r>
  </si>
  <si>
    <t xml:space="preserve">Consultation and communication process</t>
  </si>
  <si>
    <r>
      <rPr>
        <sz val="10"/>
        <color rgb="FF000000"/>
        <rFont val="WenQuanYi Zen Hei"/>
        <family val="2"/>
      </rPr>
      <t xml:space="preserve">이해관계자 보고</t>
    </r>
    <r>
      <rPr>
        <sz val="10"/>
        <color rgb="FF000000"/>
        <rFont val="맑은 고딕"/>
        <family val="0"/>
        <charset val="1"/>
      </rPr>
      <t xml:space="preserve">·</t>
    </r>
    <r>
      <rPr>
        <sz val="10"/>
        <color rgb="FF000000"/>
        <rFont val="WenQuanYi Zen Hei"/>
        <family val="2"/>
      </rPr>
      <t xml:space="preserve">요구</t>
    </r>
  </si>
  <si>
    <t xml:space="preserve">고객관계관리</t>
  </si>
  <si>
    <t xml:space="preserve">Customer relationship management process</t>
  </si>
  <si>
    <r>
      <rPr>
        <sz val="10"/>
        <color rgb="FF000000"/>
        <rFont val="WenQuanYi Zen Hei"/>
        <family val="2"/>
      </rPr>
      <t xml:space="preserve">고객 만족</t>
    </r>
    <r>
      <rPr>
        <sz val="10"/>
        <color rgb="FF000000"/>
        <rFont val="맑은 고딕"/>
        <family val="0"/>
        <charset val="1"/>
      </rPr>
      <t xml:space="preserve">·</t>
    </r>
    <r>
      <rPr>
        <sz val="10"/>
        <color rgb="FF000000"/>
        <rFont val="WenQuanYi Zen Hei"/>
        <family val="2"/>
      </rPr>
      <t xml:space="preserve">가치 입증 보고</t>
    </r>
  </si>
  <si>
    <r>
      <rPr>
        <i val="true"/>
        <sz val="10"/>
        <color rgb="FF475467"/>
        <rFont val="WenQuanYi Zen Hei"/>
        <family val="2"/>
      </rPr>
      <t xml:space="preserve">주</t>
    </r>
    <r>
      <rPr>
        <i val="true"/>
        <sz val="10"/>
        <color rgb="FF475467"/>
        <rFont val="맑은 고딕"/>
        <family val="0"/>
        <charset val="1"/>
      </rPr>
      <t xml:space="preserve">: </t>
    </r>
    <r>
      <rPr>
        <i val="true"/>
        <sz val="10"/>
        <color rgb="FF475467"/>
        <rFont val="WenQuanYi Zen Hei"/>
        <family val="2"/>
      </rPr>
      <t xml:space="preserve">지명률 합의 구분은 참고용이다</t>
    </r>
    <r>
      <rPr>
        <i val="true"/>
        <sz val="10"/>
        <color rgb="FF475467"/>
        <rFont val="맑은 고딕"/>
        <family val="0"/>
        <charset val="1"/>
      </rPr>
      <t xml:space="preserve">. Arias</t>
    </r>
    <r>
      <rPr>
        <i val="true"/>
        <sz val="10"/>
        <color rgb="FF475467"/>
        <rFont val="WenQuanYi Zen Hei"/>
        <family val="2"/>
      </rPr>
      <t xml:space="preserve">는 합의에 미달한 프로세스도 </t>
    </r>
    <r>
      <rPr>
        <i val="true"/>
        <sz val="10"/>
        <color rgb="FF475467"/>
        <rFont val="맑은 고딕"/>
        <family val="0"/>
        <charset val="1"/>
      </rPr>
      <t xml:space="preserve">ISO 22301 </t>
    </r>
    <r>
      <rPr>
        <i val="true"/>
        <sz val="10"/>
        <color rgb="FF475467"/>
        <rFont val="WenQuanYi Zen Hei"/>
        <family val="2"/>
      </rPr>
      <t xml:space="preserve">요건</t>
    </r>
    <r>
      <rPr>
        <i val="true"/>
        <sz val="10"/>
        <color rgb="FF475467"/>
        <rFont val="맑은 고딕"/>
        <family val="0"/>
        <charset val="1"/>
      </rPr>
      <t xml:space="preserve">(A45)</t>
    </r>
    <r>
      <rPr>
        <i val="true"/>
        <sz val="10"/>
        <color rgb="FF475467"/>
        <rFont val="WenQuanYi Zen Hei"/>
        <family val="2"/>
      </rPr>
      <t xml:space="preserve">을 이유로 핵심 프로세스로 유지했고</t>
    </r>
    <r>
      <rPr>
        <i val="true"/>
        <sz val="10"/>
        <color rgb="FF475467"/>
        <rFont val="맑은 고딕"/>
        <family val="0"/>
        <charset val="1"/>
      </rPr>
      <t xml:space="preserve">, CRM(3%)</t>
    </r>
    <r>
      <rPr>
        <i val="true"/>
        <sz val="10"/>
        <color rgb="FF475467"/>
        <rFont val="WenQuanYi Zen Hei"/>
        <family val="2"/>
      </rPr>
      <t xml:space="preserve">도 참조모델에 포함해야 한다고 보았다</t>
    </r>
    <r>
      <rPr>
        <i val="true"/>
        <sz val="10"/>
        <color rgb="FF475467"/>
        <rFont val="맑은 고딕"/>
        <family val="0"/>
        <charset val="1"/>
      </rPr>
      <t xml:space="preserve">(p.13). "BCMS </t>
    </r>
    <r>
      <rPr>
        <i val="true"/>
        <sz val="10"/>
        <color rgb="FF475467"/>
        <rFont val="WenQuanYi Zen Hei"/>
        <family val="2"/>
      </rPr>
      <t xml:space="preserve">계획</t>
    </r>
    <r>
      <rPr>
        <i val="true"/>
        <sz val="10"/>
        <color rgb="FF475467"/>
        <rFont val="맑은 고딕"/>
        <family val="0"/>
        <charset val="1"/>
      </rPr>
      <t xml:space="preserve">"</t>
    </r>
    <r>
      <rPr>
        <i val="true"/>
        <sz val="10"/>
        <color rgb="FF475467"/>
        <rFont val="WenQuanYi Zen Hei"/>
        <family val="2"/>
      </rPr>
      <t xml:space="preserve">은 프로젝트로 분류되어 제외했다</t>
    </r>
    <r>
      <rPr>
        <i val="true"/>
        <sz val="10"/>
        <color rgb="FF475467"/>
        <rFont val="맑은 고딕"/>
        <family val="0"/>
        <charset val="1"/>
      </rPr>
      <t xml:space="preserve">(A48).</t>
    </r>
  </si>
  <si>
    <r>
      <rPr>
        <b val="true"/>
        <sz val="14"/>
        <color rgb="FF101828"/>
        <rFont val="WenQuanYi Zen Hei"/>
        <family val="2"/>
      </rPr>
      <t xml:space="preserve">온톨로지 트리플</t>
    </r>
    <r>
      <rPr>
        <b val="true"/>
        <sz val="14"/>
        <color rgb="FF101828"/>
        <rFont val="맑은 고딕"/>
        <family val="0"/>
        <charset val="1"/>
      </rPr>
      <t xml:space="preserve">(</t>
    </r>
    <r>
      <rPr>
        <b val="true"/>
        <sz val="14"/>
        <color rgb="FF101828"/>
        <rFont val="WenQuanYi Zen Hei"/>
        <family val="2"/>
      </rPr>
      <t xml:space="preserve">주어–관계–목적어</t>
    </r>
    <r>
      <rPr>
        <b val="true"/>
        <sz val="14"/>
        <color rgb="FF101828"/>
        <rFont val="맑은 고딕"/>
        <family val="0"/>
        <charset val="1"/>
      </rPr>
      <t xml:space="preserve">)</t>
    </r>
  </si>
  <si>
    <r>
      <rPr>
        <i val="true"/>
        <sz val="10"/>
        <color rgb="FF475467"/>
        <rFont val="맑은 고딕"/>
        <family val="0"/>
        <charset val="1"/>
      </rPr>
      <t xml:space="preserve">S—predicate→T </t>
    </r>
    <r>
      <rPr>
        <i val="true"/>
        <sz val="10"/>
        <color rgb="FF475467"/>
        <rFont val="WenQuanYi Zen Hei"/>
        <family val="2"/>
      </rPr>
      <t xml:space="preserve">방향으로 통일</t>
    </r>
    <r>
      <rPr>
        <i val="true"/>
        <sz val="10"/>
        <color rgb="FF475467"/>
        <rFont val="맑은 고딕"/>
        <family val="0"/>
        <charset val="1"/>
      </rPr>
      <t xml:space="preserve">. ProcessLink </t>
    </r>
    <r>
      <rPr>
        <i val="true"/>
        <sz val="10"/>
        <color rgb="FF475467"/>
        <rFont val="WenQuanYi Zen Hei"/>
        <family val="2"/>
      </rPr>
      <t xml:space="preserve">트리플은 연결을 개체로 보고 </t>
    </r>
    <r>
      <rPr>
        <i val="true"/>
        <sz val="10"/>
        <color rgb="FF475467"/>
        <rFont val="맑은 고딕"/>
        <family val="0"/>
        <charset val="1"/>
      </rPr>
      <t xml:space="preserve">6</t>
    </r>
    <r>
      <rPr>
        <i val="true"/>
        <sz val="10"/>
        <color rgb="FF475467"/>
        <rFont val="WenQuanYi Zen Hei"/>
        <family val="2"/>
      </rPr>
      <t xml:space="preserve">개 품질 차원을 속성 점수로 연결</t>
    </r>
    <r>
      <rPr>
        <i val="true"/>
        <sz val="10"/>
        <color rgb="FF475467"/>
        <rFont val="맑은 고딕"/>
        <family val="0"/>
        <charset val="1"/>
      </rPr>
      <t xml:space="preserve">(Białas</t>
    </r>
    <r>
      <rPr>
        <i val="true"/>
        <sz val="10"/>
        <color rgb="FF475467"/>
        <rFont val="WenQuanYi Zen Hei"/>
        <family val="2"/>
      </rPr>
      <t xml:space="preserve">의 </t>
    </r>
    <r>
      <rPr>
        <i val="true"/>
        <sz val="10"/>
        <color rgb="FF475467"/>
        <rFont val="맑은 고딕"/>
        <family val="0"/>
        <charset val="1"/>
      </rPr>
      <t xml:space="preserve">data slot </t>
    </r>
    <r>
      <rPr>
        <i val="true"/>
        <sz val="10"/>
        <color rgb="FF475467"/>
        <rFont val="WenQuanYi Zen Hei"/>
        <family val="2"/>
      </rPr>
      <t xml:space="preserve">응용</t>
    </r>
    <r>
      <rPr>
        <i val="true"/>
        <sz val="10"/>
        <color rgb="FF475467"/>
        <rFont val="맑은 고딕"/>
        <family val="0"/>
        <charset val="1"/>
      </rPr>
      <t xml:space="preserve">, </t>
    </r>
    <r>
      <rPr>
        <i val="true"/>
        <sz val="10"/>
        <color rgb="FF475467"/>
        <rFont val="WenQuanYi Zen Hei"/>
        <family val="2"/>
      </rPr>
      <t xml:space="preserve">연구자 설계</t>
    </r>
    <r>
      <rPr>
        <i val="true"/>
        <sz val="10"/>
        <color rgb="FF475467"/>
        <rFont val="맑은 고딕"/>
        <family val="0"/>
        <charset val="1"/>
      </rPr>
      <t xml:space="preserve">).</t>
    </r>
  </si>
  <si>
    <t xml:space="preserve">주어</t>
  </si>
  <si>
    <r>
      <rPr>
        <b val="true"/>
        <sz val="10"/>
        <color rgb="FFFFFFFF"/>
        <rFont val="WenQuanYi Zen Hei"/>
        <family val="2"/>
      </rPr>
      <t xml:space="preserve">관계</t>
    </r>
    <r>
      <rPr>
        <b val="true"/>
        <sz val="10"/>
        <color rgb="FFFFFFFF"/>
        <rFont val="맑은 고딕"/>
        <family val="0"/>
        <charset val="1"/>
      </rPr>
      <t xml:space="preserve">(predicate)</t>
    </r>
  </si>
  <si>
    <t xml:space="preserve">목적어</t>
  </si>
  <si>
    <t xml:space="preserve">구분</t>
  </si>
  <si>
    <r>
      <rPr>
        <sz val="10"/>
        <color rgb="FF000000"/>
        <rFont val="WenQuanYi Zen Hei"/>
        <family val="2"/>
      </rPr>
      <t xml:space="preserve">입력된다</t>
    </r>
    <r>
      <rPr>
        <sz val="10"/>
        <color rgb="FF000000"/>
        <rFont val="맑은 고딕"/>
        <family val="0"/>
        <charset val="1"/>
      </rPr>
      <t xml:space="preserve">·</t>
    </r>
    <r>
      <rPr>
        <sz val="10"/>
        <color rgb="FF000000"/>
        <rFont val="WenQuanYi Zen Hei"/>
        <family val="2"/>
      </rPr>
      <t xml:space="preserve">활용된다</t>
    </r>
  </si>
  <si>
    <t xml:space="preserve">프로세스 관계</t>
  </si>
  <si>
    <r>
      <rPr>
        <sz val="10"/>
        <color rgb="FF000000"/>
        <rFont val="WenQuanYi Zen Hei"/>
        <family val="2"/>
      </rPr>
      <t xml:space="preserve">도출</t>
    </r>
    <r>
      <rPr>
        <sz val="10"/>
        <color rgb="FF000000"/>
        <rFont val="맑은 고딕"/>
        <family val="0"/>
        <charset val="1"/>
      </rPr>
      <t xml:space="preserve">·</t>
    </r>
    <r>
      <rPr>
        <sz val="10"/>
        <color rgb="FF000000"/>
        <rFont val="WenQuanYi Zen Hei"/>
        <family val="2"/>
      </rPr>
      <t xml:space="preserve">이행된다</t>
    </r>
  </si>
  <si>
    <r>
      <rPr>
        <sz val="10"/>
        <color rgb="FF000000"/>
        <rFont val="WenQuanYi Zen Hei"/>
        <family val="2"/>
      </rPr>
      <t xml:space="preserve">시험</t>
    </r>
    <r>
      <rPr>
        <sz val="10"/>
        <color rgb="FF000000"/>
        <rFont val="맑은 고딕"/>
        <family val="0"/>
        <charset val="1"/>
      </rPr>
      <t xml:space="preserve">·</t>
    </r>
    <r>
      <rPr>
        <sz val="10"/>
        <color rgb="FF000000"/>
        <rFont val="WenQuanYi Zen Hei"/>
        <family val="2"/>
      </rPr>
      <t xml:space="preserve">검증된다</t>
    </r>
  </si>
  <si>
    <r>
      <rPr>
        <sz val="10"/>
        <color rgb="FF000000"/>
        <rFont val="WenQuanYi Zen Hei"/>
        <family val="2"/>
      </rPr>
      <t xml:space="preserve">개정</t>
    </r>
    <r>
      <rPr>
        <sz val="10"/>
        <color rgb="FF000000"/>
        <rFont val="맑은 고딕"/>
        <family val="0"/>
        <charset val="1"/>
      </rPr>
      <t xml:space="preserve">·</t>
    </r>
    <r>
      <rPr>
        <sz val="10"/>
        <color rgb="FF000000"/>
        <rFont val="WenQuanYi Zen Hei"/>
        <family val="2"/>
      </rPr>
      <t xml:space="preserve">갱신한다</t>
    </r>
  </si>
  <si>
    <t xml:space="preserve">Link_L01</t>
  </si>
  <si>
    <t xml:space="preserve">rdf:type</t>
  </si>
  <si>
    <t xml:space="preserve">ProcessLink</t>
  </si>
  <si>
    <r>
      <rPr>
        <sz val="10"/>
        <color rgb="FF000000"/>
        <rFont val="맑은 고딕"/>
        <family val="0"/>
        <charset val="1"/>
      </rPr>
      <t xml:space="preserve">ProcessLink </t>
    </r>
    <r>
      <rPr>
        <sz val="10"/>
        <color rgb="FF000000"/>
        <rFont val="WenQuanYi Zen Hei"/>
        <family val="2"/>
      </rPr>
      <t xml:space="preserve">객체</t>
    </r>
  </si>
  <si>
    <t xml:space="preserve">hasSource</t>
  </si>
  <si>
    <t xml:space="preserve">hasTarget</t>
  </si>
  <si>
    <t xml:space="preserve">hasRelationVerb</t>
  </si>
  <si>
    <t xml:space="preserve">hasQuality_Consistency</t>
  </si>
  <si>
    <t xml:space="preserve">L01-CO</t>
  </si>
  <si>
    <t xml:space="preserve">hasQuality_Traceability</t>
  </si>
  <si>
    <t xml:space="preserve">L01-TR</t>
  </si>
  <si>
    <t xml:space="preserve">hasQuality_Evidence</t>
  </si>
  <si>
    <t xml:space="preserve">L01-EV</t>
  </si>
  <si>
    <t xml:space="preserve">hasQuality_Accountability</t>
  </si>
  <si>
    <t xml:space="preserve">L01-AC</t>
  </si>
  <si>
    <t xml:space="preserve">hasQuality_Timeliness</t>
  </si>
  <si>
    <t xml:space="preserve">L01-TM</t>
  </si>
  <si>
    <t xml:space="preserve">Link_L02</t>
  </si>
  <si>
    <t xml:space="preserve">L02-CO</t>
  </si>
  <si>
    <t xml:space="preserve">L02-TR</t>
  </si>
  <si>
    <t xml:space="preserve">L02-EV</t>
  </si>
  <si>
    <t xml:space="preserve">L02-AC</t>
  </si>
  <si>
    <t xml:space="preserve">L02-TM</t>
  </si>
  <si>
    <t xml:space="preserve">Link_L03</t>
  </si>
  <si>
    <t xml:space="preserve">L03-CO</t>
  </si>
  <si>
    <t xml:space="preserve">L03-TR</t>
  </si>
  <si>
    <t xml:space="preserve">L03-EV</t>
  </si>
  <si>
    <t xml:space="preserve">L03-AC</t>
  </si>
  <si>
    <t xml:space="preserve">L03-TM</t>
  </si>
  <si>
    <t xml:space="preserve">Link_L04</t>
  </si>
  <si>
    <t xml:space="preserve">L04-CO</t>
  </si>
  <si>
    <t xml:space="preserve">L04-TR</t>
  </si>
  <si>
    <t xml:space="preserve">L04-EV</t>
  </si>
  <si>
    <t xml:space="preserve">L04-AC</t>
  </si>
  <si>
    <t xml:space="preserve">L04-TM</t>
  </si>
  <si>
    <t xml:space="preserve">Link_L05</t>
  </si>
  <si>
    <t xml:space="preserve">L05-CO</t>
  </si>
  <si>
    <t xml:space="preserve">L05-TR</t>
  </si>
  <si>
    <t xml:space="preserve">L05-EV</t>
  </si>
  <si>
    <t xml:space="preserve">L05-AC</t>
  </si>
  <si>
    <t xml:space="preserve">L05-TM</t>
  </si>
  <si>
    <t xml:space="preserve">Link_L06</t>
  </si>
  <si>
    <t xml:space="preserve">L06-CO</t>
  </si>
  <si>
    <t xml:space="preserve">L06-TR</t>
  </si>
  <si>
    <t xml:space="preserve">L06-EV</t>
  </si>
  <si>
    <t xml:space="preserve">L06-AC</t>
  </si>
  <si>
    <t xml:space="preserve">L06-TM</t>
  </si>
  <si>
    <t xml:space="preserve">Link_L07</t>
  </si>
  <si>
    <t xml:space="preserve">L07-CO</t>
  </si>
  <si>
    <t xml:space="preserve">L07-TR</t>
  </si>
  <si>
    <t xml:space="preserve">L07-EV</t>
  </si>
  <si>
    <t xml:space="preserve">L07-AC</t>
  </si>
  <si>
    <t xml:space="preserve">L07-TM</t>
  </si>
  <si>
    <t xml:space="preserve">Link_L08</t>
  </si>
  <si>
    <t xml:space="preserve">L08-CO</t>
  </si>
  <si>
    <t xml:space="preserve">L08-TR</t>
  </si>
  <si>
    <t xml:space="preserve">L08-EV</t>
  </si>
  <si>
    <t xml:space="preserve">L08-AC</t>
  </si>
  <si>
    <t xml:space="preserve">L08-TM</t>
  </si>
  <si>
    <t xml:space="preserve">Link_L09</t>
  </si>
  <si>
    <t xml:space="preserve">L09-CO</t>
  </si>
  <si>
    <t xml:space="preserve">L09-TR</t>
  </si>
  <si>
    <t xml:space="preserve">L09-EV</t>
  </si>
  <si>
    <t xml:space="preserve">L09-AC</t>
  </si>
  <si>
    <t xml:space="preserve">L09-TM</t>
  </si>
  <si>
    <t xml:space="preserve">Link_L10</t>
  </si>
  <si>
    <t xml:space="preserve">L10-CO</t>
  </si>
  <si>
    <t xml:space="preserve">L10-TR</t>
  </si>
  <si>
    <t xml:space="preserve">L10-EV</t>
  </si>
  <si>
    <t xml:space="preserve">L10-AC</t>
  </si>
  <si>
    <t xml:space="preserve">L10-TM</t>
  </si>
  <si>
    <t xml:space="preserve">Link_L11</t>
  </si>
  <si>
    <t xml:space="preserve">L11-CO</t>
  </si>
  <si>
    <t xml:space="preserve">L11-TR</t>
  </si>
  <si>
    <t xml:space="preserve">L11-EV</t>
  </si>
  <si>
    <t xml:space="preserve">L11-AC</t>
  </si>
  <si>
    <t xml:space="preserve">L11-TM</t>
  </si>
  <si>
    <t xml:space="preserve">Link_L12</t>
  </si>
  <si>
    <t xml:space="preserve">L12-CO</t>
  </si>
  <si>
    <t xml:space="preserve">L12-TR</t>
  </si>
  <si>
    <t xml:space="preserve">L12-EV</t>
  </si>
  <si>
    <t xml:space="preserve">L12-AC</t>
  </si>
  <si>
    <t xml:space="preserve">L12-TM</t>
  </si>
  <si>
    <t xml:space="preserve">Link_L13</t>
  </si>
  <si>
    <t xml:space="preserve">L13-CO</t>
  </si>
  <si>
    <t xml:space="preserve">L13-TR</t>
  </si>
  <si>
    <t xml:space="preserve">L13-EV</t>
  </si>
  <si>
    <t xml:space="preserve">L13-AC</t>
  </si>
  <si>
    <t xml:space="preserve">L13-TM</t>
  </si>
  <si>
    <t xml:space="preserve">Link_L14</t>
  </si>
  <si>
    <t xml:space="preserve">L14-CO</t>
  </si>
  <si>
    <t xml:space="preserve">L14-TR</t>
  </si>
  <si>
    <t xml:space="preserve">L14-EV</t>
  </si>
  <si>
    <t xml:space="preserve">L14-AC</t>
  </si>
  <si>
    <t xml:space="preserve">L14-TM</t>
  </si>
  <si>
    <t xml:space="preserve">Link_L15</t>
  </si>
  <si>
    <t xml:space="preserve">L15-CO</t>
  </si>
  <si>
    <t xml:space="preserve">L15-TR</t>
  </si>
  <si>
    <t xml:space="preserve">L15-EV</t>
  </si>
  <si>
    <t xml:space="preserve">L15-AC</t>
  </si>
  <si>
    <t xml:space="preserve">L15-TM</t>
  </si>
  <si>
    <t xml:space="preserve">Link_L16</t>
  </si>
  <si>
    <t xml:space="preserve">L16-CO</t>
  </si>
  <si>
    <t xml:space="preserve">L16-TR</t>
  </si>
  <si>
    <t xml:space="preserve">L16-EV</t>
  </si>
  <si>
    <t xml:space="preserve">L16-AC</t>
  </si>
  <si>
    <t xml:space="preserve">L16-TM</t>
  </si>
  <si>
    <t xml:space="preserve">hasQuality_Closed-loop</t>
  </si>
  <si>
    <t xml:space="preserve">L16-FC</t>
  </si>
  <si>
    <t xml:space="preserve">Link_L17</t>
  </si>
  <si>
    <t xml:space="preserve">L17-CO</t>
  </si>
  <si>
    <t xml:space="preserve">L17-TR</t>
  </si>
  <si>
    <t xml:space="preserve">L17-EV</t>
  </si>
  <si>
    <t xml:space="preserve">L17-AC</t>
  </si>
  <si>
    <t xml:space="preserve">L17-TM</t>
  </si>
  <si>
    <t xml:space="preserve">Link_L18</t>
  </si>
  <si>
    <t xml:space="preserve">L18-CO</t>
  </si>
  <si>
    <t xml:space="preserve">L18-TR</t>
  </si>
  <si>
    <t xml:space="preserve">L18-EV</t>
  </si>
  <si>
    <t xml:space="preserve">L18-AC</t>
  </si>
  <si>
    <t xml:space="preserve">L18-TM</t>
  </si>
  <si>
    <t xml:space="preserve">L18-FC</t>
  </si>
  <si>
    <t xml:space="preserve">Link_L19</t>
  </si>
  <si>
    <t xml:space="preserve">L19-CO</t>
  </si>
  <si>
    <t xml:space="preserve">L19-TR</t>
  </si>
  <si>
    <t xml:space="preserve">L19-EV</t>
  </si>
  <si>
    <t xml:space="preserve">L19-AC</t>
  </si>
  <si>
    <t xml:space="preserve">L19-TM</t>
  </si>
  <si>
    <t xml:space="preserve">L19-FC</t>
  </si>
  <si>
    <t xml:space="preserve">Link_L20</t>
  </si>
  <si>
    <t xml:space="preserve">L20-CO</t>
  </si>
  <si>
    <t xml:space="preserve">L20-TR</t>
  </si>
  <si>
    <t xml:space="preserve">L20-EV</t>
  </si>
  <si>
    <t xml:space="preserve">L20-AC</t>
  </si>
  <si>
    <t xml:space="preserve">L20-TM</t>
  </si>
  <si>
    <t xml:space="preserve">L20-FC</t>
  </si>
  <si>
    <t xml:space="preserve">Link_L21</t>
  </si>
  <si>
    <t xml:space="preserve">L21-CO</t>
  </si>
  <si>
    <t xml:space="preserve">L21-TR</t>
  </si>
  <si>
    <t xml:space="preserve">L21-EV</t>
  </si>
  <si>
    <t xml:space="preserve">L21-AC</t>
  </si>
  <si>
    <t xml:space="preserve">L21-TM</t>
  </si>
  <si>
    <t xml:space="preserve">Link_L22</t>
  </si>
  <si>
    <t xml:space="preserve">L22-CO</t>
  </si>
  <si>
    <t xml:space="preserve">L22-TR</t>
  </si>
  <si>
    <t xml:space="preserve">L22-EV</t>
  </si>
  <si>
    <t xml:space="preserve">L22-AC</t>
  </si>
  <si>
    <t xml:space="preserve">L22-TM</t>
  </si>
  <si>
    <t xml:space="preserve">Link_L23</t>
  </si>
  <si>
    <t xml:space="preserve">L23-CO</t>
  </si>
  <si>
    <t xml:space="preserve">L23-TR</t>
  </si>
  <si>
    <t xml:space="preserve">L23-EV</t>
  </si>
  <si>
    <t xml:space="preserve">L23-AC</t>
  </si>
  <si>
    <t xml:space="preserve">L23-TM</t>
  </si>
  <si>
    <t xml:space="preserve">L23-FC</t>
  </si>
  <si>
    <t xml:space="preserve">Link_L24</t>
  </si>
  <si>
    <t xml:space="preserve">L24-CO</t>
  </si>
  <si>
    <t xml:space="preserve">L24-TR</t>
  </si>
  <si>
    <t xml:space="preserve">L24-EV</t>
  </si>
  <si>
    <t xml:space="preserve">L24-AC</t>
  </si>
  <si>
    <t xml:space="preserve">L24-TM</t>
  </si>
  <si>
    <t xml:space="preserve">L24-FC</t>
  </si>
  <si>
    <t xml:space="preserve">Link_L25</t>
  </si>
  <si>
    <t xml:space="preserve">L25-CO</t>
  </si>
  <si>
    <t xml:space="preserve">L25-TR</t>
  </si>
  <si>
    <t xml:space="preserve">L25-EV</t>
  </si>
  <si>
    <t xml:space="preserve">L25-AC</t>
  </si>
  <si>
    <t xml:space="preserve">L25-TM</t>
  </si>
  <si>
    <t xml:space="preserve">L25-FC</t>
  </si>
  <si>
    <t xml:space="preserve">Link_L26</t>
  </si>
  <si>
    <t xml:space="preserve">L26-CO</t>
  </si>
  <si>
    <t xml:space="preserve">L26-TR</t>
  </si>
  <si>
    <t xml:space="preserve">L26-EV</t>
  </si>
  <si>
    <t xml:space="preserve">L26-AC</t>
  </si>
  <si>
    <t xml:space="preserve">L26-TM</t>
  </si>
  <si>
    <t xml:space="preserve">L26-FC</t>
  </si>
  <si>
    <t xml:space="preserve">Link_L27</t>
  </si>
  <si>
    <t xml:space="preserve">L27-CO</t>
  </si>
  <si>
    <t xml:space="preserve">L27-TR</t>
  </si>
  <si>
    <t xml:space="preserve">L27-EV</t>
  </si>
  <si>
    <t xml:space="preserve">L27-AC</t>
  </si>
  <si>
    <t xml:space="preserve">L27-TM</t>
  </si>
  <si>
    <t xml:space="preserve">Link_L28</t>
  </si>
  <si>
    <t xml:space="preserve">L28-CO</t>
  </si>
  <si>
    <t xml:space="preserve">L28-TR</t>
  </si>
  <si>
    <t xml:space="preserve">L28-EV</t>
  </si>
  <si>
    <t xml:space="preserve">L28-AC</t>
  </si>
  <si>
    <t xml:space="preserve">L28-TM</t>
  </si>
  <si>
    <t xml:space="preserve">Link_L29</t>
  </si>
  <si>
    <t xml:space="preserve">L29-CO</t>
  </si>
  <si>
    <t xml:space="preserve">L29-TR</t>
  </si>
  <si>
    <t xml:space="preserve">L29-EV</t>
  </si>
  <si>
    <t xml:space="preserve">L29-AC</t>
  </si>
  <si>
    <t xml:space="preserve">L29-TM</t>
  </si>
  <si>
    <t xml:space="preserve">Link_L30</t>
  </si>
  <si>
    <t xml:space="preserve">L30-CO</t>
  </si>
  <si>
    <t xml:space="preserve">L30-TR</t>
  </si>
  <si>
    <t xml:space="preserve">L30-EV</t>
  </si>
  <si>
    <t xml:space="preserve">L30-AC</t>
  </si>
  <si>
    <t xml:space="preserve">L30-TM</t>
  </si>
  <si>
    <t xml:space="preserve">Link_L31</t>
  </si>
  <si>
    <t xml:space="preserve">L31-CO</t>
  </si>
  <si>
    <t xml:space="preserve">L31-TR</t>
  </si>
  <si>
    <t xml:space="preserve">L31-EV</t>
  </si>
  <si>
    <t xml:space="preserve">L31-AC</t>
  </si>
  <si>
    <t xml:space="preserve">L31-TM</t>
  </si>
  <si>
    <r>
      <rPr>
        <b val="true"/>
        <sz val="14"/>
        <color rgb="FF101828"/>
        <rFont val="WenQuanYi Zen Hei"/>
        <family val="2"/>
      </rPr>
      <t xml:space="preserve">관계 매트릭스 — 행</t>
    </r>
    <r>
      <rPr>
        <b val="true"/>
        <sz val="14"/>
        <color rgb="FF101828"/>
        <rFont val="맑은 고딕"/>
        <family val="0"/>
        <charset val="1"/>
      </rPr>
      <t xml:space="preserve">(</t>
    </r>
    <r>
      <rPr>
        <b val="true"/>
        <sz val="14"/>
        <color rgb="FF101828"/>
        <rFont val="WenQuanYi Zen Hei"/>
        <family val="2"/>
      </rPr>
      <t xml:space="preserve">출발 </t>
    </r>
    <r>
      <rPr>
        <b val="true"/>
        <sz val="14"/>
        <color rgb="FF101828"/>
        <rFont val="맑은 고딕"/>
        <family val="0"/>
        <charset val="1"/>
      </rPr>
      <t xml:space="preserve">S) → </t>
    </r>
    <r>
      <rPr>
        <b val="true"/>
        <sz val="14"/>
        <color rgb="FF101828"/>
        <rFont val="WenQuanYi Zen Hei"/>
        <family val="2"/>
      </rPr>
      <t xml:space="preserve">열</t>
    </r>
    <r>
      <rPr>
        <b val="true"/>
        <sz val="14"/>
        <color rgb="FF101828"/>
        <rFont val="맑은 고딕"/>
        <family val="0"/>
        <charset val="1"/>
      </rPr>
      <t xml:space="preserve">(</t>
    </r>
    <r>
      <rPr>
        <b val="true"/>
        <sz val="14"/>
        <color rgb="FF101828"/>
        <rFont val="WenQuanYi Zen Hei"/>
        <family val="2"/>
      </rPr>
      <t xml:space="preserve">도착 </t>
    </r>
    <r>
      <rPr>
        <b val="true"/>
        <sz val="14"/>
        <color rgb="FF101828"/>
        <rFont val="맑은 고딕"/>
        <family val="0"/>
        <charset val="1"/>
      </rPr>
      <t xml:space="preserve">T)</t>
    </r>
  </si>
  <si>
    <r>
      <rPr>
        <i val="true"/>
        <sz val="10"/>
        <color rgb="FF475467"/>
        <rFont val="WenQuanYi Zen Hei"/>
        <family val="2"/>
      </rPr>
      <t xml:space="preserve">셀 </t>
    </r>
    <r>
      <rPr>
        <i val="true"/>
        <sz val="10"/>
        <color rgb="FF475467"/>
        <rFont val="맑은 고딕"/>
        <family val="0"/>
        <charset val="1"/>
      </rPr>
      <t xml:space="preserve">= </t>
    </r>
    <r>
      <rPr>
        <i val="true"/>
        <sz val="10"/>
        <color rgb="FF475467"/>
        <rFont val="WenQuanYi Zen Hei"/>
        <family val="2"/>
      </rPr>
      <t xml:space="preserve">연결 </t>
    </r>
    <r>
      <rPr>
        <i val="true"/>
        <sz val="10"/>
        <color rgb="FF475467"/>
        <rFont val="맑은 고딕"/>
        <family val="0"/>
        <charset val="1"/>
      </rPr>
      <t xml:space="preserve">ID, </t>
    </r>
    <r>
      <rPr>
        <i val="true"/>
        <sz val="10"/>
        <color rgb="FF475467"/>
        <rFont val="WenQuanYi Zen Hei"/>
        <family val="2"/>
      </rPr>
      <t xml:space="preserve">굵은 글씨 </t>
    </r>
    <r>
      <rPr>
        <i val="true"/>
        <sz val="10"/>
        <color rgb="FF475467"/>
        <rFont val="맑은 고딕"/>
        <family val="0"/>
        <charset val="1"/>
      </rPr>
      <t xml:space="preserve">= E1, </t>
    </r>
    <r>
      <rPr>
        <i val="true"/>
        <sz val="10"/>
        <color rgb="FF475467"/>
        <rFont val="WenQuanYi Zen Hei"/>
        <family val="2"/>
      </rPr>
      <t xml:space="preserve">이탤릭 </t>
    </r>
    <r>
      <rPr>
        <i val="true"/>
        <sz val="10"/>
        <color rgb="FF475467"/>
        <rFont val="맑은 고딕"/>
        <family val="0"/>
        <charset val="1"/>
      </rPr>
      <t xml:space="preserve">= E2, </t>
    </r>
    <r>
      <rPr>
        <i val="true"/>
        <sz val="10"/>
        <color rgb="FF475467"/>
        <rFont val="WenQuanYi Zen Hei"/>
        <family val="2"/>
      </rPr>
      <t xml:space="preserve">빨간 글씨 </t>
    </r>
    <r>
      <rPr>
        <i val="true"/>
        <sz val="10"/>
        <color rgb="FF475467"/>
        <rFont val="맑은 고딕"/>
        <family val="0"/>
        <charset val="1"/>
      </rPr>
      <t xml:space="preserve">= E3. CORE = </t>
    </r>
    <r>
      <rPr>
        <i val="true"/>
        <sz val="10"/>
        <color rgb="FF475467"/>
        <rFont val="WenQuanYi Zen Hei"/>
        <family val="2"/>
      </rPr>
      <t xml:space="preserve">집단 노드</t>
    </r>
    <r>
      <rPr>
        <i val="true"/>
        <sz val="10"/>
        <color rgb="FF475467"/>
        <rFont val="맑은 고딕"/>
        <family val="0"/>
        <charset val="1"/>
      </rPr>
      <t xml:space="preserve">(</t>
    </r>
    <r>
      <rPr>
        <i val="true"/>
        <sz val="10"/>
        <color rgb="FF475467"/>
        <rFont val="WenQuanYi Zen Hei"/>
        <family val="2"/>
      </rPr>
      <t xml:space="preserve">연구자 생성</t>
    </r>
    <r>
      <rPr>
        <i val="true"/>
        <sz val="10"/>
        <color rgb="FF475467"/>
        <rFont val="맑은 고딕"/>
        <family val="0"/>
        <charset val="1"/>
      </rPr>
      <t xml:space="preserve">)</t>
    </r>
  </si>
  <si>
    <r>
      <rPr>
        <b val="true"/>
        <sz val="14"/>
        <color rgb="FF101828"/>
        <rFont val="WenQuanYi Zen Hei"/>
        <family val="2"/>
      </rPr>
      <t xml:space="preserve">온톨로지 맵 — </t>
    </r>
    <r>
      <rPr>
        <b val="true"/>
        <sz val="14"/>
        <color rgb="FF101828"/>
        <rFont val="맑은 고딕"/>
        <family val="0"/>
        <charset val="1"/>
      </rPr>
      <t xml:space="preserve">22</t>
    </r>
    <r>
      <rPr>
        <b val="true"/>
        <sz val="14"/>
        <color rgb="FF101828"/>
        <rFont val="WenQuanYi Zen Hei"/>
        <family val="2"/>
      </rPr>
      <t xml:space="preserve">개 프로세스와 </t>
    </r>
    <r>
      <rPr>
        <b val="true"/>
        <sz val="14"/>
        <color rgb="FF101828"/>
        <rFont val="맑은 고딕"/>
        <family val="0"/>
        <charset val="1"/>
      </rPr>
      <t xml:space="preserve">31</t>
    </r>
    <r>
      <rPr>
        <b val="true"/>
        <sz val="14"/>
        <color rgb="FF101828"/>
        <rFont val="WenQuanYi Zen Hei"/>
        <family val="2"/>
      </rPr>
      <t xml:space="preserve">개 연결</t>
    </r>
  </si>
  <si>
    <r>
      <rPr>
        <i val="true"/>
        <sz val="10"/>
        <color rgb="FF475467"/>
        <rFont val="WenQuanYi Zen Hei"/>
        <family val="2"/>
      </rPr>
      <t xml:space="preserve">그림 파일</t>
    </r>
    <r>
      <rPr>
        <i val="true"/>
        <sz val="10"/>
        <color rgb="FF475467"/>
        <rFont val="맑은 고딕"/>
        <family val="0"/>
        <charset val="1"/>
      </rPr>
      <t xml:space="preserve">: outputs/BCMS_</t>
    </r>
    <r>
      <rPr>
        <i val="true"/>
        <sz val="10"/>
        <color rgb="FF475467"/>
        <rFont val="WenQuanYi Zen Hei"/>
        <family val="2"/>
      </rPr>
      <t xml:space="preserve">온톨로지맵</t>
    </r>
    <r>
      <rPr>
        <i val="true"/>
        <sz val="10"/>
        <color rgb="FF475467"/>
        <rFont val="맑은 고딕"/>
        <family val="0"/>
        <charset val="1"/>
      </rPr>
      <t xml:space="preserve">_V3.png · </t>
    </r>
    <r>
      <rPr>
        <i val="true"/>
        <sz val="10"/>
        <color rgb="FF475467"/>
        <rFont val="WenQuanYi Zen Hei"/>
        <family val="2"/>
      </rPr>
      <t xml:space="preserve">선 모양 </t>
    </r>
    <r>
      <rPr>
        <i val="true"/>
        <sz val="10"/>
        <color rgb="FF475467"/>
        <rFont val="맑은 고딕"/>
        <family val="0"/>
        <charset val="1"/>
      </rPr>
      <t xml:space="preserve">= </t>
    </r>
    <r>
      <rPr>
        <i val="true"/>
        <sz val="10"/>
        <color rgb="FF475467"/>
        <rFont val="WenQuanYi Zen Hei"/>
        <family val="2"/>
      </rPr>
      <t xml:space="preserve">증거유형</t>
    </r>
    <r>
      <rPr>
        <i val="true"/>
        <sz val="10"/>
        <color rgb="FF475467"/>
        <rFont val="맑은 고딕"/>
        <family val="0"/>
        <charset val="1"/>
      </rPr>
      <t xml:space="preserve">(</t>
    </r>
    <r>
      <rPr>
        <i val="true"/>
        <sz val="10"/>
        <color rgb="FF475467"/>
        <rFont val="WenQuanYi Zen Hei"/>
        <family val="2"/>
      </rPr>
      <t xml:space="preserve">실선 </t>
    </r>
    <r>
      <rPr>
        <i val="true"/>
        <sz val="10"/>
        <color rgb="FF475467"/>
        <rFont val="맑은 고딕"/>
        <family val="0"/>
        <charset val="1"/>
      </rPr>
      <t xml:space="preserve">E1 / </t>
    </r>
    <r>
      <rPr>
        <i val="true"/>
        <sz val="10"/>
        <color rgb="FF475467"/>
        <rFont val="WenQuanYi Zen Hei"/>
        <family val="2"/>
      </rPr>
      <t xml:space="preserve">파선 </t>
    </r>
    <r>
      <rPr>
        <i val="true"/>
        <sz val="10"/>
        <color rgb="FF475467"/>
        <rFont val="맑은 고딕"/>
        <family val="0"/>
        <charset val="1"/>
      </rPr>
      <t xml:space="preserve">E2 / </t>
    </r>
    <r>
      <rPr>
        <i val="true"/>
        <sz val="10"/>
        <color rgb="FF475467"/>
        <rFont val="WenQuanYi Zen Hei"/>
        <family val="2"/>
      </rPr>
      <t xml:space="preserve">점선 </t>
    </r>
    <r>
      <rPr>
        <i val="true"/>
        <sz val="10"/>
        <color rgb="FF475467"/>
        <rFont val="맑은 고딕"/>
        <family val="0"/>
        <charset val="1"/>
      </rPr>
      <t xml:space="preserve">E3)</t>
    </r>
  </si>
  <si>
    <r>
      <rPr>
        <b val="true"/>
        <sz val="14"/>
        <color rgb="FF101828"/>
        <rFont val="WenQuanYi Zen Hei"/>
        <family val="2"/>
      </rPr>
      <t xml:space="preserve">문항은행 </t>
    </r>
    <r>
      <rPr>
        <b val="true"/>
        <sz val="14"/>
        <color rgb="FF101828"/>
        <rFont val="맑은 고딕"/>
        <family val="0"/>
        <charset val="1"/>
      </rPr>
      <t xml:space="preserve">179</t>
    </r>
    <r>
      <rPr>
        <b val="true"/>
        <sz val="14"/>
        <color rgb="FF101828"/>
        <rFont val="WenQuanYi Zen Hei"/>
        <family val="2"/>
      </rPr>
      <t xml:space="preserve">문항 </t>
    </r>
    <r>
      <rPr>
        <b val="true"/>
        <sz val="14"/>
        <color rgb="FF101828"/>
        <rFont val="맑은 고딕"/>
        <family val="0"/>
        <charset val="1"/>
      </rPr>
      <t xml:space="preserve">(</t>
    </r>
    <r>
      <rPr>
        <b val="true"/>
        <sz val="14"/>
        <color rgb="FF101828"/>
        <rFont val="WenQuanYi Zen Hei"/>
        <family val="2"/>
      </rPr>
      <t xml:space="preserve">연결 </t>
    </r>
    <r>
      <rPr>
        <b val="true"/>
        <sz val="14"/>
        <color rgb="FF101828"/>
        <rFont val="맑은 고딕"/>
        <family val="0"/>
        <charset val="1"/>
      </rPr>
      <t xml:space="preserve">163 + </t>
    </r>
    <r>
      <rPr>
        <b val="true"/>
        <sz val="14"/>
        <color rgb="FF101828"/>
        <rFont val="WenQuanYi Zen Hei"/>
        <family val="2"/>
      </rPr>
      <t xml:space="preserve">종합 </t>
    </r>
    <r>
      <rPr>
        <b val="true"/>
        <sz val="14"/>
        <color rgb="FF101828"/>
        <rFont val="맑은 고딕"/>
        <family val="0"/>
        <charset val="1"/>
      </rPr>
      <t xml:space="preserve">7 + </t>
    </r>
    <r>
      <rPr>
        <b val="true"/>
        <sz val="14"/>
        <color rgb="FF101828"/>
        <rFont val="WenQuanYi Zen Hei"/>
        <family val="2"/>
      </rPr>
      <t xml:space="preserve">검증 </t>
    </r>
    <r>
      <rPr>
        <b val="true"/>
        <sz val="14"/>
        <color rgb="FF101828"/>
        <rFont val="맑은 고딕"/>
        <family val="0"/>
        <charset val="1"/>
      </rPr>
      <t xml:space="preserve">9) — </t>
    </r>
    <r>
      <rPr>
        <b val="true"/>
        <sz val="14"/>
        <color rgb="FF101828"/>
        <rFont val="WenQuanYi Zen Hei"/>
        <family val="2"/>
      </rPr>
      <t xml:space="preserve">객체쌍 </t>
    </r>
    <r>
      <rPr>
        <b val="true"/>
        <sz val="14"/>
        <color rgb="FF101828"/>
        <rFont val="맑은 고딕"/>
        <family val="0"/>
        <charset val="1"/>
      </rPr>
      <t xml:space="preserve">+ </t>
    </r>
    <r>
      <rPr>
        <b val="true"/>
        <sz val="14"/>
        <color rgb="FF101828"/>
        <rFont val="WenQuanYi Zen Hei"/>
        <family val="2"/>
      </rPr>
      <t xml:space="preserve">관계동사 </t>
    </r>
    <r>
      <rPr>
        <b val="true"/>
        <sz val="14"/>
        <color rgb="FF101828"/>
        <rFont val="맑은 고딕"/>
        <family val="0"/>
        <charset val="1"/>
      </rPr>
      <t xml:space="preserve">+ </t>
    </r>
    <r>
      <rPr>
        <b val="true"/>
        <sz val="14"/>
        <color rgb="FF101828"/>
        <rFont val="WenQuanYi Zen Hei"/>
        <family val="2"/>
      </rPr>
      <t xml:space="preserve">품질조건</t>
    </r>
  </si>
  <si>
    <r>
      <rPr>
        <i val="true"/>
        <sz val="10"/>
        <color rgb="FF475467"/>
        <rFont val="WenQuanYi Zen Hei"/>
        <family val="2"/>
      </rPr>
      <t xml:space="preserve">연결 문항은 모두 </t>
    </r>
    <r>
      <rPr>
        <i val="true"/>
        <sz val="10"/>
        <color rgb="FF475467"/>
        <rFont val="맑은 고딕"/>
        <family val="0"/>
        <charset val="1"/>
      </rPr>
      <t xml:space="preserve">"</t>
    </r>
    <r>
      <rPr>
        <i val="true"/>
        <sz val="10"/>
        <color rgb="FF475467"/>
        <rFont val="WenQuanYi Zen Hei"/>
        <family val="2"/>
      </rPr>
      <t xml:space="preserve">연구자 문항화</t>
    </r>
    <r>
      <rPr>
        <i val="true"/>
        <sz val="10"/>
        <color rgb="FF475467"/>
        <rFont val="맑은 고딕"/>
        <family val="0"/>
        <charset val="1"/>
      </rPr>
      <t xml:space="preserve">"</t>
    </r>
    <r>
      <rPr>
        <i val="true"/>
        <sz val="10"/>
        <color rgb="FF475467"/>
        <rFont val="WenQuanYi Zen Hei"/>
        <family val="2"/>
      </rPr>
      <t xml:space="preserve">이며 연결의 근거는 연결 시트의 인용을 따른다</t>
    </r>
    <r>
      <rPr>
        <i val="true"/>
        <sz val="10"/>
        <color rgb="FF475467"/>
        <rFont val="맑은 고딕"/>
        <family val="0"/>
        <charset val="1"/>
      </rPr>
      <t xml:space="preserve">. </t>
    </r>
    <r>
      <rPr>
        <i val="true"/>
        <sz val="10"/>
        <color rgb="FF475467"/>
        <rFont val="WenQuanYi Zen Hei"/>
        <family val="2"/>
      </rPr>
      <t xml:space="preserve">전문가 </t>
    </r>
    <r>
      <rPr>
        <i val="true"/>
        <sz val="10"/>
        <color rgb="FF475467"/>
        <rFont val="맑은 고딕"/>
        <family val="0"/>
        <charset val="1"/>
      </rPr>
      <t xml:space="preserve">6</t>
    </r>
    <r>
      <rPr>
        <i val="true"/>
        <sz val="10"/>
        <color rgb="FF475467"/>
        <rFont val="WenQuanYi Zen Hei"/>
        <family val="2"/>
      </rPr>
      <t xml:space="preserve">인의 적합도</t>
    </r>
    <r>
      <rPr>
        <i val="true"/>
        <sz val="10"/>
        <color rgb="FF475467"/>
        <rFont val="맑은 고딕"/>
        <family val="0"/>
        <charset val="1"/>
      </rPr>
      <t xml:space="preserve">(1~4)</t>
    </r>
    <r>
      <rPr>
        <i val="true"/>
        <sz val="10"/>
        <color rgb="FF475467"/>
        <rFont val="WenQuanYi Zen Hei"/>
        <family val="2"/>
      </rPr>
      <t xml:space="preserve">를 </t>
    </r>
    <r>
      <rPr>
        <i val="true"/>
        <sz val="10"/>
        <color rgb="FF475467"/>
        <rFont val="맑은 고딕"/>
        <family val="0"/>
        <charset val="1"/>
      </rPr>
      <t xml:space="preserve">M~R</t>
    </r>
    <r>
      <rPr>
        <i val="true"/>
        <sz val="10"/>
        <color rgb="FF475467"/>
        <rFont val="WenQuanYi Zen Hei"/>
        <family val="2"/>
      </rPr>
      <t xml:space="preserve">열에 입력</t>
    </r>
    <r>
      <rPr>
        <i val="true"/>
        <sz val="10"/>
        <color rgb="FF475467"/>
        <rFont val="맑은 고딕"/>
        <family val="0"/>
        <charset val="1"/>
      </rPr>
      <t xml:space="preserve">.</t>
    </r>
  </si>
  <si>
    <r>
      <rPr>
        <b val="true"/>
        <sz val="10"/>
        <color rgb="FFFFFFFF"/>
        <rFont val="WenQuanYi Zen Hei"/>
        <family val="2"/>
      </rPr>
      <t xml:space="preserve">문항</t>
    </r>
    <r>
      <rPr>
        <b val="true"/>
        <sz val="10"/>
        <color rgb="FFFFFFFF"/>
        <rFont val="맑은 고딕"/>
        <family val="0"/>
        <charset val="1"/>
      </rPr>
      <t xml:space="preserve">ID</t>
    </r>
  </si>
  <si>
    <t xml:space="preserve">파트</t>
  </si>
  <si>
    <r>
      <rPr>
        <b val="true"/>
        <sz val="10"/>
        <color rgb="FFFFFFFF"/>
        <rFont val="WenQuanYi Zen Hei"/>
        <family val="2"/>
      </rPr>
      <t xml:space="preserve">연결</t>
    </r>
    <r>
      <rPr>
        <b val="true"/>
        <sz val="10"/>
        <color rgb="FFFFFFFF"/>
        <rFont val="맑은 고딕"/>
        <family val="0"/>
        <charset val="1"/>
      </rPr>
      <t xml:space="preserve">ID</t>
    </r>
  </si>
  <si>
    <t xml:space="preserve">문항</t>
  </si>
  <si>
    <t xml:space="preserve">역문항</t>
  </si>
  <si>
    <t xml:space="preserve">응답입력 열</t>
  </si>
  <si>
    <t xml:space="preserve">근거 구분</t>
  </si>
  <si>
    <r>
      <rPr>
        <b val="true"/>
        <sz val="10"/>
        <color rgb="FFFFFFFF"/>
        <rFont val="WenQuanYi Zen Hei"/>
        <family val="2"/>
      </rPr>
      <t xml:space="preserve">전문가</t>
    </r>
    <r>
      <rPr>
        <b val="true"/>
        <sz val="10"/>
        <color rgb="FFFFFFFF"/>
        <rFont val="맑은 고딕"/>
        <family val="0"/>
        <charset val="1"/>
      </rPr>
      <t xml:space="preserve">1</t>
    </r>
  </si>
  <si>
    <r>
      <rPr>
        <b val="true"/>
        <sz val="10"/>
        <color rgb="FFFFFFFF"/>
        <rFont val="WenQuanYi Zen Hei"/>
        <family val="2"/>
      </rPr>
      <t xml:space="preserve">전문가</t>
    </r>
    <r>
      <rPr>
        <b val="true"/>
        <sz val="10"/>
        <color rgb="FFFFFFFF"/>
        <rFont val="맑은 고딕"/>
        <family val="0"/>
        <charset val="1"/>
      </rPr>
      <t xml:space="preserve">2</t>
    </r>
  </si>
  <si>
    <r>
      <rPr>
        <b val="true"/>
        <sz val="10"/>
        <color rgb="FFFFFFFF"/>
        <rFont val="WenQuanYi Zen Hei"/>
        <family val="2"/>
      </rPr>
      <t xml:space="preserve">전문가</t>
    </r>
    <r>
      <rPr>
        <b val="true"/>
        <sz val="10"/>
        <color rgb="FFFFFFFF"/>
        <rFont val="맑은 고딕"/>
        <family val="0"/>
        <charset val="1"/>
      </rPr>
      <t xml:space="preserve">3</t>
    </r>
  </si>
  <si>
    <r>
      <rPr>
        <b val="true"/>
        <sz val="10"/>
        <color rgb="FFFFFFFF"/>
        <rFont val="WenQuanYi Zen Hei"/>
        <family val="2"/>
      </rPr>
      <t xml:space="preserve">전문가</t>
    </r>
    <r>
      <rPr>
        <b val="true"/>
        <sz val="10"/>
        <color rgb="FFFFFFFF"/>
        <rFont val="맑은 고딕"/>
        <family val="0"/>
        <charset val="1"/>
      </rPr>
      <t xml:space="preserve">4</t>
    </r>
  </si>
  <si>
    <r>
      <rPr>
        <b val="true"/>
        <sz val="10"/>
        <color rgb="FFFFFFFF"/>
        <rFont val="WenQuanYi Zen Hei"/>
        <family val="2"/>
      </rPr>
      <t xml:space="preserve">전문가</t>
    </r>
    <r>
      <rPr>
        <b val="true"/>
        <sz val="10"/>
        <color rgb="FFFFFFFF"/>
        <rFont val="맑은 고딕"/>
        <family val="0"/>
        <charset val="1"/>
      </rPr>
      <t xml:space="preserve">5</t>
    </r>
  </si>
  <si>
    <r>
      <rPr>
        <b val="true"/>
        <sz val="10"/>
        <color rgb="FFFFFFFF"/>
        <rFont val="WenQuanYi Zen Hei"/>
        <family val="2"/>
      </rPr>
      <t xml:space="preserve">전문가</t>
    </r>
    <r>
      <rPr>
        <b val="true"/>
        <sz val="10"/>
        <color rgb="FFFFFFFF"/>
        <rFont val="맑은 고딕"/>
        <family val="0"/>
        <charset val="1"/>
      </rPr>
      <t xml:space="preserve">6</t>
    </r>
  </si>
  <si>
    <t xml:space="preserve">I-CVI</t>
  </si>
  <si>
    <t xml:space="preserve">판정</t>
  </si>
  <si>
    <t xml:space="preserve">추적성 점검</t>
  </si>
  <si>
    <r>
      <rPr>
        <sz val="10"/>
        <color rgb="FF000000"/>
        <rFont val="맑은 고딕"/>
        <family val="0"/>
        <charset val="1"/>
      </rPr>
      <t xml:space="preserve">C </t>
    </r>
    <r>
      <rPr>
        <sz val="10"/>
        <color rgb="FF000000"/>
        <rFont val="WenQuanYi Zen Hei"/>
        <family val="2"/>
      </rPr>
      <t xml:space="preserve">연결</t>
    </r>
  </si>
  <si>
    <r>
      <rPr>
        <sz val="10"/>
        <color rgb="FF000000"/>
        <rFont val="WenQuanYi Zen Hei"/>
        <family val="2"/>
      </rPr>
      <t xml:space="preserve">우리 조직에서는 요구사항 목록이 </t>
    </r>
    <r>
      <rPr>
        <sz val="10"/>
        <color rgb="FF000000"/>
        <rFont val="맑은 고딕"/>
        <family val="0"/>
        <charset val="1"/>
      </rPr>
      <t xml:space="preserve">BIA</t>
    </r>
    <r>
      <rPr>
        <sz val="10"/>
        <color rgb="FF000000"/>
        <rFont val="WenQuanYi Zen Hei"/>
        <family val="2"/>
      </rPr>
      <t xml:space="preserve">의 우선순위</t>
    </r>
    <r>
      <rPr>
        <sz val="10"/>
        <color rgb="FF000000"/>
        <rFont val="맑은 고딕"/>
        <family val="0"/>
        <charset val="1"/>
      </rPr>
      <t xml:space="preserve">·</t>
    </r>
    <r>
      <rPr>
        <sz val="10"/>
        <color rgb="FF000000"/>
        <rFont val="WenQuanYi Zen Hei"/>
        <family val="2"/>
      </rPr>
      <t xml:space="preserve">복구목표 설정에 입력될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</si>
  <si>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AH</t>
  </si>
  <si>
    <r>
      <rPr>
        <sz val="10"/>
        <color rgb="FF000000"/>
        <rFont val="WenQuanYi Zen Hei"/>
        <family val="2"/>
      </rPr>
      <t xml:space="preserve">연구자 의견</t>
    </r>
    <r>
      <rPr>
        <sz val="10"/>
        <color rgb="FF000000"/>
        <rFont val="맑은 고딕"/>
        <family val="0"/>
        <charset val="1"/>
      </rPr>
      <t xml:space="preserve">(</t>
    </r>
    <r>
      <rPr>
        <sz val="10"/>
        <color rgb="FF000000"/>
        <rFont val="WenQuanYi Zen Hei"/>
        <family val="2"/>
      </rPr>
      <t xml:space="preserve">문항화</t>
    </r>
    <r>
      <rPr>
        <sz val="10"/>
        <color rgb="FF000000"/>
        <rFont val="맑은 고딕"/>
        <family val="0"/>
        <charset val="1"/>
      </rPr>
      <t xml:space="preserve">: </t>
    </r>
    <r>
      <rPr>
        <sz val="10"/>
        <color rgb="FF000000"/>
        <rFont val="WenQuanYi Zen Hei"/>
        <family val="2"/>
      </rPr>
      <t xml:space="preserve">객체쌍</t>
    </r>
    <r>
      <rPr>
        <sz val="10"/>
        <color rgb="FF000000"/>
        <rFont val="맑은 고딕"/>
        <family val="0"/>
        <charset val="1"/>
      </rPr>
      <t xml:space="preserve">+</t>
    </r>
    <r>
      <rPr>
        <sz val="10"/>
        <color rgb="FF000000"/>
        <rFont val="WenQuanYi Zen Hei"/>
        <family val="2"/>
      </rPr>
      <t xml:space="preserve">관계동사</t>
    </r>
    <r>
      <rPr>
        <sz val="10"/>
        <color rgb="FF000000"/>
        <rFont val="맑은 고딕"/>
        <family val="0"/>
        <charset val="1"/>
      </rPr>
      <t xml:space="preserve">+</t>
    </r>
    <r>
      <rPr>
        <sz val="10"/>
        <color rgb="FF000000"/>
        <rFont val="WenQuanYi Zen Hei"/>
        <family val="2"/>
      </rPr>
      <t xml:space="preserve">품질조건</t>
    </r>
    <r>
      <rPr>
        <sz val="10"/>
        <color rgb="FF000000"/>
        <rFont val="맑은 고딕"/>
        <family val="0"/>
        <charset val="1"/>
      </rPr>
      <t xml:space="preserve">)</t>
    </r>
  </si>
  <si>
    <r>
      <rPr>
        <sz val="10"/>
        <color rgb="FF000000"/>
        <rFont val="WenQuanYi Zen Hei"/>
        <family val="2"/>
      </rPr>
      <t xml:space="preserve">우리 조직에서는 </t>
    </r>
    <r>
      <rPr>
        <sz val="10"/>
        <color rgb="FF000000"/>
        <rFont val="맑은 고딕"/>
        <family val="0"/>
        <charset val="1"/>
      </rPr>
      <t xml:space="preserve">BIA</t>
    </r>
    <r>
      <rPr>
        <sz val="10"/>
        <color rgb="FF000000"/>
        <rFont val="WenQuanYi Zen Hei"/>
        <family val="2"/>
      </rPr>
      <t xml:space="preserve">의 우선순위</t>
    </r>
    <r>
      <rPr>
        <sz val="10"/>
        <color rgb="FF000000"/>
        <rFont val="맑은 고딕"/>
        <family val="0"/>
        <charset val="1"/>
      </rPr>
      <t xml:space="preserve">·</t>
    </r>
    <r>
      <rPr>
        <sz val="10"/>
        <color rgb="FF000000"/>
        <rFont val="WenQuanYi Zen Hei"/>
        <family val="2"/>
      </rPr>
      <t xml:space="preserve">복구목표 설정에서 근거가 된 요구사항 목록을 거슬러 찾아 확인할 수 있다</t>
    </r>
    <r>
      <rPr>
        <sz val="10"/>
        <color rgb="FF000000"/>
        <rFont val="맑은 고딕"/>
        <family val="0"/>
        <charset val="1"/>
      </rPr>
      <t xml:space="preserve">.</t>
    </r>
  </si>
  <si>
    <t xml:space="preserve">AI</t>
  </si>
  <si>
    <r>
      <rPr>
        <sz val="10"/>
        <color rgb="FF000000"/>
        <rFont val="WenQuanYi Zen Hei"/>
        <family val="2"/>
      </rPr>
      <t xml:space="preserve">우리 조직에서는 요구사항 목록이 </t>
    </r>
    <r>
      <rPr>
        <sz val="10"/>
        <color rgb="FF000000"/>
        <rFont val="맑은 고딕"/>
        <family val="0"/>
        <charset val="1"/>
      </rPr>
      <t xml:space="preserve">BIA</t>
    </r>
    <r>
      <rPr>
        <sz val="10"/>
        <color rgb="FF000000"/>
        <rFont val="WenQuanYi Zen Hei"/>
        <family val="2"/>
      </rPr>
      <t xml:space="preserve">의 우선순위</t>
    </r>
    <r>
      <rPr>
        <sz val="10"/>
        <color rgb="FF000000"/>
        <rFont val="맑은 고딕"/>
        <family val="0"/>
        <charset val="1"/>
      </rPr>
      <t xml:space="preserve">·</t>
    </r>
    <r>
      <rPr>
        <sz val="10"/>
        <color rgb="FF000000"/>
        <rFont val="WenQuanYi Zen Hei"/>
        <family val="2"/>
      </rPr>
      <t xml:space="preserve">복구목표 설정에 입력될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</si>
  <si>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AJ</t>
  </si>
  <si>
    <r>
      <rPr>
        <sz val="10"/>
        <color rgb="FF000000"/>
        <rFont val="WenQuanYi Zen Hei"/>
        <family val="2"/>
      </rPr>
      <t xml:space="preserve">우리 조직에서는 요구사항 목록이 </t>
    </r>
    <r>
      <rPr>
        <sz val="10"/>
        <color rgb="FF000000"/>
        <rFont val="맑은 고딕"/>
        <family val="0"/>
        <charset val="1"/>
      </rPr>
      <t xml:space="preserve">BIA</t>
    </r>
    <r>
      <rPr>
        <sz val="10"/>
        <color rgb="FF000000"/>
        <rFont val="WenQuanYi Zen Hei"/>
        <family val="2"/>
      </rPr>
      <t xml:space="preserve">의 우선순위</t>
    </r>
    <r>
      <rPr>
        <sz val="10"/>
        <color rgb="FF000000"/>
        <rFont val="맑은 고딕"/>
        <family val="0"/>
        <charset val="1"/>
      </rPr>
      <t xml:space="preserve">·</t>
    </r>
    <r>
      <rPr>
        <sz val="10"/>
        <color rgb="FF000000"/>
        <rFont val="WenQuanYi Zen Hei"/>
        <family val="2"/>
      </rPr>
      <t xml:space="preserve">복구목표 설정에 입력될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</si>
  <si>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AK</t>
  </si>
  <si>
    <r>
      <rPr>
        <sz val="10"/>
        <color rgb="FF000000"/>
        <rFont val="WenQuanYi Zen Hei"/>
        <family val="2"/>
      </rPr>
      <t xml:space="preserve">우리 조직에서는 요구사항 목록이 바뀌면</t>
    </r>
    <r>
      <rPr>
        <sz val="10"/>
        <color rgb="FF000000"/>
        <rFont val="맑은 고딕"/>
        <family val="0"/>
        <charset val="1"/>
      </rPr>
      <t xml:space="preserve">, BIA</t>
    </r>
    <r>
      <rPr>
        <sz val="10"/>
        <color rgb="FF000000"/>
        <rFont val="WenQuanYi Zen Hei"/>
        <family val="2"/>
      </rPr>
      <t xml:space="preserve">의 우선순위</t>
    </r>
    <r>
      <rPr>
        <sz val="10"/>
        <color rgb="FF000000"/>
        <rFont val="맑은 고딕"/>
        <family val="0"/>
        <charset val="1"/>
      </rPr>
      <t xml:space="preserve">·</t>
    </r>
    <r>
      <rPr>
        <sz val="10"/>
        <color rgb="FF000000"/>
        <rFont val="WenQuanYi Zen Hei"/>
        <family val="2"/>
      </rPr>
      <t xml:space="preserve">복구목표 설정에 정해진 기간 안에 반영된다</t>
    </r>
    <r>
      <rPr>
        <sz val="10"/>
        <color rgb="FF000000"/>
        <rFont val="맑은 고딕"/>
        <family val="0"/>
        <charset val="1"/>
      </rPr>
      <t xml:space="preserve">.</t>
    </r>
  </si>
  <si>
    <t xml:space="preserve">AL</t>
  </si>
  <si>
    <r>
      <rPr>
        <sz val="10"/>
        <color rgb="FF000000"/>
        <rFont val="WenQuanYi Zen Hei"/>
        <family val="2"/>
      </rPr>
      <t xml:space="preserve">우리 조직에서는 요구사항 목록이 리스크평가의 범위</t>
    </r>
    <r>
      <rPr>
        <sz val="10"/>
        <color rgb="FF000000"/>
        <rFont val="맑은 고딕"/>
        <family val="0"/>
        <charset val="1"/>
      </rPr>
      <t xml:space="preserve">·</t>
    </r>
    <r>
      <rPr>
        <sz val="10"/>
        <color rgb="FF000000"/>
        <rFont val="WenQuanYi Zen Hei"/>
        <family val="2"/>
      </rPr>
      <t xml:space="preserve">기준에 입력될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</si>
  <si>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AM</t>
  </si>
  <si>
    <r>
      <rPr>
        <sz val="10"/>
        <color rgb="FF000000"/>
        <rFont val="WenQuanYi Zen Hei"/>
        <family val="2"/>
      </rPr>
      <t xml:space="preserve">우리 조직에서는 리스크평가의 범위</t>
    </r>
    <r>
      <rPr>
        <sz val="10"/>
        <color rgb="FF000000"/>
        <rFont val="맑은 고딕"/>
        <family val="0"/>
        <charset val="1"/>
      </rPr>
      <t xml:space="preserve">·</t>
    </r>
    <r>
      <rPr>
        <sz val="10"/>
        <color rgb="FF000000"/>
        <rFont val="WenQuanYi Zen Hei"/>
        <family val="2"/>
      </rPr>
      <t xml:space="preserve">기준에서 근거가 된 요구사항 목록을 거슬러 찾아 확인할 수 있다</t>
    </r>
    <r>
      <rPr>
        <sz val="10"/>
        <color rgb="FF000000"/>
        <rFont val="맑은 고딕"/>
        <family val="0"/>
        <charset val="1"/>
      </rPr>
      <t xml:space="preserve">.</t>
    </r>
  </si>
  <si>
    <t xml:space="preserve">AN</t>
  </si>
  <si>
    <r>
      <rPr>
        <sz val="10"/>
        <color rgb="FF000000"/>
        <rFont val="WenQuanYi Zen Hei"/>
        <family val="2"/>
      </rPr>
      <t xml:space="preserve">우리 조직에서는 요구사항 목록이 리스크평가의 범위</t>
    </r>
    <r>
      <rPr>
        <sz val="10"/>
        <color rgb="FF000000"/>
        <rFont val="맑은 고딕"/>
        <family val="0"/>
        <charset val="1"/>
      </rPr>
      <t xml:space="preserve">·</t>
    </r>
    <r>
      <rPr>
        <sz val="10"/>
        <color rgb="FF000000"/>
        <rFont val="WenQuanYi Zen Hei"/>
        <family val="2"/>
      </rPr>
      <t xml:space="preserve">기준에 입력될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</si>
  <si>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AO</t>
  </si>
  <si>
    <r>
      <rPr>
        <sz val="10"/>
        <color rgb="FF000000"/>
        <rFont val="WenQuanYi Zen Hei"/>
        <family val="2"/>
      </rPr>
      <t xml:space="preserve">우리 조직에서는 요구사항 목록이 리스크평가의 범위</t>
    </r>
    <r>
      <rPr>
        <sz val="10"/>
        <color rgb="FF000000"/>
        <rFont val="맑은 고딕"/>
        <family val="0"/>
        <charset val="1"/>
      </rPr>
      <t xml:space="preserve">·</t>
    </r>
    <r>
      <rPr>
        <sz val="10"/>
        <color rgb="FF000000"/>
        <rFont val="WenQuanYi Zen Hei"/>
        <family val="2"/>
      </rPr>
      <t xml:space="preserve">기준에 입력될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</si>
  <si>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AP</t>
  </si>
  <si>
    <r>
      <rPr>
        <sz val="10"/>
        <color rgb="FF000000"/>
        <rFont val="WenQuanYi Zen Hei"/>
        <family val="2"/>
      </rPr>
      <t xml:space="preserve">우리 조직에서는 요구사항 목록이 바뀌면</t>
    </r>
    <r>
      <rPr>
        <sz val="10"/>
        <color rgb="FF000000"/>
        <rFont val="맑은 고딕"/>
        <family val="0"/>
        <charset val="1"/>
      </rPr>
      <t xml:space="preserve">, </t>
    </r>
    <r>
      <rPr>
        <sz val="10"/>
        <color rgb="FF000000"/>
        <rFont val="WenQuanYi Zen Hei"/>
        <family val="2"/>
      </rPr>
      <t xml:space="preserve">리스크평가의 범위</t>
    </r>
    <r>
      <rPr>
        <sz val="10"/>
        <color rgb="FF000000"/>
        <rFont val="맑은 고딕"/>
        <family val="0"/>
        <charset val="1"/>
      </rPr>
      <t xml:space="preserve">·</t>
    </r>
    <r>
      <rPr>
        <sz val="10"/>
        <color rgb="FF000000"/>
        <rFont val="WenQuanYi Zen Hei"/>
        <family val="2"/>
      </rPr>
      <t xml:space="preserve">기준에 정해진 기간 안에 반영된다</t>
    </r>
    <r>
      <rPr>
        <sz val="10"/>
        <color rgb="FF000000"/>
        <rFont val="맑은 고딕"/>
        <family val="0"/>
        <charset val="1"/>
      </rPr>
      <t xml:space="preserve">.</t>
    </r>
  </si>
  <si>
    <t xml:space="preserve">AQ</t>
  </si>
  <si>
    <r>
      <rPr>
        <sz val="10"/>
        <color rgb="FF000000"/>
        <rFont val="WenQuanYi Zen Hei"/>
        <family val="2"/>
      </rPr>
      <t xml:space="preserve">우리 조직에서는 </t>
    </r>
    <r>
      <rPr>
        <sz val="10"/>
        <color rgb="FF000000"/>
        <rFont val="맑은 고딕"/>
        <family val="0"/>
        <charset val="1"/>
      </rPr>
      <t xml:space="preserve">BIA </t>
    </r>
    <r>
      <rPr>
        <sz val="10"/>
        <color rgb="FF000000"/>
        <rFont val="WenQuanYi Zen Hei"/>
        <family val="2"/>
      </rPr>
      <t xml:space="preserve">결과가 리스크평가 대상 선정의 근거가 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</si>
  <si>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AR</t>
  </si>
  <si>
    <r>
      <rPr>
        <sz val="10"/>
        <color rgb="FF000000"/>
        <rFont val="WenQuanYi Zen Hei"/>
        <family val="2"/>
      </rPr>
      <t xml:space="preserve">우리 조직에서는 리스크평가 대상에서 근거가 된 </t>
    </r>
    <r>
      <rPr>
        <sz val="10"/>
        <color rgb="FF000000"/>
        <rFont val="맑은 고딕"/>
        <family val="0"/>
        <charset val="1"/>
      </rPr>
      <t xml:space="preserve">BIA </t>
    </r>
    <r>
      <rPr>
        <sz val="10"/>
        <color rgb="FF000000"/>
        <rFont val="WenQuanYi Zen Hei"/>
        <family val="2"/>
      </rPr>
      <t xml:space="preserve">결과를 거슬러 찾아 확인할 수 있다</t>
    </r>
    <r>
      <rPr>
        <sz val="10"/>
        <color rgb="FF000000"/>
        <rFont val="맑은 고딕"/>
        <family val="0"/>
        <charset val="1"/>
      </rPr>
      <t xml:space="preserve">.</t>
    </r>
  </si>
  <si>
    <t xml:space="preserve">AS</t>
  </si>
  <si>
    <r>
      <rPr>
        <sz val="10"/>
        <color rgb="FF000000"/>
        <rFont val="WenQuanYi Zen Hei"/>
        <family val="2"/>
      </rPr>
      <t xml:space="preserve">우리 조직에서는 </t>
    </r>
    <r>
      <rPr>
        <sz val="10"/>
        <color rgb="FF000000"/>
        <rFont val="맑은 고딕"/>
        <family val="0"/>
        <charset val="1"/>
      </rPr>
      <t xml:space="preserve">BIA </t>
    </r>
    <r>
      <rPr>
        <sz val="10"/>
        <color rgb="FF000000"/>
        <rFont val="WenQuanYi Zen Hei"/>
        <family val="2"/>
      </rPr>
      <t xml:space="preserve">결과가 리스크평가 대상 선정의 근거가 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</si>
  <si>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AT</t>
  </si>
  <si>
    <r>
      <rPr>
        <sz val="10"/>
        <color rgb="FF000000"/>
        <rFont val="WenQuanYi Zen Hei"/>
        <family val="2"/>
      </rPr>
      <t xml:space="preserve">우리 조직에서는 </t>
    </r>
    <r>
      <rPr>
        <sz val="10"/>
        <color rgb="FF000000"/>
        <rFont val="맑은 고딕"/>
        <family val="0"/>
        <charset val="1"/>
      </rPr>
      <t xml:space="preserve">BIA </t>
    </r>
    <r>
      <rPr>
        <sz val="10"/>
        <color rgb="FF000000"/>
        <rFont val="WenQuanYi Zen Hei"/>
        <family val="2"/>
      </rPr>
      <t xml:space="preserve">결과가 리스크평가 대상 선정의 근거가 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</si>
  <si>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AU</t>
  </si>
  <si>
    <r>
      <rPr>
        <sz val="10"/>
        <color rgb="FF000000"/>
        <rFont val="WenQuanYi Zen Hei"/>
        <family val="2"/>
      </rPr>
      <t xml:space="preserve">우리 조직에서는 </t>
    </r>
    <r>
      <rPr>
        <sz val="10"/>
        <color rgb="FF000000"/>
        <rFont val="맑은 고딕"/>
        <family val="0"/>
        <charset val="1"/>
      </rPr>
      <t xml:space="preserve">BIA </t>
    </r>
    <r>
      <rPr>
        <sz val="10"/>
        <color rgb="FF000000"/>
        <rFont val="WenQuanYi Zen Hei"/>
        <family val="2"/>
      </rPr>
      <t xml:space="preserve">결과가 바뀌면</t>
    </r>
    <r>
      <rPr>
        <sz val="10"/>
        <color rgb="FF000000"/>
        <rFont val="맑은 고딕"/>
        <family val="0"/>
        <charset val="1"/>
      </rPr>
      <t xml:space="preserve">, </t>
    </r>
    <r>
      <rPr>
        <sz val="10"/>
        <color rgb="FF000000"/>
        <rFont val="WenQuanYi Zen Hei"/>
        <family val="2"/>
      </rPr>
      <t xml:space="preserve">리스크평가 대상에 정해진 기간 안에 반영된다</t>
    </r>
    <r>
      <rPr>
        <sz val="10"/>
        <color rgb="FF000000"/>
        <rFont val="맑은 고딕"/>
        <family val="0"/>
        <charset val="1"/>
      </rPr>
      <t xml:space="preserve">.</t>
    </r>
  </si>
  <si>
    <t xml:space="preserve">AV</t>
  </si>
  <si>
    <r>
      <rPr>
        <sz val="10"/>
        <color rgb="FF000000"/>
        <rFont val="WenQuanYi Zen Hei"/>
        <family val="2"/>
      </rPr>
      <t xml:space="preserve">우리 조직에서는 요구사항 목록이 내부감사 점검 기준에 입력될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</si>
  <si>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AW</t>
  </si>
  <si>
    <r>
      <rPr>
        <sz val="10"/>
        <color rgb="FF000000"/>
        <rFont val="WenQuanYi Zen Hei"/>
        <family val="2"/>
      </rPr>
      <t xml:space="preserve">우리 조직에서는 내부감사 점검 기준에서 근거가 된 요구사항 목록을 거슬러 찾아 확인할 수 있다</t>
    </r>
    <r>
      <rPr>
        <sz val="10"/>
        <color rgb="FF000000"/>
        <rFont val="맑은 고딕"/>
        <family val="0"/>
        <charset val="1"/>
      </rPr>
      <t xml:space="preserve">.</t>
    </r>
  </si>
  <si>
    <t xml:space="preserve">AX</t>
  </si>
  <si>
    <r>
      <rPr>
        <sz val="10"/>
        <color rgb="FF000000"/>
        <rFont val="WenQuanYi Zen Hei"/>
        <family val="2"/>
      </rPr>
      <t xml:space="preserve">우리 조직에서는 요구사항 목록이 내부감사 점검 기준에 입력될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</si>
  <si>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AY</t>
  </si>
  <si>
    <r>
      <rPr>
        <sz val="10"/>
        <color rgb="FF000000"/>
        <rFont val="WenQuanYi Zen Hei"/>
        <family val="2"/>
      </rPr>
      <t xml:space="preserve">우리 조직에서는 요구사항 목록이 내부감사 점검 기준에 입력될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</si>
  <si>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AZ</t>
  </si>
  <si>
    <r>
      <rPr>
        <sz val="10"/>
        <color rgb="FF000000"/>
        <rFont val="WenQuanYi Zen Hei"/>
        <family val="2"/>
      </rPr>
      <t xml:space="preserve">우리 조직에서는 요구사항 목록이 바뀌면</t>
    </r>
    <r>
      <rPr>
        <sz val="10"/>
        <color rgb="FF000000"/>
        <rFont val="맑은 고딕"/>
        <family val="0"/>
        <charset val="1"/>
      </rPr>
      <t xml:space="preserve">, </t>
    </r>
    <r>
      <rPr>
        <sz val="10"/>
        <color rgb="FF000000"/>
        <rFont val="WenQuanYi Zen Hei"/>
        <family val="2"/>
      </rPr>
      <t xml:space="preserve">내부감사 점검 기준에 정해진 기간 안에 반영된다</t>
    </r>
    <r>
      <rPr>
        <sz val="10"/>
        <color rgb="FF000000"/>
        <rFont val="맑은 고딕"/>
        <family val="0"/>
        <charset val="1"/>
      </rPr>
      <t xml:space="preserve">.</t>
    </r>
  </si>
  <si>
    <t xml:space="preserve">BA</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</si>
  <si>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요구사항이 공급업체 선정</t>
    </r>
    <r>
      <rPr>
        <sz val="10"/>
        <color rgb="FF000000"/>
        <rFont val="맑은 고딕"/>
        <family val="0"/>
        <charset val="1"/>
      </rPr>
      <t xml:space="preserve">·</t>
    </r>
    <r>
      <rPr>
        <sz val="10"/>
        <color rgb="FF000000"/>
        <rFont val="WenQuanYi Zen Hei"/>
        <family val="2"/>
      </rPr>
      <t xml:space="preserve">계약 조건에 입력될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</si>
  <si>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BB</t>
  </si>
  <si>
    <r>
      <rPr>
        <sz val="10"/>
        <color rgb="FF000000"/>
        <rFont val="WenQuanYi Zen Hei"/>
        <family val="2"/>
      </rPr>
      <t xml:space="preserve">우리 조직에서는 공급업체 선정</t>
    </r>
    <r>
      <rPr>
        <sz val="10"/>
        <color rgb="FF000000"/>
        <rFont val="맑은 고딕"/>
        <family val="0"/>
        <charset val="1"/>
      </rPr>
      <t xml:space="preserve">·</t>
    </r>
    <r>
      <rPr>
        <sz val="10"/>
        <color rgb="FF000000"/>
        <rFont val="WenQuanYi Zen Hei"/>
        <family val="2"/>
      </rPr>
      <t xml:space="preserve">계약 조건에서 근거가 된 </t>
    </r>
    <r>
      <rPr>
        <sz val="10"/>
        <color rgb="FF000000"/>
        <rFont val="맑은 고딕"/>
        <family val="0"/>
        <charset val="1"/>
      </rPr>
      <t xml:space="preserve">BC </t>
    </r>
    <r>
      <rPr>
        <sz val="10"/>
        <color rgb="FF000000"/>
        <rFont val="WenQuanYi Zen Hei"/>
        <family val="2"/>
      </rPr>
      <t xml:space="preserve">요구사항을 거슬러 찾아 확인할 수 있다</t>
    </r>
    <r>
      <rPr>
        <sz val="10"/>
        <color rgb="FF000000"/>
        <rFont val="맑은 고딕"/>
        <family val="0"/>
        <charset val="1"/>
      </rPr>
      <t xml:space="preserve">.</t>
    </r>
  </si>
  <si>
    <t xml:space="preserve">BC</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</si>
  <si>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요구사항이 공급업체 선정</t>
    </r>
    <r>
      <rPr>
        <sz val="10"/>
        <color rgb="FF000000"/>
        <rFont val="맑은 고딕"/>
        <family val="0"/>
        <charset val="1"/>
      </rPr>
      <t xml:space="preserve">·</t>
    </r>
    <r>
      <rPr>
        <sz val="10"/>
        <color rgb="FF000000"/>
        <rFont val="WenQuanYi Zen Hei"/>
        <family val="2"/>
      </rPr>
      <t xml:space="preserve">계약 조건에 입력될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</si>
  <si>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BD</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</si>
  <si>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요구사항이 공급업체 선정</t>
    </r>
    <r>
      <rPr>
        <sz val="10"/>
        <color rgb="FF000000"/>
        <rFont val="맑은 고딕"/>
        <family val="0"/>
        <charset val="1"/>
      </rPr>
      <t xml:space="preserve">·</t>
    </r>
    <r>
      <rPr>
        <sz val="10"/>
        <color rgb="FF000000"/>
        <rFont val="WenQuanYi Zen Hei"/>
        <family val="2"/>
      </rPr>
      <t xml:space="preserve">계약 조건에 입력될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</si>
  <si>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BE</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</si>
  <si>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요구사항이 바뀌면</t>
    </r>
    <r>
      <rPr>
        <sz val="10"/>
        <color rgb="FF000000"/>
        <rFont val="맑은 고딕"/>
        <family val="0"/>
        <charset val="1"/>
      </rPr>
      <t xml:space="preserve">, </t>
    </r>
    <r>
      <rPr>
        <sz val="10"/>
        <color rgb="FF000000"/>
        <rFont val="WenQuanYi Zen Hei"/>
        <family val="2"/>
      </rPr>
      <t xml:space="preserve">공급업체 선정</t>
    </r>
    <r>
      <rPr>
        <sz val="10"/>
        <color rgb="FF000000"/>
        <rFont val="맑은 고딕"/>
        <family val="0"/>
        <charset val="1"/>
      </rPr>
      <t xml:space="preserve">·</t>
    </r>
    <r>
      <rPr>
        <sz val="10"/>
        <color rgb="FF000000"/>
        <rFont val="WenQuanYi Zen Hei"/>
        <family val="2"/>
      </rPr>
      <t xml:space="preserve">계약 조건에 정해진 기간 안에 반영된다</t>
    </r>
    <r>
      <rPr>
        <sz val="10"/>
        <color rgb="FF000000"/>
        <rFont val="맑은 고딕"/>
        <family val="0"/>
        <charset val="1"/>
      </rPr>
      <t xml:space="preserve">.</t>
    </r>
  </si>
  <si>
    <t xml:space="preserve">BF</t>
  </si>
  <si>
    <r>
      <rPr>
        <sz val="10"/>
        <color rgb="FF000000"/>
        <rFont val="WenQuanYi Zen Hei"/>
        <family val="2"/>
      </rPr>
      <t xml:space="preserve">우리 조직에서는 승인된 </t>
    </r>
    <r>
      <rPr>
        <sz val="10"/>
        <color rgb="FF000000"/>
        <rFont val="맑은 고딕"/>
        <family val="0"/>
        <charset val="1"/>
      </rPr>
      <t xml:space="preserve">BIA </t>
    </r>
    <r>
      <rPr>
        <sz val="10"/>
        <color rgb="FF000000"/>
        <rFont val="WenQuanYi Zen Hei"/>
        <family val="2"/>
      </rPr>
      <t xml:space="preserve">결과가 전략</t>
    </r>
    <r>
      <rPr>
        <sz val="10"/>
        <color rgb="FF000000"/>
        <rFont val="맑은 고딕"/>
        <family val="0"/>
        <charset val="1"/>
      </rPr>
      <t xml:space="preserve">·</t>
    </r>
    <r>
      <rPr>
        <sz val="10"/>
        <color rgb="FF000000"/>
        <rFont val="WenQuanYi Zen Hei"/>
        <family val="2"/>
      </rPr>
      <t xml:space="preserve">솔루션 선정의 근거가 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</si>
  <si>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BG</t>
  </si>
  <si>
    <r>
      <rPr>
        <sz val="10"/>
        <color rgb="FF000000"/>
        <rFont val="WenQuanYi Zen Hei"/>
        <family val="2"/>
      </rPr>
      <t xml:space="preserve">우리 조직에서는 전략</t>
    </r>
    <r>
      <rPr>
        <sz val="10"/>
        <color rgb="FF000000"/>
        <rFont val="맑은 고딕"/>
        <family val="0"/>
        <charset val="1"/>
      </rPr>
      <t xml:space="preserve">·</t>
    </r>
    <r>
      <rPr>
        <sz val="10"/>
        <color rgb="FF000000"/>
        <rFont val="WenQuanYi Zen Hei"/>
        <family val="2"/>
      </rPr>
      <t xml:space="preserve">솔루션 선정 결과에서 근거가 된 승인된 </t>
    </r>
    <r>
      <rPr>
        <sz val="10"/>
        <color rgb="FF000000"/>
        <rFont val="맑은 고딕"/>
        <family val="0"/>
        <charset val="1"/>
      </rPr>
      <t xml:space="preserve">BIA </t>
    </r>
    <r>
      <rPr>
        <sz val="10"/>
        <color rgb="FF000000"/>
        <rFont val="WenQuanYi Zen Hei"/>
        <family val="2"/>
      </rPr>
      <t xml:space="preserve">결과를 거슬러 찾아 확인할 수 있다</t>
    </r>
    <r>
      <rPr>
        <sz val="10"/>
        <color rgb="FF000000"/>
        <rFont val="맑은 고딕"/>
        <family val="0"/>
        <charset val="1"/>
      </rPr>
      <t xml:space="preserve">.</t>
    </r>
  </si>
  <si>
    <t xml:space="preserve">BH</t>
  </si>
  <si>
    <r>
      <rPr>
        <sz val="10"/>
        <color rgb="FF000000"/>
        <rFont val="WenQuanYi Zen Hei"/>
        <family val="2"/>
      </rPr>
      <t xml:space="preserve">우리 조직에서는 승인된 </t>
    </r>
    <r>
      <rPr>
        <sz val="10"/>
        <color rgb="FF000000"/>
        <rFont val="맑은 고딕"/>
        <family val="0"/>
        <charset val="1"/>
      </rPr>
      <t xml:space="preserve">BIA </t>
    </r>
    <r>
      <rPr>
        <sz val="10"/>
        <color rgb="FF000000"/>
        <rFont val="WenQuanYi Zen Hei"/>
        <family val="2"/>
      </rPr>
      <t xml:space="preserve">결과가 전략</t>
    </r>
    <r>
      <rPr>
        <sz val="10"/>
        <color rgb="FF000000"/>
        <rFont val="맑은 고딕"/>
        <family val="0"/>
        <charset val="1"/>
      </rPr>
      <t xml:space="preserve">·</t>
    </r>
    <r>
      <rPr>
        <sz val="10"/>
        <color rgb="FF000000"/>
        <rFont val="WenQuanYi Zen Hei"/>
        <family val="2"/>
      </rPr>
      <t xml:space="preserve">솔루션 선정의 근거가 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</si>
  <si>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BI</t>
  </si>
  <si>
    <r>
      <rPr>
        <sz val="10"/>
        <color rgb="FF000000"/>
        <rFont val="WenQuanYi Zen Hei"/>
        <family val="2"/>
      </rPr>
      <t xml:space="preserve">우리 조직에서는 승인된 </t>
    </r>
    <r>
      <rPr>
        <sz val="10"/>
        <color rgb="FF000000"/>
        <rFont val="맑은 고딕"/>
        <family val="0"/>
        <charset val="1"/>
      </rPr>
      <t xml:space="preserve">BIA </t>
    </r>
    <r>
      <rPr>
        <sz val="10"/>
        <color rgb="FF000000"/>
        <rFont val="WenQuanYi Zen Hei"/>
        <family val="2"/>
      </rPr>
      <t xml:space="preserve">결과가 전략</t>
    </r>
    <r>
      <rPr>
        <sz val="10"/>
        <color rgb="FF000000"/>
        <rFont val="맑은 고딕"/>
        <family val="0"/>
        <charset val="1"/>
      </rPr>
      <t xml:space="preserve">·</t>
    </r>
    <r>
      <rPr>
        <sz val="10"/>
        <color rgb="FF000000"/>
        <rFont val="WenQuanYi Zen Hei"/>
        <family val="2"/>
      </rPr>
      <t xml:space="preserve">솔루션 선정의 근거가 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</si>
  <si>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BJ</t>
  </si>
  <si>
    <r>
      <rPr>
        <sz val="10"/>
        <color rgb="FF000000"/>
        <rFont val="WenQuanYi Zen Hei"/>
        <family val="2"/>
      </rPr>
      <t xml:space="preserve">우리 조직에서는 승인된 </t>
    </r>
    <r>
      <rPr>
        <sz val="10"/>
        <color rgb="FF000000"/>
        <rFont val="맑은 고딕"/>
        <family val="0"/>
        <charset val="1"/>
      </rPr>
      <t xml:space="preserve">BIA </t>
    </r>
    <r>
      <rPr>
        <sz val="10"/>
        <color rgb="FF000000"/>
        <rFont val="WenQuanYi Zen Hei"/>
        <family val="2"/>
      </rPr>
      <t xml:space="preserve">결과가 바뀌면</t>
    </r>
    <r>
      <rPr>
        <sz val="10"/>
        <color rgb="FF000000"/>
        <rFont val="맑은 고딕"/>
        <family val="0"/>
        <charset val="1"/>
      </rPr>
      <t xml:space="preserve">,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선정 결과에 정해진 기간 안에 반영된다</t>
    </r>
    <r>
      <rPr>
        <sz val="10"/>
        <color rgb="FF000000"/>
        <rFont val="맑은 고딕"/>
        <family val="0"/>
        <charset val="1"/>
      </rPr>
      <t xml:space="preserve">.</t>
    </r>
  </si>
  <si>
    <t xml:space="preserve">BK</t>
  </si>
  <si>
    <r>
      <rPr>
        <sz val="10"/>
        <color rgb="FF000000"/>
        <rFont val="WenQuanYi Zen Hei"/>
        <family val="2"/>
      </rPr>
      <t xml:space="preserve">우리 조직에서는 선정된 전략</t>
    </r>
    <r>
      <rPr>
        <sz val="10"/>
        <color rgb="FF000000"/>
        <rFont val="맑은 고딕"/>
        <family val="0"/>
        <charset val="1"/>
      </rPr>
      <t xml:space="preserve">·</t>
    </r>
    <r>
      <rPr>
        <sz val="10"/>
        <color rgb="FF000000"/>
        <rFont val="WenQuanYi Zen Hei"/>
        <family val="2"/>
      </rPr>
      <t xml:space="preserve">솔루션이 솔루션 이행 계획으로 구체화되어 실행될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</si>
  <si>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BL</t>
  </si>
  <si>
    <r>
      <rPr>
        <sz val="10"/>
        <color rgb="FF000000"/>
        <rFont val="WenQuanYi Zen Hei"/>
        <family val="2"/>
      </rPr>
      <t xml:space="preserve">우리 조직에서는 솔루션 이행 계획에서 근거가 된 선정된 전략</t>
    </r>
    <r>
      <rPr>
        <sz val="10"/>
        <color rgb="FF000000"/>
        <rFont val="맑은 고딕"/>
        <family val="0"/>
        <charset val="1"/>
      </rPr>
      <t xml:space="preserve">·</t>
    </r>
    <r>
      <rPr>
        <sz val="10"/>
        <color rgb="FF000000"/>
        <rFont val="WenQuanYi Zen Hei"/>
        <family val="2"/>
      </rPr>
      <t xml:space="preserve">솔루션을 거슬러 찾아 확인할 수 있다</t>
    </r>
    <r>
      <rPr>
        <sz val="10"/>
        <color rgb="FF000000"/>
        <rFont val="맑은 고딕"/>
        <family val="0"/>
        <charset val="1"/>
      </rPr>
      <t xml:space="preserve">.</t>
    </r>
  </si>
  <si>
    <t xml:space="preserve">BM</t>
  </si>
  <si>
    <r>
      <rPr>
        <sz val="10"/>
        <color rgb="FF000000"/>
        <rFont val="WenQuanYi Zen Hei"/>
        <family val="2"/>
      </rPr>
      <t xml:space="preserve">우리 조직에서는 선정된 전략</t>
    </r>
    <r>
      <rPr>
        <sz val="10"/>
        <color rgb="FF000000"/>
        <rFont val="맑은 고딕"/>
        <family val="0"/>
        <charset val="1"/>
      </rPr>
      <t xml:space="preserve">·</t>
    </r>
    <r>
      <rPr>
        <sz val="10"/>
        <color rgb="FF000000"/>
        <rFont val="WenQuanYi Zen Hei"/>
        <family val="2"/>
      </rPr>
      <t xml:space="preserve">솔루션이 솔루션 이행 계획으로 구체화되어 실행될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</si>
  <si>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BN</t>
  </si>
  <si>
    <r>
      <rPr>
        <sz val="10"/>
        <color rgb="FF000000"/>
        <rFont val="WenQuanYi Zen Hei"/>
        <family val="2"/>
      </rPr>
      <t xml:space="preserve">우리 조직에서는 선정된 전략</t>
    </r>
    <r>
      <rPr>
        <sz val="10"/>
        <color rgb="FF000000"/>
        <rFont val="맑은 고딕"/>
        <family val="0"/>
        <charset val="1"/>
      </rPr>
      <t xml:space="preserve">·</t>
    </r>
    <r>
      <rPr>
        <sz val="10"/>
        <color rgb="FF000000"/>
        <rFont val="WenQuanYi Zen Hei"/>
        <family val="2"/>
      </rPr>
      <t xml:space="preserve">솔루션이 솔루션 이행 계획으로 구체화되어 실행될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</si>
  <si>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BO</t>
  </si>
  <si>
    <r>
      <rPr>
        <sz val="10"/>
        <color rgb="FF000000"/>
        <rFont val="WenQuanYi Zen Hei"/>
        <family val="2"/>
      </rPr>
      <t xml:space="preserve">우리 조직에서는 선정된 전략</t>
    </r>
    <r>
      <rPr>
        <sz val="10"/>
        <color rgb="FF000000"/>
        <rFont val="맑은 고딕"/>
        <family val="0"/>
        <charset val="1"/>
      </rPr>
      <t xml:space="preserve">·</t>
    </r>
    <r>
      <rPr>
        <sz val="10"/>
        <color rgb="FF000000"/>
        <rFont val="WenQuanYi Zen Hei"/>
        <family val="2"/>
      </rPr>
      <t xml:space="preserve">솔루션이 바뀌면</t>
    </r>
    <r>
      <rPr>
        <sz val="10"/>
        <color rgb="FF000000"/>
        <rFont val="맑은 고딕"/>
        <family val="0"/>
        <charset val="1"/>
      </rPr>
      <t xml:space="preserve">, </t>
    </r>
    <r>
      <rPr>
        <sz val="10"/>
        <color rgb="FF000000"/>
        <rFont val="WenQuanYi Zen Hei"/>
        <family val="2"/>
      </rPr>
      <t xml:space="preserve">솔루션 이행 계획에 정해진 기간 안에 반영된다</t>
    </r>
    <r>
      <rPr>
        <sz val="10"/>
        <color rgb="FF000000"/>
        <rFont val="맑은 고딕"/>
        <family val="0"/>
        <charset val="1"/>
      </rPr>
      <t xml:space="preserve">.</t>
    </r>
  </si>
  <si>
    <t xml:space="preserve">BP</t>
  </si>
  <si>
    <r>
      <rPr>
        <sz val="10"/>
        <color rgb="FF000000"/>
        <rFont val="WenQuanYi Zen Hei"/>
        <family val="2"/>
      </rPr>
      <t xml:space="preserve">우리 조직에서는 선정된 전략</t>
    </r>
    <r>
      <rPr>
        <sz val="10"/>
        <color rgb="FF000000"/>
        <rFont val="맑은 고딕"/>
        <family val="0"/>
        <charset val="1"/>
      </rPr>
      <t xml:space="preserve">·</t>
    </r>
    <r>
      <rPr>
        <sz val="10"/>
        <color rgb="FF000000"/>
        <rFont val="WenQuanYi Zen Hei"/>
        <family val="2"/>
      </rPr>
      <t xml:space="preserve">솔루션에서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도출될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</si>
  <si>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BQ</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</si>
  <si>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절차에서 근거가 된 선정된 전략</t>
    </r>
    <r>
      <rPr>
        <sz val="10"/>
        <color rgb="FF000000"/>
        <rFont val="맑은 고딕"/>
        <family val="0"/>
        <charset val="1"/>
      </rPr>
      <t xml:space="preserve">·</t>
    </r>
    <r>
      <rPr>
        <sz val="10"/>
        <color rgb="FF000000"/>
        <rFont val="WenQuanYi Zen Hei"/>
        <family val="2"/>
      </rPr>
      <t xml:space="preserve">솔루션을 거슬러 찾아 확인할 수 있다</t>
    </r>
    <r>
      <rPr>
        <sz val="10"/>
        <color rgb="FF000000"/>
        <rFont val="맑은 고딕"/>
        <family val="0"/>
        <charset val="1"/>
      </rPr>
      <t xml:space="preserve">.</t>
    </r>
  </si>
  <si>
    <t xml:space="preserve">BR</t>
  </si>
  <si>
    <r>
      <rPr>
        <sz val="10"/>
        <color rgb="FF000000"/>
        <rFont val="WenQuanYi Zen Hei"/>
        <family val="2"/>
      </rPr>
      <t xml:space="preserve">우리 조직에서는 선정된 전략</t>
    </r>
    <r>
      <rPr>
        <sz val="10"/>
        <color rgb="FF000000"/>
        <rFont val="맑은 고딕"/>
        <family val="0"/>
        <charset val="1"/>
      </rPr>
      <t xml:space="preserve">·</t>
    </r>
    <r>
      <rPr>
        <sz val="10"/>
        <color rgb="FF000000"/>
        <rFont val="WenQuanYi Zen Hei"/>
        <family val="2"/>
      </rPr>
      <t xml:space="preserve">솔루션에서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도출될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</si>
  <si>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BS</t>
  </si>
  <si>
    <r>
      <rPr>
        <sz val="10"/>
        <color rgb="FF000000"/>
        <rFont val="WenQuanYi Zen Hei"/>
        <family val="2"/>
      </rPr>
      <t xml:space="preserve">우리 조직에서는 선정된 전략</t>
    </r>
    <r>
      <rPr>
        <sz val="10"/>
        <color rgb="FF000000"/>
        <rFont val="맑은 고딕"/>
        <family val="0"/>
        <charset val="1"/>
      </rPr>
      <t xml:space="preserve">·</t>
    </r>
    <r>
      <rPr>
        <sz val="10"/>
        <color rgb="FF000000"/>
        <rFont val="WenQuanYi Zen Hei"/>
        <family val="2"/>
      </rPr>
      <t xml:space="preserve">솔루션에서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도출될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</si>
  <si>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BT</t>
  </si>
  <si>
    <r>
      <rPr>
        <sz val="10"/>
        <color rgb="FF000000"/>
        <rFont val="WenQuanYi Zen Hei"/>
        <family val="2"/>
      </rPr>
      <t xml:space="preserve">우리 조직에서는 선정된 전략</t>
    </r>
    <r>
      <rPr>
        <sz val="10"/>
        <color rgb="FF000000"/>
        <rFont val="맑은 고딕"/>
        <family val="0"/>
        <charset val="1"/>
      </rPr>
      <t xml:space="preserve">·</t>
    </r>
    <r>
      <rPr>
        <sz val="10"/>
        <color rgb="FF000000"/>
        <rFont val="WenQuanYi Zen Hei"/>
        <family val="2"/>
      </rPr>
      <t xml:space="preserve">솔루션이 바뀌면</t>
    </r>
    <r>
      <rPr>
        <sz val="10"/>
        <color rgb="FF000000"/>
        <rFont val="맑은 고딕"/>
        <family val="0"/>
        <charset val="1"/>
      </rPr>
      <t xml:space="preserv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 정해진 기간 안에 반영된다</t>
    </r>
    <r>
      <rPr>
        <sz val="10"/>
        <color rgb="FF000000"/>
        <rFont val="맑은 고딕"/>
        <family val="0"/>
        <charset val="1"/>
      </rPr>
      <t xml:space="preserve">.</t>
    </r>
  </si>
  <si>
    <t xml:space="preserve">BU</t>
  </si>
  <si>
    <r>
      <rPr>
        <sz val="10"/>
        <color rgb="FF000000"/>
        <rFont val="WenQuanYi Zen Hei"/>
        <family val="2"/>
      </rPr>
      <t xml:space="preserve">우리 조직에서는 리스크평가 결과</t>
    </r>
    <r>
      <rPr>
        <sz val="10"/>
        <color rgb="FF000000"/>
        <rFont val="맑은 고딕"/>
        <family val="0"/>
        <charset val="1"/>
      </rPr>
      <t xml:space="preserve">(</t>
    </r>
    <r>
      <rPr>
        <sz val="10"/>
        <color rgb="FF000000"/>
        <rFont val="WenQuanYi Zen Hei"/>
        <family val="2"/>
      </rPr>
      <t xml:space="preserve">위협 시나리오</t>
    </r>
    <r>
      <rPr>
        <sz val="10"/>
        <color rgb="FF000000"/>
        <rFont val="맑은 고딕"/>
        <family val="0"/>
        <charset val="1"/>
      </rPr>
      <t xml:space="preserve">)</t>
    </r>
    <r>
      <rPr>
        <sz val="10"/>
        <color rgb="FF000000"/>
        <rFont val="WenQuanYi Zen Hei"/>
        <family val="2"/>
      </rPr>
      <t xml:space="preserve">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개발에 입력될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</si>
  <si>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BV</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</si>
  <si>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절차에서 근거가 된 리스크평가 결과를 거슬러 찾아 확인할 수 있다</t>
    </r>
    <r>
      <rPr>
        <sz val="10"/>
        <color rgb="FF000000"/>
        <rFont val="맑은 고딕"/>
        <family val="0"/>
        <charset val="1"/>
      </rPr>
      <t xml:space="preserve">.</t>
    </r>
  </si>
  <si>
    <t xml:space="preserve">BW</t>
  </si>
  <si>
    <r>
      <rPr>
        <sz val="10"/>
        <color rgb="FF000000"/>
        <rFont val="WenQuanYi Zen Hei"/>
        <family val="2"/>
      </rPr>
      <t xml:space="preserve">우리 조직에서는 리스크평가 결과</t>
    </r>
    <r>
      <rPr>
        <sz val="10"/>
        <color rgb="FF000000"/>
        <rFont val="맑은 고딕"/>
        <family val="0"/>
        <charset val="1"/>
      </rPr>
      <t xml:space="preserve">(</t>
    </r>
    <r>
      <rPr>
        <sz val="10"/>
        <color rgb="FF000000"/>
        <rFont val="WenQuanYi Zen Hei"/>
        <family val="2"/>
      </rPr>
      <t xml:space="preserve">위협 시나리오</t>
    </r>
    <r>
      <rPr>
        <sz val="10"/>
        <color rgb="FF000000"/>
        <rFont val="맑은 고딕"/>
        <family val="0"/>
        <charset val="1"/>
      </rPr>
      <t xml:space="preserve">)</t>
    </r>
    <r>
      <rPr>
        <sz val="10"/>
        <color rgb="FF000000"/>
        <rFont val="WenQuanYi Zen Hei"/>
        <family val="2"/>
      </rPr>
      <t xml:space="preserve">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개발에 입력될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</si>
  <si>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BX</t>
  </si>
  <si>
    <r>
      <rPr>
        <sz val="10"/>
        <color rgb="FF000000"/>
        <rFont val="WenQuanYi Zen Hei"/>
        <family val="2"/>
      </rPr>
      <t xml:space="preserve">우리 조직에서는 리스크평가 결과</t>
    </r>
    <r>
      <rPr>
        <sz val="10"/>
        <color rgb="FF000000"/>
        <rFont val="맑은 고딕"/>
        <family val="0"/>
        <charset val="1"/>
      </rPr>
      <t xml:space="preserve">(</t>
    </r>
    <r>
      <rPr>
        <sz val="10"/>
        <color rgb="FF000000"/>
        <rFont val="WenQuanYi Zen Hei"/>
        <family val="2"/>
      </rPr>
      <t xml:space="preserve">위협 시나리오</t>
    </r>
    <r>
      <rPr>
        <sz val="10"/>
        <color rgb="FF000000"/>
        <rFont val="맑은 고딕"/>
        <family val="0"/>
        <charset val="1"/>
      </rPr>
      <t xml:space="preserve">)</t>
    </r>
    <r>
      <rPr>
        <sz val="10"/>
        <color rgb="FF000000"/>
        <rFont val="WenQuanYi Zen Hei"/>
        <family val="2"/>
      </rPr>
      <t xml:space="preserve">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개발에 입력될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</si>
  <si>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BY</t>
  </si>
  <si>
    <r>
      <rPr>
        <sz val="10"/>
        <color rgb="FF000000"/>
        <rFont val="WenQuanYi Zen Hei"/>
        <family val="2"/>
      </rPr>
      <t xml:space="preserve">우리 조직에서는 리스크평가 결과가 바뀌면</t>
    </r>
    <r>
      <rPr>
        <sz val="10"/>
        <color rgb="FF000000"/>
        <rFont val="맑은 고딕"/>
        <family val="0"/>
        <charset val="1"/>
      </rPr>
      <t xml:space="preserv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 정해진 기간 안에 반영된다</t>
    </r>
    <r>
      <rPr>
        <sz val="10"/>
        <color rgb="FF000000"/>
        <rFont val="맑은 고딕"/>
        <family val="0"/>
        <charset val="1"/>
      </rPr>
      <t xml:space="preserve">.</t>
    </r>
  </si>
  <si>
    <t xml:space="preserve">BZ</t>
  </si>
  <si>
    <r>
      <rPr>
        <sz val="10"/>
        <color rgb="FF000000"/>
        <rFont val="WenQuanYi Zen Hei"/>
        <family val="2"/>
      </rPr>
      <t xml:space="preserve">우리 조직에서는 솔루션 구현</t>
    </r>
    <r>
      <rPr>
        <sz val="10"/>
        <color rgb="FF000000"/>
        <rFont val="맑은 고딕"/>
        <family val="0"/>
        <charset val="1"/>
      </rPr>
      <t xml:space="preserve">·</t>
    </r>
    <r>
      <rPr>
        <sz val="10"/>
        <color rgb="FF000000"/>
        <rFont val="WenQuanYi Zen Hei"/>
        <family val="2"/>
      </rPr>
      <t xml:space="preserve">운영에 필요한 자원이 자원관리에서 제공될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</si>
  <si>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CA</t>
  </si>
  <si>
    <r>
      <rPr>
        <sz val="10"/>
        <color rgb="FF000000"/>
        <rFont val="WenQuanYi Zen Hei"/>
        <family val="2"/>
      </rPr>
      <t xml:space="preserve">우리 조직에서는 자원 배정 계획에서 근거가 된 솔루션의 필요 자원 요건을 거슬러 찾아 확인할 수 있다</t>
    </r>
    <r>
      <rPr>
        <sz val="10"/>
        <color rgb="FF000000"/>
        <rFont val="맑은 고딕"/>
        <family val="0"/>
        <charset val="1"/>
      </rPr>
      <t xml:space="preserve">.</t>
    </r>
  </si>
  <si>
    <t xml:space="preserve">CB</t>
  </si>
  <si>
    <r>
      <rPr>
        <sz val="10"/>
        <color rgb="FF000000"/>
        <rFont val="WenQuanYi Zen Hei"/>
        <family val="2"/>
      </rPr>
      <t xml:space="preserve">우리 조직에서는 솔루션 구현</t>
    </r>
    <r>
      <rPr>
        <sz val="10"/>
        <color rgb="FF000000"/>
        <rFont val="맑은 고딕"/>
        <family val="0"/>
        <charset val="1"/>
      </rPr>
      <t xml:space="preserve">·</t>
    </r>
    <r>
      <rPr>
        <sz val="10"/>
        <color rgb="FF000000"/>
        <rFont val="WenQuanYi Zen Hei"/>
        <family val="2"/>
      </rPr>
      <t xml:space="preserve">운영에 필요한 자원이 자원관리에서 제공될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</si>
  <si>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CC</t>
  </si>
  <si>
    <r>
      <rPr>
        <sz val="10"/>
        <color rgb="FF000000"/>
        <rFont val="WenQuanYi Zen Hei"/>
        <family val="2"/>
      </rPr>
      <t xml:space="preserve">우리 조직에서는 솔루션 구현</t>
    </r>
    <r>
      <rPr>
        <sz val="10"/>
        <color rgb="FF000000"/>
        <rFont val="맑은 고딕"/>
        <family val="0"/>
        <charset val="1"/>
      </rPr>
      <t xml:space="preserve">·</t>
    </r>
    <r>
      <rPr>
        <sz val="10"/>
        <color rgb="FF000000"/>
        <rFont val="WenQuanYi Zen Hei"/>
        <family val="2"/>
      </rPr>
      <t xml:space="preserve">운영에 필요한 자원이 자원관리에서 제공될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</si>
  <si>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CD</t>
  </si>
  <si>
    <r>
      <rPr>
        <sz val="10"/>
        <color rgb="FF000000"/>
        <rFont val="WenQuanYi Zen Hei"/>
        <family val="2"/>
      </rPr>
      <t xml:space="preserve">우리 조직에서는 솔루션의 필요 자원 요건이 바뀌면</t>
    </r>
    <r>
      <rPr>
        <sz val="10"/>
        <color rgb="FF000000"/>
        <rFont val="맑은 고딕"/>
        <family val="0"/>
        <charset val="1"/>
      </rPr>
      <t xml:space="preserve">, </t>
    </r>
    <r>
      <rPr>
        <sz val="10"/>
        <color rgb="FF000000"/>
        <rFont val="WenQuanYi Zen Hei"/>
        <family val="2"/>
      </rPr>
      <t xml:space="preserve">자원 배정 계획에 정해진 기간 안에 반영된다</t>
    </r>
    <r>
      <rPr>
        <sz val="10"/>
        <color rgb="FF000000"/>
        <rFont val="맑은 고딕"/>
        <family val="0"/>
        <charset val="1"/>
      </rPr>
      <t xml:space="preserve">.</t>
    </r>
  </si>
  <si>
    <t xml:space="preserve">CE</t>
  </si>
  <si>
    <r>
      <rPr>
        <sz val="10"/>
        <color rgb="FF000000"/>
        <rFont val="WenQuanYi Zen Hei"/>
        <family val="2"/>
      </rPr>
      <t xml:space="preserve">우리 조직에서는 </t>
    </r>
    <r>
      <rPr>
        <sz val="10"/>
        <color rgb="FF000000"/>
        <rFont val="맑은 고딕"/>
        <family val="0"/>
        <charset val="1"/>
      </rPr>
      <t xml:space="preserve">BIA</t>
    </r>
    <r>
      <rPr>
        <sz val="10"/>
        <color rgb="FF000000"/>
        <rFont val="WenQuanYi Zen Hei"/>
        <family val="2"/>
      </rPr>
      <t xml:space="preserve">에서 파악한 복구 필요 자원이 자원 계획에 입력될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</si>
  <si>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CF</t>
  </si>
  <si>
    <r>
      <rPr>
        <sz val="10"/>
        <color rgb="FF000000"/>
        <rFont val="WenQuanYi Zen Hei"/>
        <family val="2"/>
      </rPr>
      <t xml:space="preserve">우리 조직에서는 자원 계획에서 근거가 된 </t>
    </r>
    <r>
      <rPr>
        <sz val="10"/>
        <color rgb="FF000000"/>
        <rFont val="맑은 고딕"/>
        <family val="0"/>
        <charset val="1"/>
      </rPr>
      <t xml:space="preserve">BIA</t>
    </r>
    <r>
      <rPr>
        <sz val="10"/>
        <color rgb="FF000000"/>
        <rFont val="WenQuanYi Zen Hei"/>
        <family val="2"/>
      </rPr>
      <t xml:space="preserve">의 복구 필요 자원을 거슬러 찾아 확인할 수 있다</t>
    </r>
    <r>
      <rPr>
        <sz val="10"/>
        <color rgb="FF000000"/>
        <rFont val="맑은 고딕"/>
        <family val="0"/>
        <charset val="1"/>
      </rPr>
      <t xml:space="preserve">.</t>
    </r>
  </si>
  <si>
    <t xml:space="preserve">CG</t>
  </si>
  <si>
    <r>
      <rPr>
        <sz val="10"/>
        <color rgb="FF000000"/>
        <rFont val="WenQuanYi Zen Hei"/>
        <family val="2"/>
      </rPr>
      <t xml:space="preserve">우리 조직에서는 </t>
    </r>
    <r>
      <rPr>
        <sz val="10"/>
        <color rgb="FF000000"/>
        <rFont val="맑은 고딕"/>
        <family val="0"/>
        <charset val="1"/>
      </rPr>
      <t xml:space="preserve">BIA</t>
    </r>
    <r>
      <rPr>
        <sz val="10"/>
        <color rgb="FF000000"/>
        <rFont val="WenQuanYi Zen Hei"/>
        <family val="2"/>
      </rPr>
      <t xml:space="preserve">에서 파악한 복구 필요 자원이 자원 계획에 입력될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</si>
  <si>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CH</t>
  </si>
  <si>
    <r>
      <rPr>
        <sz val="10"/>
        <color rgb="FF000000"/>
        <rFont val="WenQuanYi Zen Hei"/>
        <family val="2"/>
      </rPr>
      <t xml:space="preserve">우리 조직에서는 </t>
    </r>
    <r>
      <rPr>
        <sz val="10"/>
        <color rgb="FF000000"/>
        <rFont val="맑은 고딕"/>
        <family val="0"/>
        <charset val="1"/>
      </rPr>
      <t xml:space="preserve">BIA</t>
    </r>
    <r>
      <rPr>
        <sz val="10"/>
        <color rgb="FF000000"/>
        <rFont val="WenQuanYi Zen Hei"/>
        <family val="2"/>
      </rPr>
      <t xml:space="preserve">에서 파악한 복구 필요 자원이 자원 계획에 입력될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</si>
  <si>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r>
      <rPr>
        <sz val="10"/>
        <color rgb="FF000000"/>
        <rFont val="WenQuanYi Zen Hei"/>
        <family val="2"/>
      </rPr>
      <t xml:space="preserve">우리 조직에서는 </t>
    </r>
    <r>
      <rPr>
        <sz val="10"/>
        <color rgb="FF000000"/>
        <rFont val="맑은 고딕"/>
        <family val="0"/>
        <charset val="1"/>
      </rPr>
      <t xml:space="preserve">BIA</t>
    </r>
    <r>
      <rPr>
        <sz val="10"/>
        <color rgb="FF000000"/>
        <rFont val="WenQuanYi Zen Hei"/>
        <family val="2"/>
      </rPr>
      <t xml:space="preserve">의 복구 필요 자원이 바뀌면</t>
    </r>
    <r>
      <rPr>
        <sz val="10"/>
        <color rgb="FF000000"/>
        <rFont val="맑은 고딕"/>
        <family val="0"/>
        <charset val="1"/>
      </rPr>
      <t xml:space="preserve">, </t>
    </r>
    <r>
      <rPr>
        <sz val="10"/>
        <color rgb="FF000000"/>
        <rFont val="WenQuanYi Zen Hei"/>
        <family val="2"/>
      </rPr>
      <t xml:space="preserve">자원 계획에 정해진 기간 안에 반영된다</t>
    </r>
    <r>
      <rPr>
        <sz val="10"/>
        <color rgb="FF000000"/>
        <rFont val="맑은 고딕"/>
        <family val="0"/>
        <charset val="1"/>
      </rPr>
      <t xml:space="preserve">.</t>
    </r>
  </si>
  <si>
    <t xml:space="preserve">CJ</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</si>
  <si>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 따라 사고 대응 체계가 가동될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</si>
  <si>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CK</t>
  </si>
  <si>
    <r>
      <rPr>
        <sz val="10"/>
        <color rgb="FF000000"/>
        <rFont val="WenQuanYi Zen Hei"/>
        <family val="2"/>
      </rPr>
      <t xml:space="preserve">우리 조직에서는 사고 대응 체계</t>
    </r>
    <r>
      <rPr>
        <sz val="10"/>
        <color rgb="FF000000"/>
        <rFont val="맑은 고딕"/>
        <family val="0"/>
        <charset val="1"/>
      </rPr>
      <t xml:space="preserve">(</t>
    </r>
    <r>
      <rPr>
        <sz val="10"/>
        <color rgb="FF000000"/>
        <rFont val="WenQuanYi Zen Hei"/>
        <family val="2"/>
      </rPr>
      <t xml:space="preserve">역할</t>
    </r>
    <r>
      <rPr>
        <sz val="10"/>
        <color rgb="FF000000"/>
        <rFont val="맑은 고딕"/>
        <family val="0"/>
        <charset val="1"/>
      </rPr>
      <t xml:space="preserve">·</t>
    </r>
    <r>
      <rPr>
        <sz val="10"/>
        <color rgb="FF000000"/>
        <rFont val="WenQuanYi Zen Hei"/>
        <family val="2"/>
      </rPr>
      <t xml:space="preserve">가동 기준</t>
    </r>
    <r>
      <rPr>
        <sz val="10"/>
        <color rgb="FF000000"/>
        <rFont val="맑은 고딕"/>
        <family val="0"/>
        <charset val="1"/>
      </rPr>
      <t xml:space="preserve">)</t>
    </r>
    <r>
      <rPr>
        <sz val="10"/>
        <color rgb="FF000000"/>
        <rFont val="WenQuanYi Zen Hei"/>
        <family val="2"/>
      </rPr>
      <t xml:space="preserve">에서 근거가 된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절차를 거슬러 찾아 확인할 수 있다</t>
    </r>
    <r>
      <rPr>
        <sz val="10"/>
        <color rgb="FF000000"/>
        <rFont val="맑은 고딕"/>
        <family val="0"/>
        <charset val="1"/>
      </rPr>
      <t xml:space="preserve">.</t>
    </r>
  </si>
  <si>
    <t xml:space="preserve">CL</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</si>
  <si>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 따라 사고 대응 체계가 가동될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</si>
  <si>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CM</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</si>
  <si>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 따라 사고 대응 체계가 가동될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</si>
  <si>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CN</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</si>
  <si>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바뀌면</t>
    </r>
    <r>
      <rPr>
        <sz val="10"/>
        <color rgb="FF000000"/>
        <rFont val="맑은 고딕"/>
        <family val="0"/>
        <charset val="1"/>
      </rPr>
      <t xml:space="preserve">, </t>
    </r>
    <r>
      <rPr>
        <sz val="10"/>
        <color rgb="FF000000"/>
        <rFont val="WenQuanYi Zen Hei"/>
        <family val="2"/>
      </rPr>
      <t xml:space="preserve">사고 대응 체계</t>
    </r>
    <r>
      <rPr>
        <sz val="10"/>
        <color rgb="FF000000"/>
        <rFont val="맑은 고딕"/>
        <family val="0"/>
        <charset val="1"/>
      </rPr>
      <t xml:space="preserve">(</t>
    </r>
    <r>
      <rPr>
        <sz val="10"/>
        <color rgb="FF000000"/>
        <rFont val="WenQuanYi Zen Hei"/>
        <family val="2"/>
      </rPr>
      <t xml:space="preserve">역할</t>
    </r>
    <r>
      <rPr>
        <sz val="10"/>
        <color rgb="FF000000"/>
        <rFont val="맑은 고딕"/>
        <family val="0"/>
        <charset val="1"/>
      </rPr>
      <t xml:space="preserve">·</t>
    </r>
    <r>
      <rPr>
        <sz val="10"/>
        <color rgb="FF000000"/>
        <rFont val="WenQuanYi Zen Hei"/>
        <family val="2"/>
      </rPr>
      <t xml:space="preserve">가동 기준</t>
    </r>
    <r>
      <rPr>
        <sz val="10"/>
        <color rgb="FF000000"/>
        <rFont val="맑은 고딕"/>
        <family val="0"/>
        <charset val="1"/>
      </rPr>
      <t xml:space="preserve">)</t>
    </r>
    <r>
      <rPr>
        <sz val="10"/>
        <color rgb="FF000000"/>
        <rFont val="WenQuanYi Zen Hei"/>
        <family val="2"/>
      </rPr>
      <t xml:space="preserve">에 정해진 기간 안에 반영된다</t>
    </r>
    <r>
      <rPr>
        <sz val="10"/>
        <color rgb="FF000000"/>
        <rFont val="맑은 고딕"/>
        <family val="0"/>
        <charset val="1"/>
      </rPr>
      <t xml:space="preserve">.</t>
    </r>
  </si>
  <si>
    <r>
      <rPr>
        <sz val="10"/>
        <color rgb="FF000000"/>
        <rFont val="WenQuanYi Zen Hei"/>
        <family val="2"/>
      </rPr>
      <t xml:space="preserve">우리 조직에서는 경보</t>
    </r>
    <r>
      <rPr>
        <sz val="10"/>
        <color rgb="FF000000"/>
        <rFont val="맑은 고딕"/>
        <family val="0"/>
        <charset val="1"/>
      </rPr>
      <t xml:space="preserve">·</t>
    </r>
    <r>
      <rPr>
        <sz val="10"/>
        <color rgb="FF000000"/>
        <rFont val="WenQuanYi Zen Hei"/>
        <family val="2"/>
      </rPr>
      <t xml:space="preserve">상황 전파가 사고 대응 절차의 하위 절차로 수행될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</si>
  <si>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CP</t>
  </si>
  <si>
    <r>
      <rPr>
        <sz val="10"/>
        <color rgb="FF000000"/>
        <rFont val="WenQuanYi Zen Hei"/>
        <family val="2"/>
      </rPr>
      <t xml:space="preserve">우리 조직에서는 경보</t>
    </r>
    <r>
      <rPr>
        <sz val="10"/>
        <color rgb="FF000000"/>
        <rFont val="맑은 고딕"/>
        <family val="0"/>
        <charset val="1"/>
      </rPr>
      <t xml:space="preserve">·</t>
    </r>
    <r>
      <rPr>
        <sz val="10"/>
        <color rgb="FF000000"/>
        <rFont val="WenQuanYi Zen Hei"/>
        <family val="2"/>
      </rPr>
      <t xml:space="preserve">연락 절차</t>
    </r>
    <r>
      <rPr>
        <sz val="10"/>
        <color rgb="FF000000"/>
        <rFont val="맑은 고딕"/>
        <family val="0"/>
        <charset val="1"/>
      </rPr>
      <t xml:space="preserve">(</t>
    </r>
    <r>
      <rPr>
        <sz val="10"/>
        <color rgb="FF000000"/>
        <rFont val="WenQuanYi Zen Hei"/>
        <family val="2"/>
      </rPr>
      <t xml:space="preserve">연락망</t>
    </r>
    <r>
      <rPr>
        <sz val="10"/>
        <color rgb="FF000000"/>
        <rFont val="맑은 고딕"/>
        <family val="0"/>
        <charset val="1"/>
      </rPr>
      <t xml:space="preserve">)</t>
    </r>
    <r>
      <rPr>
        <sz val="10"/>
        <color rgb="FF000000"/>
        <rFont val="WenQuanYi Zen Hei"/>
        <family val="2"/>
      </rPr>
      <t xml:space="preserve">에서 근거가 된 사고 대응 절차를 거슬러 찾아 확인할 수 있다</t>
    </r>
    <r>
      <rPr>
        <sz val="10"/>
        <color rgb="FF000000"/>
        <rFont val="맑은 고딕"/>
        <family val="0"/>
        <charset val="1"/>
      </rPr>
      <t xml:space="preserve">.</t>
    </r>
  </si>
  <si>
    <t xml:space="preserve">CQ</t>
  </si>
  <si>
    <r>
      <rPr>
        <sz val="10"/>
        <color rgb="FF000000"/>
        <rFont val="WenQuanYi Zen Hei"/>
        <family val="2"/>
      </rPr>
      <t xml:space="preserve">우리 조직에서는 경보</t>
    </r>
    <r>
      <rPr>
        <sz val="10"/>
        <color rgb="FF000000"/>
        <rFont val="맑은 고딕"/>
        <family val="0"/>
        <charset val="1"/>
      </rPr>
      <t xml:space="preserve">·</t>
    </r>
    <r>
      <rPr>
        <sz val="10"/>
        <color rgb="FF000000"/>
        <rFont val="WenQuanYi Zen Hei"/>
        <family val="2"/>
      </rPr>
      <t xml:space="preserve">상황 전파가 사고 대응 절차의 하위 절차로 수행될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</si>
  <si>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CR</t>
  </si>
  <si>
    <r>
      <rPr>
        <sz val="10"/>
        <color rgb="FF000000"/>
        <rFont val="WenQuanYi Zen Hei"/>
        <family val="2"/>
      </rPr>
      <t xml:space="preserve">우리 조직에서는 경보</t>
    </r>
    <r>
      <rPr>
        <sz val="10"/>
        <color rgb="FF000000"/>
        <rFont val="맑은 고딕"/>
        <family val="0"/>
        <charset val="1"/>
      </rPr>
      <t xml:space="preserve">·</t>
    </r>
    <r>
      <rPr>
        <sz val="10"/>
        <color rgb="FF000000"/>
        <rFont val="WenQuanYi Zen Hei"/>
        <family val="2"/>
      </rPr>
      <t xml:space="preserve">상황 전파가 사고 대응 절차의 하위 절차로 수행될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</si>
  <si>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CS</t>
  </si>
  <si>
    <r>
      <rPr>
        <sz val="10"/>
        <color rgb="FF000000"/>
        <rFont val="WenQuanYi Zen Hei"/>
        <family val="2"/>
      </rPr>
      <t xml:space="preserve">우리 조직에서는 사고 대응 절차가 바뀌면</t>
    </r>
    <r>
      <rPr>
        <sz val="10"/>
        <color rgb="FF000000"/>
        <rFont val="맑은 고딕"/>
        <family val="0"/>
        <charset val="1"/>
      </rPr>
      <t xml:space="preserve">, </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연락 절차</t>
    </r>
    <r>
      <rPr>
        <sz val="10"/>
        <color rgb="FF000000"/>
        <rFont val="맑은 고딕"/>
        <family val="0"/>
        <charset val="1"/>
      </rPr>
      <t xml:space="preserve">(</t>
    </r>
    <r>
      <rPr>
        <sz val="10"/>
        <color rgb="FF000000"/>
        <rFont val="WenQuanYi Zen Hei"/>
        <family val="2"/>
      </rPr>
      <t xml:space="preserve">연락망</t>
    </r>
    <r>
      <rPr>
        <sz val="10"/>
        <color rgb="FF000000"/>
        <rFont val="맑은 고딕"/>
        <family val="0"/>
        <charset val="1"/>
      </rPr>
      <t xml:space="preserve">)</t>
    </r>
    <r>
      <rPr>
        <sz val="10"/>
        <color rgb="FF000000"/>
        <rFont val="WenQuanYi Zen Hei"/>
        <family val="2"/>
      </rPr>
      <t xml:space="preserve">에 정해진 기간 안에 반영된다</t>
    </r>
    <r>
      <rPr>
        <sz val="10"/>
        <color rgb="FF000000"/>
        <rFont val="맑은 고딕"/>
        <family val="0"/>
        <charset val="1"/>
      </rPr>
      <t xml:space="preserve">.</t>
    </r>
  </si>
  <si>
    <t xml:space="preserve">CT</t>
  </si>
  <si>
    <r>
      <rPr>
        <sz val="10"/>
        <color rgb="FF000000"/>
        <rFont val="WenQuanYi Zen Hei"/>
        <family val="2"/>
      </rPr>
      <t xml:space="preserve">우리 조직에서는 복구가 사고 대응의 하위 절차로 수행되어 대응 결과를 이어받을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</si>
  <si>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CU</t>
  </si>
  <si>
    <r>
      <rPr>
        <sz val="10"/>
        <color rgb="FF000000"/>
        <rFont val="WenQuanYi Zen Hei"/>
        <family val="2"/>
      </rPr>
      <t xml:space="preserve">우리 조직에서는 복구 절차에서 근거가 된 사고 대응 절차를 거슬러 찾아 확인할 수 있다</t>
    </r>
    <r>
      <rPr>
        <sz val="10"/>
        <color rgb="FF000000"/>
        <rFont val="맑은 고딕"/>
        <family val="0"/>
        <charset val="1"/>
      </rPr>
      <t xml:space="preserve">.</t>
    </r>
  </si>
  <si>
    <t xml:space="preserve">CV</t>
  </si>
  <si>
    <r>
      <rPr>
        <sz val="10"/>
        <color rgb="FF000000"/>
        <rFont val="WenQuanYi Zen Hei"/>
        <family val="2"/>
      </rPr>
      <t xml:space="preserve">우리 조직에서는 복구가 사고 대응의 하위 절차로 수행되어 대응 결과를 이어받을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</si>
  <si>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CW</t>
  </si>
  <si>
    <r>
      <rPr>
        <sz val="10"/>
        <color rgb="FF000000"/>
        <rFont val="WenQuanYi Zen Hei"/>
        <family val="2"/>
      </rPr>
      <t xml:space="preserve">우리 조직에서는 복구가 사고 대응의 하위 절차로 수행되어 대응 결과를 이어받을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</si>
  <si>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CX</t>
  </si>
  <si>
    <r>
      <rPr>
        <sz val="10"/>
        <color rgb="FF000000"/>
        <rFont val="WenQuanYi Zen Hei"/>
        <family val="2"/>
      </rPr>
      <t xml:space="preserve">우리 조직에서는 사고 대응 절차가 바뀌면</t>
    </r>
    <r>
      <rPr>
        <sz val="10"/>
        <color rgb="FF000000"/>
        <rFont val="맑은 고딕"/>
        <family val="0"/>
        <charset val="1"/>
      </rPr>
      <t xml:space="preserve">, </t>
    </r>
    <r>
      <rPr>
        <sz val="10"/>
        <color rgb="FF000000"/>
        <rFont val="WenQuanYi Zen Hei"/>
        <family val="2"/>
      </rPr>
      <t xml:space="preserve">복구 절차에 정해진 기간 안에 반영된다</t>
    </r>
    <r>
      <rPr>
        <sz val="10"/>
        <color rgb="FF000000"/>
        <rFont val="맑은 고딕"/>
        <family val="0"/>
        <charset val="1"/>
      </rPr>
      <t xml:space="preserve">.</t>
    </r>
  </si>
  <si>
    <t xml:space="preserve">CY</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</si>
  <si>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훈련</t>
    </r>
    <r>
      <rPr>
        <sz val="10"/>
        <color rgb="FF000000"/>
        <rFont val="맑은 고딕"/>
        <family val="0"/>
        <charset val="1"/>
      </rPr>
      <t xml:space="preserve">·</t>
    </r>
    <r>
      <rPr>
        <sz val="10"/>
        <color rgb="FF000000"/>
        <rFont val="WenQuanYi Zen Hei"/>
        <family val="2"/>
      </rPr>
      <t xml:space="preserve">연습으로 시험될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</si>
  <si>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CZ</t>
  </si>
  <si>
    <r>
      <rPr>
        <sz val="10"/>
        <color rgb="FF000000"/>
        <rFont val="WenQuanYi Zen Hei"/>
        <family val="2"/>
      </rPr>
      <t xml:space="preserve">우리 조직에서는 훈련</t>
    </r>
    <r>
      <rPr>
        <sz val="10"/>
        <color rgb="FF000000"/>
        <rFont val="맑은 고딕"/>
        <family val="0"/>
        <charset val="1"/>
      </rPr>
      <t xml:space="preserve">·</t>
    </r>
    <r>
      <rPr>
        <sz val="10"/>
        <color rgb="FF000000"/>
        <rFont val="WenQuanYi Zen Hei"/>
        <family val="2"/>
      </rPr>
      <t xml:space="preserve">연습 시나리오에서 근거가 된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절차를 거슬러 찾아 확인할 수 있다</t>
    </r>
    <r>
      <rPr>
        <sz val="10"/>
        <color rgb="FF000000"/>
        <rFont val="맑은 고딕"/>
        <family val="0"/>
        <charset val="1"/>
      </rPr>
      <t xml:space="preserve">.</t>
    </r>
  </si>
  <si>
    <t xml:space="preserve">DA</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</si>
  <si>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훈련</t>
    </r>
    <r>
      <rPr>
        <sz val="10"/>
        <color rgb="FF000000"/>
        <rFont val="맑은 고딕"/>
        <family val="0"/>
        <charset val="1"/>
      </rPr>
      <t xml:space="preserve">·</t>
    </r>
    <r>
      <rPr>
        <sz val="10"/>
        <color rgb="FF000000"/>
        <rFont val="WenQuanYi Zen Hei"/>
        <family val="2"/>
      </rPr>
      <t xml:space="preserve">연습으로 시험될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</si>
  <si>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DB</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</si>
  <si>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훈련</t>
    </r>
    <r>
      <rPr>
        <sz val="10"/>
        <color rgb="FF000000"/>
        <rFont val="맑은 고딕"/>
        <family val="0"/>
        <charset val="1"/>
      </rPr>
      <t xml:space="preserve">·</t>
    </r>
    <r>
      <rPr>
        <sz val="10"/>
        <color rgb="FF000000"/>
        <rFont val="WenQuanYi Zen Hei"/>
        <family val="2"/>
      </rPr>
      <t xml:space="preserve">연습으로 시험될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</si>
  <si>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DC</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</si>
  <si>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바뀌면</t>
    </r>
    <r>
      <rPr>
        <sz val="10"/>
        <color rgb="FF000000"/>
        <rFont val="맑은 고딕"/>
        <family val="0"/>
        <charset val="1"/>
      </rPr>
      <t xml:space="preserve">, </t>
    </r>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연습 시나리오에 정해진 기간 안에 반영된다</t>
    </r>
    <r>
      <rPr>
        <sz val="10"/>
        <color rgb="FF000000"/>
        <rFont val="맑은 고딕"/>
        <family val="0"/>
        <charset val="1"/>
      </rPr>
      <t xml:space="preserve">.</t>
    </r>
  </si>
  <si>
    <t xml:space="preserve">DD</t>
  </si>
  <si>
    <r>
      <rPr>
        <sz val="10"/>
        <color rgb="FF000000"/>
        <rFont val="WenQuanYi Zen Hei"/>
        <family val="2"/>
      </rPr>
      <t xml:space="preserve">우리 조직에서는 연습 결과</t>
    </r>
    <r>
      <rPr>
        <sz val="10"/>
        <color rgb="FF000000"/>
        <rFont val="맑은 고딕"/>
        <family val="0"/>
        <charset val="1"/>
      </rPr>
      <t xml:space="preserve">(</t>
    </r>
    <r>
      <rPr>
        <sz val="10"/>
        <color rgb="FF000000"/>
        <rFont val="WenQuanYi Zen Hei"/>
        <family val="2"/>
      </rPr>
      <t xml:space="preserve">문제점</t>
    </r>
    <r>
      <rPr>
        <sz val="10"/>
        <color rgb="FF000000"/>
        <rFont val="맑은 고딕"/>
        <family val="0"/>
        <charset val="1"/>
      </rPr>
      <t xml:space="preserve">·</t>
    </r>
    <r>
      <rPr>
        <sz val="10"/>
        <color rgb="FF000000"/>
        <rFont val="WenQuanYi Zen Hei"/>
        <family val="2"/>
      </rPr>
      <t xml:space="preserve">개선 사항</t>
    </r>
    <r>
      <rPr>
        <sz val="10"/>
        <color rgb="FF000000"/>
        <rFont val="맑은 고딕"/>
        <family val="0"/>
        <charset val="1"/>
      </rPr>
      <t xml:space="preserve">)</t>
    </r>
    <r>
      <rPr>
        <sz val="10"/>
        <color rgb="FF000000"/>
        <rFont val="WenQuanYi Zen Hei"/>
        <family val="2"/>
      </rPr>
      <t xml:space="preserve">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개정으로 이어질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</si>
  <si>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DE</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</si>
  <si>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절차에서 근거가 된 연습 결과를 거슬러 찾아 확인할 수 있다</t>
    </r>
    <r>
      <rPr>
        <sz val="10"/>
        <color rgb="FF000000"/>
        <rFont val="맑은 고딕"/>
        <family val="0"/>
        <charset val="1"/>
      </rPr>
      <t xml:space="preserve">.</t>
    </r>
  </si>
  <si>
    <t xml:space="preserve">DF</t>
  </si>
  <si>
    <r>
      <rPr>
        <sz val="10"/>
        <color rgb="FF000000"/>
        <rFont val="WenQuanYi Zen Hei"/>
        <family val="2"/>
      </rPr>
      <t xml:space="preserve">우리 조직에서는 연습 결과</t>
    </r>
    <r>
      <rPr>
        <sz val="10"/>
        <color rgb="FF000000"/>
        <rFont val="맑은 고딕"/>
        <family val="0"/>
        <charset val="1"/>
      </rPr>
      <t xml:space="preserve">(</t>
    </r>
    <r>
      <rPr>
        <sz val="10"/>
        <color rgb="FF000000"/>
        <rFont val="WenQuanYi Zen Hei"/>
        <family val="2"/>
      </rPr>
      <t xml:space="preserve">문제점</t>
    </r>
    <r>
      <rPr>
        <sz val="10"/>
        <color rgb="FF000000"/>
        <rFont val="맑은 고딕"/>
        <family val="0"/>
        <charset val="1"/>
      </rPr>
      <t xml:space="preserve">·</t>
    </r>
    <r>
      <rPr>
        <sz val="10"/>
        <color rgb="FF000000"/>
        <rFont val="WenQuanYi Zen Hei"/>
        <family val="2"/>
      </rPr>
      <t xml:space="preserve">개선 사항</t>
    </r>
    <r>
      <rPr>
        <sz val="10"/>
        <color rgb="FF000000"/>
        <rFont val="맑은 고딕"/>
        <family val="0"/>
        <charset val="1"/>
      </rPr>
      <t xml:space="preserve">)</t>
    </r>
    <r>
      <rPr>
        <sz val="10"/>
        <color rgb="FF000000"/>
        <rFont val="WenQuanYi Zen Hei"/>
        <family val="2"/>
      </rPr>
      <t xml:space="preserve">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개정으로 이어질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</si>
  <si>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DG</t>
  </si>
  <si>
    <r>
      <rPr>
        <sz val="10"/>
        <color rgb="FF000000"/>
        <rFont val="WenQuanYi Zen Hei"/>
        <family val="2"/>
      </rPr>
      <t xml:space="preserve">우리 조직에서는 연습 결과</t>
    </r>
    <r>
      <rPr>
        <sz val="10"/>
        <color rgb="FF000000"/>
        <rFont val="맑은 고딕"/>
        <family val="0"/>
        <charset val="1"/>
      </rPr>
      <t xml:space="preserve">(</t>
    </r>
    <r>
      <rPr>
        <sz val="10"/>
        <color rgb="FF000000"/>
        <rFont val="WenQuanYi Zen Hei"/>
        <family val="2"/>
      </rPr>
      <t xml:space="preserve">문제점</t>
    </r>
    <r>
      <rPr>
        <sz val="10"/>
        <color rgb="FF000000"/>
        <rFont val="맑은 고딕"/>
        <family val="0"/>
        <charset val="1"/>
      </rPr>
      <t xml:space="preserve">·</t>
    </r>
    <r>
      <rPr>
        <sz val="10"/>
        <color rgb="FF000000"/>
        <rFont val="WenQuanYi Zen Hei"/>
        <family val="2"/>
      </rPr>
      <t xml:space="preserve">개선 사항</t>
    </r>
    <r>
      <rPr>
        <sz val="10"/>
        <color rgb="FF000000"/>
        <rFont val="맑은 고딕"/>
        <family val="0"/>
        <charset val="1"/>
      </rPr>
      <t xml:space="preserve">)</t>
    </r>
    <r>
      <rPr>
        <sz val="10"/>
        <color rgb="FF000000"/>
        <rFont val="WenQuanYi Zen Hei"/>
        <family val="2"/>
      </rPr>
      <t xml:space="preserve">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개정으로 이어질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</si>
  <si>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DH</t>
  </si>
  <si>
    <r>
      <rPr>
        <sz val="10"/>
        <color rgb="FF000000"/>
        <rFont val="WenQuanYi Zen Hei"/>
        <family val="2"/>
      </rPr>
      <t xml:space="preserve">우리 조직에서는 새 연습 결과가 나오면</t>
    </r>
    <r>
      <rPr>
        <sz val="10"/>
        <color rgb="FF000000"/>
        <rFont val="맑은 고딕"/>
        <family val="0"/>
        <charset val="1"/>
      </rPr>
      <t xml:space="preserv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 정해진 기간 안에 반영된다</t>
    </r>
    <r>
      <rPr>
        <sz val="10"/>
        <color rgb="FF000000"/>
        <rFont val="맑은 고딕"/>
        <family val="0"/>
        <charset val="1"/>
      </rPr>
      <t xml:space="preserve">.</t>
    </r>
  </si>
  <si>
    <t xml:space="preserve">DI</t>
  </si>
  <si>
    <r>
      <rPr>
        <sz val="10"/>
        <color rgb="FF000000"/>
        <rFont val="WenQuanYi Zen Hei"/>
        <family val="2"/>
      </rPr>
      <t xml:space="preserve">우리 조직에서는 연습에서 문제점</t>
    </r>
    <r>
      <rPr>
        <sz val="10"/>
        <color rgb="FF000000"/>
        <rFont val="맑은 고딕"/>
        <family val="0"/>
        <charset val="1"/>
      </rPr>
      <t xml:space="preserve">·</t>
    </r>
    <r>
      <rPr>
        <sz val="10"/>
        <color rgb="FF000000"/>
        <rFont val="WenQuanYi Zen Hei"/>
        <family val="2"/>
      </rPr>
      <t xml:space="preserve">개선 사항이 나오면</t>
    </r>
    <r>
      <rPr>
        <sz val="10"/>
        <color rgb="FF000000"/>
        <rFont val="맑은 고딕"/>
        <family val="0"/>
        <charset val="1"/>
      </rPr>
      <t xml:space="preserv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재수정까지 조치가 이어져 완료가 확인된다</t>
    </r>
    <r>
      <rPr>
        <sz val="10"/>
        <color rgb="FF000000"/>
        <rFont val="맑은 고딕"/>
        <family val="0"/>
        <charset val="1"/>
      </rPr>
      <t xml:space="preserve">.</t>
    </r>
  </si>
  <si>
    <t xml:space="preserve">DJ</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</si>
  <si>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절차와 역할이 인식</t>
    </r>
    <r>
      <rPr>
        <sz val="10"/>
        <color rgb="FF000000"/>
        <rFont val="맑은 고딕"/>
        <family val="0"/>
        <charset val="1"/>
      </rPr>
      <t xml:space="preserve">·</t>
    </r>
    <r>
      <rPr>
        <sz val="10"/>
        <color rgb="FF000000"/>
        <rFont val="WenQuanYi Zen Hei"/>
        <family val="2"/>
      </rPr>
      <t xml:space="preserve">교육 프로그램의 내용으로 입력될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</si>
  <si>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DK</t>
  </si>
  <si>
    <r>
      <rPr>
        <sz val="10"/>
        <color rgb="FF000000"/>
        <rFont val="WenQuanYi Zen Hei"/>
        <family val="2"/>
      </rPr>
      <t xml:space="preserve">우리 조직에서는 교육 프로그램 내용에서 근거가 된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절차를 거슬러 찾아 확인할 수 있다</t>
    </r>
    <r>
      <rPr>
        <sz val="10"/>
        <color rgb="FF000000"/>
        <rFont val="맑은 고딕"/>
        <family val="0"/>
        <charset val="1"/>
      </rPr>
      <t xml:space="preserve">.</t>
    </r>
  </si>
  <si>
    <t xml:space="preserve">DL</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</si>
  <si>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절차와 역할이 인식</t>
    </r>
    <r>
      <rPr>
        <sz val="10"/>
        <color rgb="FF000000"/>
        <rFont val="맑은 고딕"/>
        <family val="0"/>
        <charset val="1"/>
      </rPr>
      <t xml:space="preserve">·</t>
    </r>
    <r>
      <rPr>
        <sz val="10"/>
        <color rgb="FF000000"/>
        <rFont val="WenQuanYi Zen Hei"/>
        <family val="2"/>
      </rPr>
      <t xml:space="preserve">교육 프로그램의 내용으로 입력될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</si>
  <si>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DM</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</si>
  <si>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절차와 역할이 인식</t>
    </r>
    <r>
      <rPr>
        <sz val="10"/>
        <color rgb="FF000000"/>
        <rFont val="맑은 고딕"/>
        <family val="0"/>
        <charset val="1"/>
      </rPr>
      <t xml:space="preserve">·</t>
    </r>
    <r>
      <rPr>
        <sz val="10"/>
        <color rgb="FF000000"/>
        <rFont val="WenQuanYi Zen Hei"/>
        <family val="2"/>
      </rPr>
      <t xml:space="preserve">교육 프로그램의 내용으로 입력될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</si>
  <si>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DN</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</si>
  <si>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바뀌면</t>
    </r>
    <r>
      <rPr>
        <sz val="10"/>
        <color rgb="FF000000"/>
        <rFont val="맑은 고딕"/>
        <family val="0"/>
        <charset val="1"/>
      </rPr>
      <t xml:space="preserve">, </t>
    </r>
    <r>
      <rPr>
        <sz val="10"/>
        <color rgb="FF000000"/>
        <rFont val="WenQuanYi Zen Hei"/>
        <family val="2"/>
      </rPr>
      <t xml:space="preserve">교육 프로그램 내용에 정해진 기간 안에 반영된다</t>
    </r>
    <r>
      <rPr>
        <sz val="10"/>
        <color rgb="FF000000"/>
        <rFont val="맑은 고딕"/>
        <family val="0"/>
        <charset val="1"/>
      </rPr>
      <t xml:space="preserve">.</t>
    </r>
  </si>
  <si>
    <t xml:space="preserve">DO</t>
  </si>
  <si>
    <r>
      <rPr>
        <sz val="10"/>
        <color rgb="FF000000"/>
        <rFont val="WenQuanYi Zen Hei"/>
        <family val="2"/>
      </rPr>
      <t xml:space="preserve">우리 조직에서는 성과평가 결과가 개선 과제로 환류될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</si>
  <si>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DP</t>
  </si>
  <si>
    <r>
      <rPr>
        <sz val="10"/>
        <color rgb="FF000000"/>
        <rFont val="WenQuanYi Zen Hei"/>
        <family val="2"/>
      </rPr>
      <t xml:space="preserve">우리 조직에서는 개선 과제 목록에서 근거가 된 성과평가 결과를 거슬러 찾아 확인할 수 있다</t>
    </r>
    <r>
      <rPr>
        <sz val="10"/>
        <color rgb="FF000000"/>
        <rFont val="맑은 고딕"/>
        <family val="0"/>
        <charset val="1"/>
      </rPr>
      <t xml:space="preserve">.</t>
    </r>
  </si>
  <si>
    <t xml:space="preserve">DQ</t>
  </si>
  <si>
    <r>
      <rPr>
        <sz val="10"/>
        <color rgb="FF000000"/>
        <rFont val="WenQuanYi Zen Hei"/>
        <family val="2"/>
      </rPr>
      <t xml:space="preserve">우리 조직에서는 성과평가 결과가 개선 과제로 환류될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</si>
  <si>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DR</t>
  </si>
  <si>
    <r>
      <rPr>
        <sz val="10"/>
        <color rgb="FF000000"/>
        <rFont val="WenQuanYi Zen Hei"/>
        <family val="2"/>
      </rPr>
      <t xml:space="preserve">우리 조직에서는 성과평가 결과가 개선 과제로 환류될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</si>
  <si>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DS</t>
  </si>
  <si>
    <r>
      <rPr>
        <sz val="10"/>
        <color rgb="FF000000"/>
        <rFont val="WenQuanYi Zen Hei"/>
        <family val="2"/>
      </rPr>
      <t xml:space="preserve">우리 조직에서는 새 성과평가 결과가 나오면</t>
    </r>
    <r>
      <rPr>
        <sz val="10"/>
        <color rgb="FF000000"/>
        <rFont val="맑은 고딕"/>
        <family val="0"/>
        <charset val="1"/>
      </rPr>
      <t xml:space="preserve">, </t>
    </r>
    <r>
      <rPr>
        <sz val="10"/>
        <color rgb="FF000000"/>
        <rFont val="WenQuanYi Zen Hei"/>
        <family val="2"/>
      </rPr>
      <t xml:space="preserve">개선 과제 목록에 정해진 기간 안에 반영된다</t>
    </r>
    <r>
      <rPr>
        <sz val="10"/>
        <color rgb="FF000000"/>
        <rFont val="맑은 고딕"/>
        <family val="0"/>
        <charset val="1"/>
      </rPr>
      <t xml:space="preserve">.</t>
    </r>
  </si>
  <si>
    <t xml:space="preserve">DT</t>
  </si>
  <si>
    <r>
      <rPr>
        <sz val="10"/>
        <color rgb="FF000000"/>
        <rFont val="WenQuanYi Zen Hei"/>
        <family val="2"/>
      </rPr>
      <t xml:space="preserve">우리 조직에서는 성과평가에서 개선이 필요한 결과가 나오면</t>
    </r>
    <r>
      <rPr>
        <sz val="10"/>
        <color rgb="FF000000"/>
        <rFont val="맑은 고딕"/>
        <family val="0"/>
        <charset val="1"/>
      </rPr>
      <t xml:space="preserve">, </t>
    </r>
    <r>
      <rPr>
        <sz val="10"/>
        <color rgb="FF000000"/>
        <rFont val="WenQuanYi Zen Hei"/>
        <family val="2"/>
      </rPr>
      <t xml:space="preserve">개선 과제의 수립</t>
    </r>
    <r>
      <rPr>
        <sz val="10"/>
        <color rgb="FF000000"/>
        <rFont val="맑은 고딕"/>
        <family val="0"/>
        <charset val="1"/>
      </rPr>
      <t xml:space="preserve">·</t>
    </r>
    <r>
      <rPr>
        <sz val="10"/>
        <color rgb="FF000000"/>
        <rFont val="WenQuanYi Zen Hei"/>
        <family val="2"/>
      </rPr>
      <t xml:space="preserve">이행과 효과 확인까지 조치가 이어져 완료가 확인된다</t>
    </r>
    <r>
      <rPr>
        <sz val="10"/>
        <color rgb="FF000000"/>
        <rFont val="맑은 고딕"/>
        <family val="0"/>
        <charset val="1"/>
      </rPr>
      <t xml:space="preserve">.</t>
    </r>
  </si>
  <si>
    <t xml:space="preserve">DU</t>
  </si>
  <si>
    <r>
      <rPr>
        <sz val="10"/>
        <color rgb="FF000000"/>
        <rFont val="WenQuanYi Zen Hei"/>
        <family val="2"/>
      </rPr>
      <t xml:space="preserve">우리 조직에서는 내부감사 지적사항이 개선 과제로 환류될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</si>
  <si>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DV</t>
  </si>
  <si>
    <r>
      <rPr>
        <sz val="10"/>
        <color rgb="FF000000"/>
        <rFont val="WenQuanYi Zen Hei"/>
        <family val="2"/>
      </rPr>
      <t xml:space="preserve">우리 조직에서는 개선 과제 목록에서 근거가 된 내부감사 결과를 거슬러 찾아 확인할 수 있다</t>
    </r>
    <r>
      <rPr>
        <sz val="10"/>
        <color rgb="FF000000"/>
        <rFont val="맑은 고딕"/>
        <family val="0"/>
        <charset val="1"/>
      </rPr>
      <t xml:space="preserve">.</t>
    </r>
  </si>
  <si>
    <t xml:space="preserve">DW</t>
  </si>
  <si>
    <r>
      <rPr>
        <sz val="10"/>
        <color rgb="FF000000"/>
        <rFont val="WenQuanYi Zen Hei"/>
        <family val="2"/>
      </rPr>
      <t xml:space="preserve">우리 조직에서는 내부감사 지적사항이 개선 과제로 환류될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</si>
  <si>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DX</t>
  </si>
  <si>
    <r>
      <rPr>
        <sz val="10"/>
        <color rgb="FF000000"/>
        <rFont val="WenQuanYi Zen Hei"/>
        <family val="2"/>
      </rPr>
      <t xml:space="preserve">우리 조직에서는 내부감사 지적사항이 개선 과제로 환류될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</si>
  <si>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DY</t>
  </si>
  <si>
    <r>
      <rPr>
        <sz val="10"/>
        <color rgb="FF000000"/>
        <rFont val="WenQuanYi Zen Hei"/>
        <family val="2"/>
      </rPr>
      <t xml:space="preserve">우리 조직에서는 새 내부감사 결과가 나오면</t>
    </r>
    <r>
      <rPr>
        <sz val="10"/>
        <color rgb="FF000000"/>
        <rFont val="맑은 고딕"/>
        <family val="0"/>
        <charset val="1"/>
      </rPr>
      <t xml:space="preserve">, </t>
    </r>
    <r>
      <rPr>
        <sz val="10"/>
        <color rgb="FF000000"/>
        <rFont val="WenQuanYi Zen Hei"/>
        <family val="2"/>
      </rPr>
      <t xml:space="preserve">개선 과제 목록에 정해진 기간 안에 반영된다</t>
    </r>
    <r>
      <rPr>
        <sz val="10"/>
        <color rgb="FF000000"/>
        <rFont val="맑은 고딕"/>
        <family val="0"/>
        <charset val="1"/>
      </rPr>
      <t xml:space="preserve">.</t>
    </r>
  </si>
  <si>
    <t xml:space="preserve">DZ</t>
  </si>
  <si>
    <r>
      <rPr>
        <sz val="10"/>
        <color rgb="FF000000"/>
        <rFont val="WenQuanYi Zen Hei"/>
        <family val="2"/>
      </rPr>
      <t xml:space="preserve">우리 조직에서는 내부감사에서 지적사항이 나오면</t>
    </r>
    <r>
      <rPr>
        <sz val="10"/>
        <color rgb="FF000000"/>
        <rFont val="맑은 고딕"/>
        <family val="0"/>
        <charset val="1"/>
      </rPr>
      <t xml:space="preserve">, </t>
    </r>
    <r>
      <rPr>
        <sz val="10"/>
        <color rgb="FF000000"/>
        <rFont val="WenQuanYi Zen Hei"/>
        <family val="2"/>
      </rPr>
      <t xml:space="preserve">시정조치의 이행과 후속 확인까지 조치가 이어져 완료가 확인된다</t>
    </r>
    <r>
      <rPr>
        <sz val="10"/>
        <color rgb="FF000000"/>
        <rFont val="맑은 고딕"/>
        <family val="0"/>
        <charset val="1"/>
      </rPr>
      <t xml:space="preserve">.</t>
    </r>
  </si>
  <si>
    <t xml:space="preserve">EA</t>
  </si>
  <si>
    <r>
      <rPr>
        <sz val="10"/>
        <color rgb="FF000000"/>
        <rFont val="WenQuanYi Zen Hei"/>
        <family val="2"/>
      </rPr>
      <t xml:space="preserve">우리 조직에서는 공급업체 평가 결과가 개선 과제로 환류될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</si>
  <si>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EB</t>
  </si>
  <si>
    <r>
      <rPr>
        <sz val="10"/>
        <color rgb="FF000000"/>
        <rFont val="WenQuanYi Zen Hei"/>
        <family val="2"/>
      </rPr>
      <t xml:space="preserve">우리 조직에서는 개선 과제 목록에서 근거가 된 공급업체 평가 결과를 거슬러 찾아 확인할 수 있다</t>
    </r>
    <r>
      <rPr>
        <sz val="10"/>
        <color rgb="FF000000"/>
        <rFont val="맑은 고딕"/>
        <family val="0"/>
        <charset val="1"/>
      </rPr>
      <t xml:space="preserve">.</t>
    </r>
  </si>
  <si>
    <t xml:space="preserve">EC</t>
  </si>
  <si>
    <r>
      <rPr>
        <sz val="10"/>
        <color rgb="FF000000"/>
        <rFont val="WenQuanYi Zen Hei"/>
        <family val="2"/>
      </rPr>
      <t xml:space="preserve">우리 조직에서는 공급업체 평가 결과가 개선 과제로 환류될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</si>
  <si>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ED</t>
  </si>
  <si>
    <r>
      <rPr>
        <sz val="10"/>
        <color rgb="FF000000"/>
        <rFont val="WenQuanYi Zen Hei"/>
        <family val="2"/>
      </rPr>
      <t xml:space="preserve">우리 조직에서는 공급업체 평가 결과가 개선 과제로 환류될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</si>
  <si>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EE</t>
  </si>
  <si>
    <r>
      <rPr>
        <sz val="10"/>
        <color rgb="FF000000"/>
        <rFont val="WenQuanYi Zen Hei"/>
        <family val="2"/>
      </rPr>
      <t xml:space="preserve">우리 조직에서는 새 공급업체 평가 결과가 나오면</t>
    </r>
    <r>
      <rPr>
        <sz val="10"/>
        <color rgb="FF000000"/>
        <rFont val="맑은 고딕"/>
        <family val="0"/>
        <charset val="1"/>
      </rPr>
      <t xml:space="preserve">, </t>
    </r>
    <r>
      <rPr>
        <sz val="10"/>
        <color rgb="FF000000"/>
        <rFont val="WenQuanYi Zen Hei"/>
        <family val="2"/>
      </rPr>
      <t xml:space="preserve">개선 과제 목록에 정해진 기간 안에 반영된다</t>
    </r>
    <r>
      <rPr>
        <sz val="10"/>
        <color rgb="FF000000"/>
        <rFont val="맑은 고딕"/>
        <family val="0"/>
        <charset val="1"/>
      </rPr>
      <t xml:space="preserve">.</t>
    </r>
  </si>
  <si>
    <t xml:space="preserve">EF</t>
  </si>
  <si>
    <r>
      <rPr>
        <sz val="10"/>
        <color rgb="FF000000"/>
        <rFont val="WenQuanYi Zen Hei"/>
        <family val="2"/>
      </rPr>
      <t xml:space="preserve">우리 조직에서는 공급업체 평가에서 개선이 필요한 결과가 나오면</t>
    </r>
    <r>
      <rPr>
        <sz val="10"/>
        <color rgb="FF000000"/>
        <rFont val="맑은 고딕"/>
        <family val="0"/>
        <charset val="1"/>
      </rPr>
      <t xml:space="preserve">, </t>
    </r>
    <r>
      <rPr>
        <sz val="10"/>
        <color rgb="FF000000"/>
        <rFont val="WenQuanYi Zen Hei"/>
        <family val="2"/>
      </rPr>
      <t xml:space="preserve">개선 과제의 수립</t>
    </r>
    <r>
      <rPr>
        <sz val="10"/>
        <color rgb="FF000000"/>
        <rFont val="맑은 고딕"/>
        <family val="0"/>
        <charset val="1"/>
      </rPr>
      <t xml:space="preserve">·</t>
    </r>
    <r>
      <rPr>
        <sz val="10"/>
        <color rgb="FF000000"/>
        <rFont val="WenQuanYi Zen Hei"/>
        <family val="2"/>
      </rPr>
      <t xml:space="preserve">이행과 효과 확인까지 조치가 이어져 완료가 확인된다</t>
    </r>
    <r>
      <rPr>
        <sz val="10"/>
        <color rgb="FF000000"/>
        <rFont val="맑은 고딕"/>
        <family val="0"/>
        <charset val="1"/>
      </rPr>
      <t xml:space="preserve">.</t>
    </r>
  </si>
  <si>
    <t xml:space="preserve">EG</t>
  </si>
  <si>
    <r>
      <rPr>
        <sz val="10"/>
        <color rgb="FF000000"/>
        <rFont val="WenQuanYi Zen Hei"/>
        <family val="2"/>
      </rPr>
      <t xml:space="preserve">우리 조직에서는 중대한 변경이 발생해 리스크평가가 촉발될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</si>
  <si>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EH</t>
  </si>
  <si>
    <r>
      <rPr>
        <sz val="10"/>
        <color rgb="FF000000"/>
        <rFont val="WenQuanYi Zen Hei"/>
        <family val="2"/>
      </rPr>
      <t xml:space="preserve">우리 조직에서는 리스크평가 대상과 결과에서 근거가 된 </t>
    </r>
    <r>
      <rPr>
        <sz val="10"/>
        <color rgb="FF000000"/>
        <rFont val="맑은 고딕"/>
        <family val="0"/>
        <charset val="1"/>
      </rPr>
      <t xml:space="preserve">BCMS </t>
    </r>
    <r>
      <rPr>
        <sz val="10"/>
        <color rgb="FF000000"/>
        <rFont val="WenQuanYi Zen Hei"/>
        <family val="2"/>
      </rPr>
      <t xml:space="preserve">변경 사항을 거슬러 찾아 확인할 수 있다</t>
    </r>
    <r>
      <rPr>
        <sz val="10"/>
        <color rgb="FF000000"/>
        <rFont val="맑은 고딕"/>
        <family val="0"/>
        <charset val="1"/>
      </rPr>
      <t xml:space="preserve">.</t>
    </r>
  </si>
  <si>
    <t xml:space="preserve">EI</t>
  </si>
  <si>
    <r>
      <rPr>
        <sz val="10"/>
        <color rgb="FF000000"/>
        <rFont val="WenQuanYi Zen Hei"/>
        <family val="2"/>
      </rPr>
      <t xml:space="preserve">우리 조직에서는 중대한 변경이 발생해 리스크평가가 촉발될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</si>
  <si>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EJ</t>
  </si>
  <si>
    <r>
      <rPr>
        <sz val="10"/>
        <color rgb="FF000000"/>
        <rFont val="WenQuanYi Zen Hei"/>
        <family val="2"/>
      </rPr>
      <t xml:space="preserve">우리 조직에서는 중대한 변경이 발생해 리스크평가가 촉발될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</si>
  <si>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EK</t>
  </si>
  <si>
    <r>
      <rPr>
        <sz val="10"/>
        <color rgb="FF000000"/>
        <rFont val="WenQuanYi Zen Hei"/>
        <family val="2"/>
      </rPr>
      <t xml:space="preserve">우리 조직에서는 </t>
    </r>
    <r>
      <rPr>
        <sz val="10"/>
        <color rgb="FF000000"/>
        <rFont val="맑은 고딕"/>
        <family val="0"/>
        <charset val="1"/>
      </rPr>
      <t xml:space="preserve">BCMS</t>
    </r>
    <r>
      <rPr>
        <sz val="10"/>
        <color rgb="FF000000"/>
        <rFont val="WenQuanYi Zen Hei"/>
        <family val="2"/>
      </rPr>
      <t xml:space="preserve">에 중대한 변경이 생기면</t>
    </r>
    <r>
      <rPr>
        <sz val="10"/>
        <color rgb="FF000000"/>
        <rFont val="맑은 고딕"/>
        <family val="0"/>
        <charset val="1"/>
      </rPr>
      <t xml:space="preserve">, </t>
    </r>
    <r>
      <rPr>
        <sz val="10"/>
        <color rgb="FF000000"/>
        <rFont val="WenQuanYi Zen Hei"/>
        <family val="2"/>
      </rPr>
      <t xml:space="preserve">리스크평가 대상과 결과에 정해진 기간 안에 반영된다</t>
    </r>
    <r>
      <rPr>
        <sz val="10"/>
        <color rgb="FF000000"/>
        <rFont val="맑은 고딕"/>
        <family val="0"/>
        <charset val="1"/>
      </rPr>
      <t xml:space="preserve">.</t>
    </r>
  </si>
  <si>
    <t xml:space="preserve">EL</t>
  </si>
  <si>
    <r>
      <rPr>
        <sz val="10"/>
        <color rgb="FF000000"/>
        <rFont val="WenQuanYi Zen Hei"/>
        <family val="2"/>
      </rPr>
      <t xml:space="preserve">우리 조직에서는 승인된 변경이 관련 문서의 개정으로 이어질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</si>
  <si>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EM</t>
  </si>
  <si>
    <r>
      <rPr>
        <sz val="10"/>
        <color rgb="FF000000"/>
        <rFont val="WenQuanYi Zen Hei"/>
        <family val="2"/>
      </rPr>
      <t xml:space="preserve">우리 조직에서는 관련 문서</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r>
      <rPr>
        <sz val="10"/>
        <color rgb="FF000000"/>
        <rFont val="맑은 고딕"/>
        <family val="0"/>
        <charset val="1"/>
      </rPr>
      <t xml:space="preserve">·</t>
    </r>
    <r>
      <rPr>
        <sz val="10"/>
        <color rgb="FF000000"/>
        <rFont val="WenQuanYi Zen Hei"/>
        <family val="2"/>
      </rPr>
      <t xml:space="preserve">연락망 등</t>
    </r>
    <r>
      <rPr>
        <sz val="10"/>
        <color rgb="FF000000"/>
        <rFont val="맑은 고딕"/>
        <family val="0"/>
        <charset val="1"/>
      </rPr>
      <t xml:space="preserve">)</t>
    </r>
    <r>
      <rPr>
        <sz val="10"/>
        <color rgb="FF000000"/>
        <rFont val="WenQuanYi Zen Hei"/>
        <family val="2"/>
      </rPr>
      <t xml:space="preserve">에서 근거가 된 승인된 변경을 거슬러 찾아 확인할 수 있다</t>
    </r>
    <r>
      <rPr>
        <sz val="10"/>
        <color rgb="FF000000"/>
        <rFont val="맑은 고딕"/>
        <family val="0"/>
        <charset val="1"/>
      </rPr>
      <t xml:space="preserve">.</t>
    </r>
  </si>
  <si>
    <t xml:space="preserve">EN</t>
  </si>
  <si>
    <r>
      <rPr>
        <sz val="10"/>
        <color rgb="FF000000"/>
        <rFont val="WenQuanYi Zen Hei"/>
        <family val="2"/>
      </rPr>
      <t xml:space="preserve">우리 조직에서는 승인된 변경이 관련 문서의 개정으로 이어질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</si>
  <si>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EO</t>
  </si>
  <si>
    <r>
      <rPr>
        <sz val="10"/>
        <color rgb="FF000000"/>
        <rFont val="WenQuanYi Zen Hei"/>
        <family val="2"/>
      </rPr>
      <t xml:space="preserve">우리 조직에서는 승인된 변경이 관련 문서의 개정으로 이어질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</si>
  <si>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EP</t>
  </si>
  <si>
    <r>
      <rPr>
        <sz val="10"/>
        <color rgb="FF000000"/>
        <rFont val="WenQuanYi Zen Hei"/>
        <family val="2"/>
      </rPr>
      <t xml:space="preserve">우리 조직에서는 변경이 승인되면</t>
    </r>
    <r>
      <rPr>
        <sz val="10"/>
        <color rgb="FF000000"/>
        <rFont val="맑은 고딕"/>
        <family val="0"/>
        <charset val="1"/>
      </rPr>
      <t xml:space="preserve">, </t>
    </r>
    <r>
      <rPr>
        <sz val="10"/>
        <color rgb="FF000000"/>
        <rFont val="WenQuanYi Zen Hei"/>
        <family val="2"/>
      </rPr>
      <t xml:space="preserve">관련 문서</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r>
      <rPr>
        <sz val="10"/>
        <color rgb="FF000000"/>
        <rFont val="맑은 고딕"/>
        <family val="0"/>
        <charset val="1"/>
      </rPr>
      <t xml:space="preserve">·</t>
    </r>
    <r>
      <rPr>
        <sz val="10"/>
        <color rgb="FF000000"/>
        <rFont val="WenQuanYi Zen Hei"/>
        <family val="2"/>
      </rPr>
      <t xml:space="preserve">연락망 등</t>
    </r>
    <r>
      <rPr>
        <sz val="10"/>
        <color rgb="FF000000"/>
        <rFont val="맑은 고딕"/>
        <family val="0"/>
        <charset val="1"/>
      </rPr>
      <t xml:space="preserve">)</t>
    </r>
    <r>
      <rPr>
        <sz val="10"/>
        <color rgb="FF000000"/>
        <rFont val="WenQuanYi Zen Hei"/>
        <family val="2"/>
      </rPr>
      <t xml:space="preserve">에 정해진 기간 안에 반영된다</t>
    </r>
    <r>
      <rPr>
        <sz val="10"/>
        <color rgb="FF000000"/>
        <rFont val="맑은 고딕"/>
        <family val="0"/>
        <charset val="1"/>
      </rPr>
      <t xml:space="preserve">.</t>
    </r>
  </si>
  <si>
    <t xml:space="preserve">EQ</t>
  </si>
  <si>
    <r>
      <rPr>
        <sz val="10"/>
        <color rgb="FF000000"/>
        <rFont val="WenQuanYi Zen Hei"/>
        <family val="2"/>
      </rPr>
      <t xml:space="preserve">우리 조직에서는 사고 대응에서 나온 변경 필요사항이 변경관리를 촉발할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</si>
  <si>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ER</t>
  </si>
  <si>
    <r>
      <rPr>
        <sz val="10"/>
        <color rgb="FF000000"/>
        <rFont val="WenQuanYi Zen Hei"/>
        <family val="2"/>
      </rPr>
      <t xml:space="preserve">우리 조직에서는 변경관리 요청 목록에서 근거가 된 사고 대응 결과를 거슬러 찾아 확인할 수 있다</t>
    </r>
    <r>
      <rPr>
        <sz val="10"/>
        <color rgb="FF000000"/>
        <rFont val="맑은 고딕"/>
        <family val="0"/>
        <charset val="1"/>
      </rPr>
      <t xml:space="preserve">.</t>
    </r>
  </si>
  <si>
    <t xml:space="preserve">ES</t>
  </si>
  <si>
    <r>
      <rPr>
        <sz val="10"/>
        <color rgb="FF000000"/>
        <rFont val="WenQuanYi Zen Hei"/>
        <family val="2"/>
      </rPr>
      <t xml:space="preserve">우리 조직에서는 사고 대응에서 나온 변경 필요사항이 변경관리를 촉발할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</si>
  <si>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ET</t>
  </si>
  <si>
    <r>
      <rPr>
        <sz val="10"/>
        <color rgb="FF000000"/>
        <rFont val="WenQuanYi Zen Hei"/>
        <family val="2"/>
      </rPr>
      <t xml:space="preserve">우리 조직에서는 사고 대응에서 나온 변경 필요사항이 변경관리를 촉발할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</si>
  <si>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EU</t>
  </si>
  <si>
    <r>
      <rPr>
        <sz val="10"/>
        <color rgb="FF000000"/>
        <rFont val="WenQuanYi Zen Hei"/>
        <family val="2"/>
      </rPr>
      <t xml:space="preserve">우리 조직에서는 새 사고 대응 결과가 나오면</t>
    </r>
    <r>
      <rPr>
        <sz val="10"/>
        <color rgb="FF000000"/>
        <rFont val="맑은 고딕"/>
        <family val="0"/>
        <charset val="1"/>
      </rPr>
      <t xml:space="preserve">, </t>
    </r>
    <r>
      <rPr>
        <sz val="10"/>
        <color rgb="FF000000"/>
        <rFont val="WenQuanYi Zen Hei"/>
        <family val="2"/>
      </rPr>
      <t xml:space="preserve">변경관리 요청 목록에 정해진 기간 안에 반영된다</t>
    </r>
    <r>
      <rPr>
        <sz val="10"/>
        <color rgb="FF000000"/>
        <rFont val="맑은 고딕"/>
        <family val="0"/>
        <charset val="1"/>
      </rPr>
      <t xml:space="preserve">.</t>
    </r>
  </si>
  <si>
    <r>
      <rPr>
        <sz val="10"/>
        <color rgb="FF000000"/>
        <rFont val="WenQuanYi Zen Hei"/>
        <family val="2"/>
      </rPr>
      <t xml:space="preserve">우리 조직에서는 사고 대응에서 변경 필요사항이 나오면</t>
    </r>
    <r>
      <rPr>
        <sz val="10"/>
        <color rgb="FF000000"/>
        <rFont val="맑은 고딕"/>
        <family val="0"/>
        <charset val="1"/>
      </rPr>
      <t xml:space="preserve">, </t>
    </r>
    <r>
      <rPr>
        <sz val="10"/>
        <color rgb="FF000000"/>
        <rFont val="WenQuanYi Zen Hei"/>
        <family val="2"/>
      </rPr>
      <t xml:space="preserve">변경 요청의 처리와 관련 문서의 재수정까지 조치가 이어져 완료가 확인된다</t>
    </r>
    <r>
      <rPr>
        <sz val="10"/>
        <color rgb="FF000000"/>
        <rFont val="맑은 고딕"/>
        <family val="0"/>
        <charset val="1"/>
      </rPr>
      <t xml:space="preserve">.</t>
    </r>
  </si>
  <si>
    <t xml:space="preserve">EW</t>
  </si>
  <si>
    <r>
      <rPr>
        <sz val="10"/>
        <color rgb="FF000000"/>
        <rFont val="WenQuanYi Zen Hei"/>
        <family val="2"/>
      </rPr>
      <t xml:space="preserve">우리 조직에서는 연습에서 나온 변경 필요사항이 변경관리를 촉발할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</si>
  <si>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EX</t>
  </si>
  <si>
    <r>
      <rPr>
        <sz val="10"/>
        <color rgb="FF000000"/>
        <rFont val="WenQuanYi Zen Hei"/>
        <family val="2"/>
      </rPr>
      <t xml:space="preserve">우리 조직에서는 변경관리 요청 목록에서 근거가 된 연습 결과를 거슬러 찾아 확인할 수 있다</t>
    </r>
    <r>
      <rPr>
        <sz val="10"/>
        <color rgb="FF000000"/>
        <rFont val="맑은 고딕"/>
        <family val="0"/>
        <charset val="1"/>
      </rPr>
      <t xml:space="preserve">.</t>
    </r>
  </si>
  <si>
    <t xml:space="preserve">EY</t>
  </si>
  <si>
    <r>
      <rPr>
        <sz val="10"/>
        <color rgb="FF000000"/>
        <rFont val="WenQuanYi Zen Hei"/>
        <family val="2"/>
      </rPr>
      <t xml:space="preserve">우리 조직에서는 연습에서 나온 변경 필요사항이 변경관리를 촉발할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</si>
  <si>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EZ</t>
  </si>
  <si>
    <r>
      <rPr>
        <sz val="10"/>
        <color rgb="FF000000"/>
        <rFont val="WenQuanYi Zen Hei"/>
        <family val="2"/>
      </rPr>
      <t xml:space="preserve">우리 조직에서는 연습에서 나온 변경 필요사항이 변경관리를 촉발할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</si>
  <si>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FA</t>
  </si>
  <si>
    <r>
      <rPr>
        <sz val="10"/>
        <color rgb="FF000000"/>
        <rFont val="WenQuanYi Zen Hei"/>
        <family val="2"/>
      </rPr>
      <t xml:space="preserve">우리 조직에서는 새 연습 결과가 나오면</t>
    </r>
    <r>
      <rPr>
        <sz val="10"/>
        <color rgb="FF000000"/>
        <rFont val="맑은 고딕"/>
        <family val="0"/>
        <charset val="1"/>
      </rPr>
      <t xml:space="preserve">, </t>
    </r>
    <r>
      <rPr>
        <sz val="10"/>
        <color rgb="FF000000"/>
        <rFont val="WenQuanYi Zen Hei"/>
        <family val="2"/>
      </rPr>
      <t xml:space="preserve">변경관리 요청 목록에 정해진 기간 안에 반영된다</t>
    </r>
    <r>
      <rPr>
        <sz val="10"/>
        <color rgb="FF000000"/>
        <rFont val="맑은 고딕"/>
        <family val="0"/>
        <charset val="1"/>
      </rPr>
      <t xml:space="preserve">.</t>
    </r>
  </si>
  <si>
    <t xml:space="preserve">FB</t>
  </si>
  <si>
    <r>
      <rPr>
        <sz val="10"/>
        <color rgb="FF000000"/>
        <rFont val="WenQuanYi Zen Hei"/>
        <family val="2"/>
      </rPr>
      <t xml:space="preserve">우리 조직에서는 연습에서 변경 필요사항이 나오면</t>
    </r>
    <r>
      <rPr>
        <sz val="10"/>
        <color rgb="FF000000"/>
        <rFont val="맑은 고딕"/>
        <family val="0"/>
        <charset val="1"/>
      </rPr>
      <t xml:space="preserve">, </t>
    </r>
    <r>
      <rPr>
        <sz val="10"/>
        <color rgb="FF000000"/>
        <rFont val="WenQuanYi Zen Hei"/>
        <family val="2"/>
      </rPr>
      <t xml:space="preserve">변경 요청의 처리와 관련 문서의 재수정까지 조치가 이어져 완료가 확인된다</t>
    </r>
    <r>
      <rPr>
        <sz val="10"/>
        <color rgb="FF000000"/>
        <rFont val="맑은 고딕"/>
        <family val="0"/>
        <charset val="1"/>
      </rPr>
      <t xml:space="preserve">.</t>
    </r>
  </si>
  <si>
    <r>
      <rPr>
        <sz val="10"/>
        <color rgb="FF000000"/>
        <rFont val="WenQuanYi Zen Hei"/>
        <family val="2"/>
      </rPr>
      <t xml:space="preserve">우리 조직에서는 승인된 변경의 결과가 사고 대응 절차로 환류될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</si>
  <si>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FD</t>
  </si>
  <si>
    <r>
      <rPr>
        <sz val="10"/>
        <color rgb="FF000000"/>
        <rFont val="WenQuanYi Zen Hei"/>
        <family val="2"/>
      </rPr>
      <t xml:space="preserve">우리 조직에서는 사고 대응 절차에서 근거가 된 승인된 변경을 거슬러 찾아 확인할 수 있다</t>
    </r>
    <r>
      <rPr>
        <sz val="10"/>
        <color rgb="FF000000"/>
        <rFont val="맑은 고딕"/>
        <family val="0"/>
        <charset val="1"/>
      </rPr>
      <t xml:space="preserve">.</t>
    </r>
  </si>
  <si>
    <t xml:space="preserve">FE</t>
  </si>
  <si>
    <r>
      <rPr>
        <sz val="10"/>
        <color rgb="FF000000"/>
        <rFont val="WenQuanYi Zen Hei"/>
        <family val="2"/>
      </rPr>
      <t xml:space="preserve">우리 조직에서는 승인된 변경의 결과가 사고 대응 절차로 환류될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</si>
  <si>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FF</t>
  </si>
  <si>
    <r>
      <rPr>
        <sz val="10"/>
        <color rgb="FF000000"/>
        <rFont val="WenQuanYi Zen Hei"/>
        <family val="2"/>
      </rPr>
      <t xml:space="preserve">우리 조직에서는 승인된 변경의 결과가 사고 대응 절차로 환류될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</si>
  <si>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FG</t>
  </si>
  <si>
    <r>
      <rPr>
        <sz val="10"/>
        <color rgb="FF000000"/>
        <rFont val="WenQuanYi Zen Hei"/>
        <family val="2"/>
      </rPr>
      <t xml:space="preserve">우리 조직에서는 승인된 변경이 새로 나오면</t>
    </r>
    <r>
      <rPr>
        <sz val="10"/>
        <color rgb="FF000000"/>
        <rFont val="맑은 고딕"/>
        <family val="0"/>
        <charset val="1"/>
      </rPr>
      <t xml:space="preserve">, </t>
    </r>
    <r>
      <rPr>
        <sz val="10"/>
        <color rgb="FF000000"/>
        <rFont val="WenQuanYi Zen Hei"/>
        <family val="2"/>
      </rPr>
      <t xml:space="preserve">사고 대응 절차에 정해진 기간 안에 반영된다</t>
    </r>
    <r>
      <rPr>
        <sz val="10"/>
        <color rgb="FF000000"/>
        <rFont val="맑은 고딕"/>
        <family val="0"/>
        <charset val="1"/>
      </rPr>
      <t xml:space="preserve">.</t>
    </r>
  </si>
  <si>
    <t xml:space="preserve">FH</t>
  </si>
  <si>
    <r>
      <rPr>
        <sz val="10"/>
        <color rgb="FF000000"/>
        <rFont val="WenQuanYi Zen Hei"/>
        <family val="2"/>
      </rPr>
      <t xml:space="preserve">우리 조직에서는 변경이 승인되면</t>
    </r>
    <r>
      <rPr>
        <sz val="10"/>
        <color rgb="FF000000"/>
        <rFont val="맑은 고딕"/>
        <family val="0"/>
        <charset val="1"/>
      </rPr>
      <t xml:space="preserve">, </t>
    </r>
    <r>
      <rPr>
        <sz val="10"/>
        <color rgb="FF000000"/>
        <rFont val="WenQuanYi Zen Hei"/>
        <family val="2"/>
      </rPr>
      <t xml:space="preserve">사고 대응 절차의 재수정까지 조치가 이어져 완료가 확인된다</t>
    </r>
    <r>
      <rPr>
        <sz val="10"/>
        <color rgb="FF000000"/>
        <rFont val="맑은 고딕"/>
        <family val="0"/>
        <charset val="1"/>
      </rPr>
      <t xml:space="preserve">.</t>
    </r>
  </si>
  <si>
    <t xml:space="preserve">FI</t>
  </si>
  <si>
    <r>
      <rPr>
        <sz val="10"/>
        <color rgb="FF000000"/>
        <rFont val="WenQuanYi Zen Hei"/>
        <family val="2"/>
      </rPr>
      <t xml:space="preserve">우리 조직에서는 승인된 변경의 결과가 훈련</t>
    </r>
    <r>
      <rPr>
        <sz val="10"/>
        <color rgb="FF000000"/>
        <rFont val="맑은 고딕"/>
        <family val="0"/>
        <charset val="1"/>
      </rPr>
      <t xml:space="preserve">·</t>
    </r>
    <r>
      <rPr>
        <sz val="10"/>
        <color rgb="FF000000"/>
        <rFont val="WenQuanYi Zen Hei"/>
        <family val="2"/>
      </rPr>
      <t xml:space="preserve">연습 절차로 환류될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</si>
  <si>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FJ</t>
  </si>
  <si>
    <r>
      <rPr>
        <sz val="10"/>
        <color rgb="FF000000"/>
        <rFont val="WenQuanYi Zen Hei"/>
        <family val="2"/>
      </rPr>
      <t xml:space="preserve">우리 조직에서는 훈련</t>
    </r>
    <r>
      <rPr>
        <sz val="10"/>
        <color rgb="FF000000"/>
        <rFont val="맑은 고딕"/>
        <family val="0"/>
        <charset val="1"/>
      </rPr>
      <t xml:space="preserve">·</t>
    </r>
    <r>
      <rPr>
        <sz val="10"/>
        <color rgb="FF000000"/>
        <rFont val="WenQuanYi Zen Hei"/>
        <family val="2"/>
      </rPr>
      <t xml:space="preserve">연습 절차와 시나리오에서 근거가 된 승인된 변경을 거슬러 찾아 확인할 수 있다</t>
    </r>
    <r>
      <rPr>
        <sz val="10"/>
        <color rgb="FF000000"/>
        <rFont val="맑은 고딕"/>
        <family val="0"/>
        <charset val="1"/>
      </rPr>
      <t xml:space="preserve">.</t>
    </r>
  </si>
  <si>
    <t xml:space="preserve">FK</t>
  </si>
  <si>
    <r>
      <rPr>
        <sz val="10"/>
        <color rgb="FF000000"/>
        <rFont val="WenQuanYi Zen Hei"/>
        <family val="2"/>
      </rPr>
      <t xml:space="preserve">우리 조직에서는 승인된 변경의 결과가 훈련</t>
    </r>
    <r>
      <rPr>
        <sz val="10"/>
        <color rgb="FF000000"/>
        <rFont val="맑은 고딕"/>
        <family val="0"/>
        <charset val="1"/>
      </rPr>
      <t xml:space="preserve">·</t>
    </r>
    <r>
      <rPr>
        <sz val="10"/>
        <color rgb="FF000000"/>
        <rFont val="WenQuanYi Zen Hei"/>
        <family val="2"/>
      </rPr>
      <t xml:space="preserve">연습 절차로 환류될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</si>
  <si>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FL</t>
  </si>
  <si>
    <r>
      <rPr>
        <sz val="10"/>
        <color rgb="FF000000"/>
        <rFont val="WenQuanYi Zen Hei"/>
        <family val="2"/>
      </rPr>
      <t xml:space="preserve">우리 조직에서는 승인된 변경의 결과가 훈련</t>
    </r>
    <r>
      <rPr>
        <sz val="10"/>
        <color rgb="FF000000"/>
        <rFont val="맑은 고딕"/>
        <family val="0"/>
        <charset val="1"/>
      </rPr>
      <t xml:space="preserve">·</t>
    </r>
    <r>
      <rPr>
        <sz val="10"/>
        <color rgb="FF000000"/>
        <rFont val="WenQuanYi Zen Hei"/>
        <family val="2"/>
      </rPr>
      <t xml:space="preserve">연습 절차로 환류될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</si>
  <si>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FM</t>
  </si>
  <si>
    <r>
      <rPr>
        <sz val="10"/>
        <color rgb="FF000000"/>
        <rFont val="WenQuanYi Zen Hei"/>
        <family val="2"/>
      </rPr>
      <t xml:space="preserve">우리 조직에서는 승인된 변경이 새로 나오면</t>
    </r>
    <r>
      <rPr>
        <sz val="10"/>
        <color rgb="FF000000"/>
        <rFont val="맑은 고딕"/>
        <family val="0"/>
        <charset val="1"/>
      </rPr>
      <t xml:space="preserve">, </t>
    </r>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연습 절차와 시나리오에 정해진 기간 안에 반영된다</t>
    </r>
    <r>
      <rPr>
        <sz val="10"/>
        <color rgb="FF000000"/>
        <rFont val="맑은 고딕"/>
        <family val="0"/>
        <charset val="1"/>
      </rPr>
      <t xml:space="preserve">.</t>
    </r>
  </si>
  <si>
    <t xml:space="preserve">FN</t>
  </si>
  <si>
    <r>
      <rPr>
        <sz val="10"/>
        <color rgb="FF000000"/>
        <rFont val="WenQuanYi Zen Hei"/>
        <family val="2"/>
      </rPr>
      <t xml:space="preserve">우리 조직에서는 변경이 승인되면</t>
    </r>
    <r>
      <rPr>
        <sz val="10"/>
        <color rgb="FF000000"/>
        <rFont val="맑은 고딕"/>
        <family val="0"/>
        <charset val="1"/>
      </rPr>
      <t xml:space="preserve">, </t>
    </r>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연습 절차의 재수정까지 조치가 이어져 완료가 확인된다</t>
    </r>
    <r>
      <rPr>
        <sz val="10"/>
        <color rgb="FF000000"/>
        <rFont val="맑은 고딕"/>
        <family val="0"/>
        <charset val="1"/>
      </rPr>
      <t xml:space="preserve">.</t>
    </r>
  </si>
  <si>
    <t xml:space="preserve">FO</t>
  </si>
  <si>
    <r>
      <rPr>
        <sz val="10"/>
        <color rgb="FF000000"/>
        <rFont val="WenQuanYi Zen Hei"/>
        <family val="2"/>
      </rPr>
      <t xml:space="preserve">우리 조직에서는 </t>
    </r>
    <r>
      <rPr>
        <sz val="10"/>
        <color rgb="FF000000"/>
        <rFont val="맑은 고딕"/>
        <family val="0"/>
        <charset val="1"/>
      </rPr>
      <t xml:space="preserve">BCMS </t>
    </r>
    <r>
      <rPr>
        <sz val="10"/>
        <color rgb="FF000000"/>
        <rFont val="WenQuanYi Zen Hei"/>
        <family val="2"/>
      </rPr>
      <t xml:space="preserve">프로세스의 주요 결과가 이해관계자에게 전달될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</si>
  <si>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FP</t>
  </si>
  <si>
    <r>
      <rPr>
        <sz val="10"/>
        <color rgb="FF000000"/>
        <rFont val="WenQuanYi Zen Hei"/>
        <family val="2"/>
      </rPr>
      <t xml:space="preserve">우리 조직에서는 이해관계자 보고 내용에서 근거가 된 </t>
    </r>
    <r>
      <rPr>
        <sz val="10"/>
        <color rgb="FF000000"/>
        <rFont val="맑은 고딕"/>
        <family val="0"/>
        <charset val="1"/>
      </rPr>
      <t xml:space="preserve">BCMS </t>
    </r>
    <r>
      <rPr>
        <sz val="10"/>
        <color rgb="FF000000"/>
        <rFont val="WenQuanYi Zen Hei"/>
        <family val="2"/>
      </rPr>
      <t xml:space="preserve">프로세스의 주요 결과를 거슬러 찾아 확인할 수 있다</t>
    </r>
    <r>
      <rPr>
        <sz val="10"/>
        <color rgb="FF000000"/>
        <rFont val="맑은 고딕"/>
        <family val="0"/>
        <charset val="1"/>
      </rPr>
      <t xml:space="preserve">.</t>
    </r>
  </si>
  <si>
    <t xml:space="preserve">FQ</t>
  </si>
  <si>
    <r>
      <rPr>
        <sz val="10"/>
        <color rgb="FF000000"/>
        <rFont val="WenQuanYi Zen Hei"/>
        <family val="2"/>
      </rPr>
      <t xml:space="preserve">우리 조직에서는 </t>
    </r>
    <r>
      <rPr>
        <sz val="10"/>
        <color rgb="FF000000"/>
        <rFont val="맑은 고딕"/>
        <family val="0"/>
        <charset val="1"/>
      </rPr>
      <t xml:space="preserve">BCMS </t>
    </r>
    <r>
      <rPr>
        <sz val="10"/>
        <color rgb="FF000000"/>
        <rFont val="WenQuanYi Zen Hei"/>
        <family val="2"/>
      </rPr>
      <t xml:space="preserve">프로세스의 주요 결과가 이해관계자에게 전달될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</si>
  <si>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FR</t>
  </si>
  <si>
    <r>
      <rPr>
        <sz val="10"/>
        <color rgb="FF000000"/>
        <rFont val="WenQuanYi Zen Hei"/>
        <family val="2"/>
      </rPr>
      <t xml:space="preserve">우리 조직에서는 </t>
    </r>
    <r>
      <rPr>
        <sz val="10"/>
        <color rgb="FF000000"/>
        <rFont val="맑은 고딕"/>
        <family val="0"/>
        <charset val="1"/>
      </rPr>
      <t xml:space="preserve">BCMS </t>
    </r>
    <r>
      <rPr>
        <sz val="10"/>
        <color rgb="FF000000"/>
        <rFont val="WenQuanYi Zen Hei"/>
        <family val="2"/>
      </rPr>
      <t xml:space="preserve">프로세스의 주요 결과가 이해관계자에게 전달될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</si>
  <si>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FS</t>
  </si>
  <si>
    <r>
      <rPr>
        <sz val="10"/>
        <color rgb="FF000000"/>
        <rFont val="WenQuanYi Zen Hei"/>
        <family val="2"/>
      </rPr>
      <t xml:space="preserve">우리 조직에서는 </t>
    </r>
    <r>
      <rPr>
        <sz val="10"/>
        <color rgb="FF000000"/>
        <rFont val="맑은 고딕"/>
        <family val="0"/>
        <charset val="1"/>
      </rPr>
      <t xml:space="preserve">BCMS </t>
    </r>
    <r>
      <rPr>
        <sz val="10"/>
        <color rgb="FF000000"/>
        <rFont val="WenQuanYi Zen Hei"/>
        <family val="2"/>
      </rPr>
      <t xml:space="preserve">프로세스의 주요 결과가 크게 바뀌면</t>
    </r>
    <r>
      <rPr>
        <sz val="10"/>
        <color rgb="FF000000"/>
        <rFont val="맑은 고딕"/>
        <family val="0"/>
        <charset val="1"/>
      </rPr>
      <t xml:space="preserve">, </t>
    </r>
    <r>
      <rPr>
        <sz val="10"/>
        <color rgb="FF000000"/>
        <rFont val="WenQuanYi Zen Hei"/>
        <family val="2"/>
      </rPr>
      <t xml:space="preserve">이해관계자 보고 내용에 정해진 기간 안에 반영된다</t>
    </r>
    <r>
      <rPr>
        <sz val="10"/>
        <color rgb="FF000000"/>
        <rFont val="맑은 고딕"/>
        <family val="0"/>
        <charset val="1"/>
      </rPr>
      <t xml:space="preserve">.</t>
    </r>
  </si>
  <si>
    <t xml:space="preserve">FT</t>
  </si>
  <si>
    <r>
      <rPr>
        <sz val="10"/>
        <color rgb="FF000000"/>
        <rFont val="WenQuanYi Zen Hei"/>
        <family val="2"/>
      </rPr>
      <t xml:space="preserve">우리 조직에서는 커뮤니케이션 보고와 요구사항이 경영진 검토의 입력이 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</si>
  <si>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FU</t>
  </si>
  <si>
    <r>
      <rPr>
        <sz val="10"/>
        <color rgb="FF000000"/>
        <rFont val="WenQuanYi Zen Hei"/>
        <family val="2"/>
      </rPr>
      <t xml:space="preserve">우리 조직에서는 경영진 검토 안건에서 근거가 된 이해관계자 보고와 요구사항을 거슬러 찾아 확인할 수 있다</t>
    </r>
    <r>
      <rPr>
        <sz val="10"/>
        <color rgb="FF000000"/>
        <rFont val="맑은 고딕"/>
        <family val="0"/>
        <charset val="1"/>
      </rPr>
      <t xml:space="preserve">.</t>
    </r>
  </si>
  <si>
    <t xml:space="preserve">FV</t>
  </si>
  <si>
    <r>
      <rPr>
        <sz val="10"/>
        <color rgb="FF000000"/>
        <rFont val="WenQuanYi Zen Hei"/>
        <family val="2"/>
      </rPr>
      <t xml:space="preserve">우리 조직에서는 커뮤니케이션 보고와 요구사항이 경영진 검토의 입력이 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</si>
  <si>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FW</t>
  </si>
  <si>
    <r>
      <rPr>
        <sz val="10"/>
        <color rgb="FF000000"/>
        <rFont val="WenQuanYi Zen Hei"/>
        <family val="2"/>
      </rPr>
      <t xml:space="preserve">우리 조직에서는 커뮤니케이션 보고와 요구사항이 경영진 검토의 입력이 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</si>
  <si>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FX</t>
  </si>
  <si>
    <r>
      <rPr>
        <sz val="10"/>
        <color rgb="FF000000"/>
        <rFont val="WenQuanYi Zen Hei"/>
        <family val="2"/>
      </rPr>
      <t xml:space="preserve">우리 조직에서는 새 보고나 요구사항이 접수되면</t>
    </r>
    <r>
      <rPr>
        <sz val="10"/>
        <color rgb="FF000000"/>
        <rFont val="맑은 고딕"/>
        <family val="0"/>
        <charset val="1"/>
      </rPr>
      <t xml:space="preserve">, </t>
    </r>
    <r>
      <rPr>
        <sz val="10"/>
        <color rgb="FF000000"/>
        <rFont val="WenQuanYi Zen Hei"/>
        <family val="2"/>
      </rPr>
      <t xml:space="preserve">경영진 검토 안건에 정해진 기간 안에 반영된다</t>
    </r>
    <r>
      <rPr>
        <sz val="10"/>
        <color rgb="FF000000"/>
        <rFont val="맑은 고딕"/>
        <family val="0"/>
        <charset val="1"/>
      </rPr>
      <t xml:space="preserve">.</t>
    </r>
  </si>
  <si>
    <t xml:space="preserve">FY</t>
  </si>
  <si>
    <r>
      <rPr>
        <sz val="10"/>
        <color rgb="FF000000"/>
        <rFont val="WenQuanYi Zen Hei"/>
        <family val="2"/>
      </rPr>
      <t xml:space="preserve">우리 조직에서는 경영진이 정한 </t>
    </r>
    <r>
      <rPr>
        <sz val="10"/>
        <color rgb="FF000000"/>
        <rFont val="맑은 고딕"/>
        <family val="0"/>
        <charset val="1"/>
      </rPr>
      <t xml:space="preserve">BC </t>
    </r>
    <r>
      <rPr>
        <sz val="10"/>
        <color rgb="FF000000"/>
        <rFont val="WenQuanYi Zen Hei"/>
        <family val="2"/>
      </rPr>
      <t xml:space="preserve">목표</t>
    </r>
    <r>
      <rPr>
        <sz val="10"/>
        <color rgb="FF000000"/>
        <rFont val="맑은 고딕"/>
        <family val="0"/>
        <charset val="1"/>
      </rPr>
      <t xml:space="preserve">·</t>
    </r>
    <r>
      <rPr>
        <sz val="10"/>
        <color rgb="FF000000"/>
        <rFont val="WenQuanYi Zen Hei"/>
        <family val="2"/>
      </rPr>
      <t xml:space="preserve">방향에서 </t>
    </r>
    <r>
      <rPr>
        <sz val="10"/>
        <color rgb="FF000000"/>
        <rFont val="맑은 고딕"/>
        <family val="0"/>
        <charset val="1"/>
      </rPr>
      <t xml:space="preserve">BC </t>
    </r>
    <r>
      <rPr>
        <sz val="10"/>
        <color rgb="FF000000"/>
        <rFont val="WenQuanYi Zen Hei"/>
        <family val="2"/>
      </rPr>
      <t xml:space="preserve">정책이 도출될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</si>
  <si>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FZ</t>
  </si>
  <si>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정책에서 근거가 된 경영진의 </t>
    </r>
    <r>
      <rPr>
        <sz val="10"/>
        <color rgb="FF000000"/>
        <rFont val="맑은 고딕"/>
        <family val="0"/>
        <charset val="1"/>
      </rPr>
      <t xml:space="preserve">BC </t>
    </r>
    <r>
      <rPr>
        <sz val="10"/>
        <color rgb="FF000000"/>
        <rFont val="WenQuanYi Zen Hei"/>
        <family val="2"/>
      </rPr>
      <t xml:space="preserve">목표</t>
    </r>
    <r>
      <rPr>
        <sz val="10"/>
        <color rgb="FF000000"/>
        <rFont val="맑은 고딕"/>
        <family val="0"/>
        <charset val="1"/>
      </rPr>
      <t xml:space="preserve">·</t>
    </r>
    <r>
      <rPr>
        <sz val="10"/>
        <color rgb="FF000000"/>
        <rFont val="WenQuanYi Zen Hei"/>
        <family val="2"/>
      </rPr>
      <t xml:space="preserve">방향을 거슬러 찾아 확인할 수 있다</t>
    </r>
    <r>
      <rPr>
        <sz val="10"/>
        <color rgb="FF000000"/>
        <rFont val="맑은 고딕"/>
        <family val="0"/>
        <charset val="1"/>
      </rPr>
      <t xml:space="preserve">.</t>
    </r>
  </si>
  <si>
    <t xml:space="preserve">GA</t>
  </si>
  <si>
    <r>
      <rPr>
        <sz val="10"/>
        <color rgb="FF000000"/>
        <rFont val="WenQuanYi Zen Hei"/>
        <family val="2"/>
      </rPr>
      <t xml:space="preserve">우리 조직에서는 경영진이 정한 </t>
    </r>
    <r>
      <rPr>
        <sz val="10"/>
        <color rgb="FF000000"/>
        <rFont val="맑은 고딕"/>
        <family val="0"/>
        <charset val="1"/>
      </rPr>
      <t xml:space="preserve">BC </t>
    </r>
    <r>
      <rPr>
        <sz val="10"/>
        <color rgb="FF000000"/>
        <rFont val="WenQuanYi Zen Hei"/>
        <family val="2"/>
      </rPr>
      <t xml:space="preserve">목표</t>
    </r>
    <r>
      <rPr>
        <sz val="10"/>
        <color rgb="FF000000"/>
        <rFont val="맑은 고딕"/>
        <family val="0"/>
        <charset val="1"/>
      </rPr>
      <t xml:space="preserve">·</t>
    </r>
    <r>
      <rPr>
        <sz val="10"/>
        <color rgb="FF000000"/>
        <rFont val="WenQuanYi Zen Hei"/>
        <family val="2"/>
      </rPr>
      <t xml:space="preserve">방향에서 </t>
    </r>
    <r>
      <rPr>
        <sz val="10"/>
        <color rgb="FF000000"/>
        <rFont val="맑은 고딕"/>
        <family val="0"/>
        <charset val="1"/>
      </rPr>
      <t xml:space="preserve">BC </t>
    </r>
    <r>
      <rPr>
        <sz val="10"/>
        <color rgb="FF000000"/>
        <rFont val="WenQuanYi Zen Hei"/>
        <family val="2"/>
      </rPr>
      <t xml:space="preserve">정책이 도출될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</si>
  <si>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GB</t>
  </si>
  <si>
    <r>
      <rPr>
        <sz val="10"/>
        <color rgb="FF000000"/>
        <rFont val="WenQuanYi Zen Hei"/>
        <family val="2"/>
      </rPr>
      <t xml:space="preserve">우리 조직에서는 경영진이 정한 </t>
    </r>
    <r>
      <rPr>
        <sz val="10"/>
        <color rgb="FF000000"/>
        <rFont val="맑은 고딕"/>
        <family val="0"/>
        <charset val="1"/>
      </rPr>
      <t xml:space="preserve">BC </t>
    </r>
    <r>
      <rPr>
        <sz val="10"/>
        <color rgb="FF000000"/>
        <rFont val="WenQuanYi Zen Hei"/>
        <family val="2"/>
      </rPr>
      <t xml:space="preserve">목표</t>
    </r>
    <r>
      <rPr>
        <sz val="10"/>
        <color rgb="FF000000"/>
        <rFont val="맑은 고딕"/>
        <family val="0"/>
        <charset val="1"/>
      </rPr>
      <t xml:space="preserve">·</t>
    </r>
    <r>
      <rPr>
        <sz val="10"/>
        <color rgb="FF000000"/>
        <rFont val="WenQuanYi Zen Hei"/>
        <family val="2"/>
      </rPr>
      <t xml:space="preserve">방향에서 </t>
    </r>
    <r>
      <rPr>
        <sz val="10"/>
        <color rgb="FF000000"/>
        <rFont val="맑은 고딕"/>
        <family val="0"/>
        <charset val="1"/>
      </rPr>
      <t xml:space="preserve">BC </t>
    </r>
    <r>
      <rPr>
        <sz val="10"/>
        <color rgb="FF000000"/>
        <rFont val="WenQuanYi Zen Hei"/>
        <family val="2"/>
      </rPr>
      <t xml:space="preserve">정책이 도출될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</si>
  <si>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GC</t>
  </si>
  <si>
    <r>
      <rPr>
        <sz val="10"/>
        <color rgb="FF000000"/>
        <rFont val="WenQuanYi Zen Hei"/>
        <family val="2"/>
      </rPr>
      <t xml:space="preserve">우리 조직에서는 경영진의 </t>
    </r>
    <r>
      <rPr>
        <sz val="10"/>
        <color rgb="FF000000"/>
        <rFont val="맑은 고딕"/>
        <family val="0"/>
        <charset val="1"/>
      </rPr>
      <t xml:space="preserve">BC </t>
    </r>
    <r>
      <rPr>
        <sz val="10"/>
        <color rgb="FF000000"/>
        <rFont val="WenQuanYi Zen Hei"/>
        <family val="2"/>
      </rPr>
      <t xml:space="preserve">목표</t>
    </r>
    <r>
      <rPr>
        <sz val="10"/>
        <color rgb="FF000000"/>
        <rFont val="맑은 고딕"/>
        <family val="0"/>
        <charset val="1"/>
      </rPr>
      <t xml:space="preserve">·</t>
    </r>
    <r>
      <rPr>
        <sz val="10"/>
        <color rgb="FF000000"/>
        <rFont val="WenQuanYi Zen Hei"/>
        <family val="2"/>
      </rPr>
      <t xml:space="preserve">방향이 바뀌면</t>
    </r>
    <r>
      <rPr>
        <sz val="10"/>
        <color rgb="FF000000"/>
        <rFont val="맑은 고딕"/>
        <family val="0"/>
        <charset val="1"/>
      </rPr>
      <t xml:space="preserve">, BC </t>
    </r>
    <r>
      <rPr>
        <sz val="10"/>
        <color rgb="FF000000"/>
        <rFont val="WenQuanYi Zen Hei"/>
        <family val="2"/>
      </rPr>
      <t xml:space="preserve">정책에 정해진 기간 안에 반영된다</t>
    </r>
    <r>
      <rPr>
        <sz val="10"/>
        <color rgb="FF000000"/>
        <rFont val="맑은 고딕"/>
        <family val="0"/>
        <charset val="1"/>
      </rPr>
      <t xml:space="preserve">.</t>
    </r>
  </si>
  <si>
    <t xml:space="preserve">GD</t>
  </si>
  <si>
    <r>
      <rPr>
        <sz val="10"/>
        <color rgb="FF000000"/>
        <rFont val="WenQuanYi Zen Hei"/>
        <family val="2"/>
      </rPr>
      <t xml:space="preserve">우리 조직에서는 자원관리가 핵심 프로세스에 자원과 사용 현황 보고를 제공할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</si>
  <si>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GE</t>
  </si>
  <si>
    <r>
      <rPr>
        <sz val="10"/>
        <color rgb="FF000000"/>
        <rFont val="WenQuanYi Zen Hei"/>
        <family val="2"/>
      </rPr>
      <t xml:space="preserve">우리 조직에서는 핵심 프로세스의 자원 배분에서 근거가 된 자원 사용 현황을 거슬러 찾아 확인할 수 있다</t>
    </r>
    <r>
      <rPr>
        <sz val="10"/>
        <color rgb="FF000000"/>
        <rFont val="맑은 고딕"/>
        <family val="0"/>
        <charset val="1"/>
      </rPr>
      <t xml:space="preserve">.</t>
    </r>
  </si>
  <si>
    <t xml:space="preserve">GF</t>
  </si>
  <si>
    <r>
      <rPr>
        <sz val="10"/>
        <color rgb="FF000000"/>
        <rFont val="WenQuanYi Zen Hei"/>
        <family val="2"/>
      </rPr>
      <t xml:space="preserve">우리 조직에서는 자원관리가 핵심 프로세스에 자원과 사용 현황 보고를 제공할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</si>
  <si>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GG</t>
  </si>
  <si>
    <r>
      <rPr>
        <sz val="10"/>
        <color rgb="FF000000"/>
        <rFont val="WenQuanYi Zen Hei"/>
        <family val="2"/>
      </rPr>
      <t xml:space="preserve">우리 조직에서는 자원관리가 핵심 프로세스에 자원과 사용 현황 보고를 제공할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</si>
  <si>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GH</t>
  </si>
  <si>
    <r>
      <rPr>
        <sz val="10"/>
        <color rgb="FF000000"/>
        <rFont val="WenQuanYi Zen Hei"/>
        <family val="2"/>
      </rPr>
      <t xml:space="preserve">우리 조직에서는 자원 사용 현황이 바뀌면</t>
    </r>
    <r>
      <rPr>
        <sz val="10"/>
        <color rgb="FF000000"/>
        <rFont val="맑은 고딕"/>
        <family val="0"/>
        <charset val="1"/>
      </rPr>
      <t xml:space="preserve">, </t>
    </r>
    <r>
      <rPr>
        <sz val="10"/>
        <color rgb="FF000000"/>
        <rFont val="WenQuanYi Zen Hei"/>
        <family val="2"/>
      </rPr>
      <t xml:space="preserve">핵심 프로세스의 자원 배분에 정해진 기간 안에 반영된다</t>
    </r>
    <r>
      <rPr>
        <sz val="10"/>
        <color rgb="FF000000"/>
        <rFont val="맑은 고딕"/>
        <family val="0"/>
        <charset val="1"/>
      </rPr>
      <t xml:space="preserve">.</t>
    </r>
  </si>
  <si>
    <t xml:space="preserve">GI</t>
  </si>
  <si>
    <r>
      <rPr>
        <sz val="10"/>
        <color rgb="FF000000"/>
        <rFont val="WenQuanYi Zen Hei"/>
        <family val="2"/>
      </rPr>
      <t xml:space="preserve">우리 조직에서는 자원 사용 현황 보고가 고객관계관리에 제공될 때</t>
    </r>
    <r>
      <rPr>
        <sz val="10"/>
        <color rgb="FF000000"/>
        <rFont val="맑은 고딕"/>
        <family val="0"/>
        <charset val="1"/>
      </rPr>
      <t xml:space="preserve">, </t>
    </r>
    <r>
      <rPr>
        <sz val="10"/>
        <color rgb="FF000000"/>
        <rFont val="WenQuanYi Zen Hei"/>
        <family val="2"/>
      </rPr>
      <t xml:space="preserve">두 내용이 서로 모순 없이 일치한다</t>
    </r>
    <r>
      <rPr>
        <sz val="10"/>
        <color rgb="FF000000"/>
        <rFont val="맑은 고딕"/>
        <family val="0"/>
        <charset val="1"/>
      </rPr>
      <t xml:space="preserve">.</t>
    </r>
  </si>
  <si>
    <t xml:space="preserve">GJ</t>
  </si>
  <si>
    <r>
      <rPr>
        <sz val="10"/>
        <color rgb="FF000000"/>
        <rFont val="WenQuanYi Zen Hei"/>
        <family val="2"/>
      </rPr>
      <t xml:space="preserve">우리 조직에서는 고객관계관리 보고에서 근거가 된 자원 사용 현황을 거슬러 찾아 확인할 수 있다</t>
    </r>
    <r>
      <rPr>
        <sz val="10"/>
        <color rgb="FF000000"/>
        <rFont val="맑은 고딕"/>
        <family val="0"/>
        <charset val="1"/>
      </rPr>
      <t xml:space="preserve">.</t>
    </r>
  </si>
  <si>
    <t xml:space="preserve">GK</t>
  </si>
  <si>
    <r>
      <rPr>
        <sz val="10"/>
        <color rgb="FF000000"/>
        <rFont val="WenQuanYi Zen Hei"/>
        <family val="2"/>
      </rPr>
      <t xml:space="preserve">우리 조직에서는 자원 사용 현황 보고가 고객관계관리에 제공될 때</t>
    </r>
    <r>
      <rPr>
        <sz val="10"/>
        <color rgb="FF000000"/>
        <rFont val="맑은 고딕"/>
        <family val="0"/>
        <charset val="1"/>
      </rPr>
      <t xml:space="preserve">, </t>
    </r>
    <r>
      <rPr>
        <sz val="10"/>
        <color rgb="FF000000"/>
        <rFont val="WenQuanYi Zen Hei"/>
        <family val="2"/>
      </rPr>
      <t xml:space="preserve">그 사실을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검토 기록</t>
    </r>
    <r>
      <rPr>
        <sz val="10"/>
        <color rgb="FF000000"/>
        <rFont val="맑은 고딕"/>
        <family val="0"/>
        <charset val="1"/>
      </rPr>
      <t xml:space="preserve">, </t>
    </r>
    <r>
      <rPr>
        <sz val="10"/>
        <color rgb="FF000000"/>
        <rFont val="WenQuanYi Zen Hei"/>
        <family val="2"/>
      </rPr>
      <t xml:space="preserve">회의록</t>
    </r>
    <r>
      <rPr>
        <sz val="10"/>
        <color rgb="FF000000"/>
        <rFont val="맑은 고딕"/>
        <family val="0"/>
        <charset val="1"/>
      </rPr>
      <t xml:space="preserve">, </t>
    </r>
    <r>
      <rPr>
        <sz val="10"/>
        <color rgb="FF000000"/>
        <rFont val="WenQuanYi Zen Hei"/>
        <family val="2"/>
      </rPr>
      <t xml:space="preserve">버전 이력 등</t>
    </r>
    <r>
      <rPr>
        <sz val="10"/>
        <color rgb="FF000000"/>
        <rFont val="맑은 고딕"/>
        <family val="0"/>
        <charset val="1"/>
      </rPr>
      <t xml:space="preserve">)</t>
    </r>
    <r>
      <rPr>
        <sz val="10"/>
        <color rgb="FF000000"/>
        <rFont val="WenQuanYi Zen Hei"/>
        <family val="2"/>
      </rPr>
      <t xml:space="preserve">이 남아 있다</t>
    </r>
    <r>
      <rPr>
        <sz val="10"/>
        <color rgb="FF000000"/>
        <rFont val="맑은 고딕"/>
        <family val="0"/>
        <charset val="1"/>
      </rPr>
      <t xml:space="preserve">.</t>
    </r>
  </si>
  <si>
    <t xml:space="preserve">GL</t>
  </si>
  <si>
    <r>
      <rPr>
        <sz val="10"/>
        <color rgb="FF000000"/>
        <rFont val="WenQuanYi Zen Hei"/>
        <family val="2"/>
      </rPr>
      <t xml:space="preserve">우리 조직에서는 자원 사용 현황 보고가 고객관계관리에 제공될 때</t>
    </r>
    <r>
      <rPr>
        <sz val="10"/>
        <color rgb="FF000000"/>
        <rFont val="맑은 고딕"/>
        <family val="0"/>
        <charset val="1"/>
      </rPr>
      <t xml:space="preserve">, </t>
    </r>
    <r>
      <rPr>
        <sz val="10"/>
        <color rgb="FF000000"/>
        <rFont val="WenQuanYi Zen Hei"/>
        <family val="2"/>
      </rPr>
      <t xml:space="preserve">그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변경에 대한 책임자</t>
    </r>
    <r>
      <rPr>
        <sz val="10"/>
        <color rgb="FF000000"/>
        <rFont val="맑은 고딕"/>
        <family val="0"/>
        <charset val="1"/>
      </rPr>
      <t xml:space="preserve">(</t>
    </r>
    <r>
      <rPr>
        <sz val="10"/>
        <color rgb="FF000000"/>
        <rFont val="WenQuanYi Zen Hei"/>
        <family val="2"/>
      </rPr>
      <t xml:space="preserve">또는 부서</t>
    </r>
    <r>
      <rPr>
        <sz val="10"/>
        <color rgb="FF000000"/>
        <rFont val="맑은 고딕"/>
        <family val="0"/>
        <charset val="1"/>
      </rPr>
      <t xml:space="preserve">)</t>
    </r>
    <r>
      <rPr>
        <sz val="10"/>
        <color rgb="FF000000"/>
        <rFont val="WenQuanYi Zen Hei"/>
        <family val="2"/>
      </rPr>
      <t xml:space="preserve">가 정해져 있다</t>
    </r>
    <r>
      <rPr>
        <sz val="10"/>
        <color rgb="FF000000"/>
        <rFont val="맑은 고딕"/>
        <family val="0"/>
        <charset val="1"/>
      </rPr>
      <t xml:space="preserve">.</t>
    </r>
  </si>
  <si>
    <t xml:space="preserve">GM</t>
  </si>
  <si>
    <r>
      <rPr>
        <sz val="10"/>
        <color rgb="FF000000"/>
        <rFont val="WenQuanYi Zen Hei"/>
        <family val="2"/>
      </rPr>
      <t xml:space="preserve">우리 조직에서는 자원 사용 현황이 바뀌면</t>
    </r>
    <r>
      <rPr>
        <sz val="10"/>
        <color rgb="FF000000"/>
        <rFont val="맑은 고딕"/>
        <family val="0"/>
        <charset val="1"/>
      </rPr>
      <t xml:space="preserve">, </t>
    </r>
    <r>
      <rPr>
        <sz val="10"/>
        <color rgb="FF000000"/>
        <rFont val="WenQuanYi Zen Hei"/>
        <family val="2"/>
      </rPr>
      <t xml:space="preserve">고객관계관리 보고에 정해진 기간 안에 반영된다</t>
    </r>
    <r>
      <rPr>
        <sz val="10"/>
        <color rgb="FF000000"/>
        <rFont val="맑은 고딕"/>
        <family val="0"/>
        <charset val="1"/>
      </rPr>
      <t xml:space="preserve">.</t>
    </r>
  </si>
  <si>
    <t xml:space="preserve">GN</t>
  </si>
  <si>
    <t xml:space="preserve">DQ01</t>
  </si>
  <si>
    <r>
      <rPr>
        <sz val="10"/>
        <color rgb="FF000000"/>
        <rFont val="맑은 고딕"/>
        <family val="0"/>
        <charset val="1"/>
      </rPr>
      <t xml:space="preserve">D </t>
    </r>
    <r>
      <rPr>
        <sz val="10"/>
        <color rgb="FF000000"/>
        <rFont val="WenQuanYi Zen Hei"/>
        <family val="2"/>
      </rPr>
      <t xml:space="preserve">종합</t>
    </r>
  </si>
  <si>
    <t xml:space="preserve">종합</t>
  </si>
  <si>
    <r>
      <rPr>
        <sz val="10"/>
        <color rgb="FF000000"/>
        <rFont val="WenQuanYi Zen Hei"/>
        <family val="2"/>
      </rPr>
      <t xml:space="preserve">정합성</t>
    </r>
    <r>
      <rPr>
        <sz val="10"/>
        <color rgb="FF000000"/>
        <rFont val="맑은 고딕"/>
        <family val="0"/>
        <charset val="1"/>
      </rPr>
      <t xml:space="preserve">(</t>
    </r>
    <r>
      <rPr>
        <sz val="10"/>
        <color rgb="FF000000"/>
        <rFont val="WenQuanYi Zen Hei"/>
        <family val="2"/>
      </rPr>
      <t xml:space="preserve">종합</t>
    </r>
    <r>
      <rPr>
        <sz val="10"/>
        <color rgb="FF000000"/>
        <rFont val="맑은 고딕"/>
        <family val="0"/>
        <charset val="1"/>
      </rPr>
      <t xml:space="preserve">)</t>
    </r>
  </si>
  <si>
    <r>
      <rPr>
        <sz val="10"/>
        <color rgb="FF000000"/>
        <rFont val="WenQuanYi Zen Hei"/>
        <family val="2"/>
      </rPr>
      <t xml:space="preserve">우리 조직의 </t>
    </r>
    <r>
      <rPr>
        <sz val="10"/>
        <color rgb="FF000000"/>
        <rFont val="맑은 고딕"/>
        <family val="0"/>
        <charset val="1"/>
      </rPr>
      <t xml:space="preserve">BC </t>
    </r>
    <r>
      <rPr>
        <sz val="10"/>
        <color rgb="FF000000"/>
        <rFont val="WenQuanYi Zen Hei"/>
        <family val="2"/>
      </rPr>
      <t xml:space="preserve">프로세스 간 연결에서 선행 산출물과 후행 의사결정은 모순 없이 일치한다</t>
    </r>
    <r>
      <rPr>
        <sz val="10"/>
        <color rgb="FF000000"/>
        <rFont val="맑은 고딕"/>
        <family val="0"/>
        <charset val="1"/>
      </rPr>
      <t xml:space="preserve">.</t>
    </r>
  </si>
  <si>
    <t xml:space="preserve">GO</t>
  </si>
  <si>
    <r>
      <rPr>
        <sz val="10"/>
        <color rgb="FF000000"/>
        <rFont val="WenQuanYi Zen Hei"/>
        <family val="2"/>
      </rPr>
      <t xml:space="preserve">첨부 문서의 차원 정의 </t>
    </r>
    <r>
      <rPr>
        <sz val="10"/>
        <color rgb="FF000000"/>
        <rFont val="맑은 고딕"/>
        <family val="0"/>
        <charset val="1"/>
      </rPr>
      <t xml:space="preserve">+ </t>
    </r>
    <r>
      <rPr>
        <sz val="10"/>
        <color rgb="FF000000"/>
        <rFont val="WenQuanYi Zen Hei"/>
        <family val="2"/>
      </rPr>
      <t xml:space="preserve">연구자 문항화 </t>
    </r>
    <r>
      <rPr>
        <sz val="10"/>
        <color rgb="FF000000"/>
        <rFont val="맑은 고딕"/>
        <family val="0"/>
        <charset val="1"/>
      </rPr>
      <t xml:space="preserve">· </t>
    </r>
    <r>
      <rPr>
        <sz val="10"/>
        <color rgb="FF000000"/>
        <rFont val="WenQuanYi Zen Hei"/>
        <family val="2"/>
      </rPr>
      <t xml:space="preserve">인용 </t>
    </r>
    <r>
      <rPr>
        <sz val="10"/>
        <color rgb="FF000000"/>
        <rFont val="맑은 고딕"/>
        <family val="0"/>
        <charset val="1"/>
      </rPr>
      <t xml:space="preserve">A33 / A14 / A16</t>
    </r>
  </si>
  <si>
    <t xml:space="preserve">DQ02</t>
  </si>
  <si>
    <r>
      <rPr>
        <sz val="10"/>
        <color rgb="FF000000"/>
        <rFont val="WenQuanYi Zen Hei"/>
        <family val="2"/>
      </rPr>
      <t xml:space="preserve">추적성</t>
    </r>
    <r>
      <rPr>
        <sz val="10"/>
        <color rgb="FF000000"/>
        <rFont val="맑은 고딕"/>
        <family val="0"/>
        <charset val="1"/>
      </rPr>
      <t xml:space="preserve">(</t>
    </r>
    <r>
      <rPr>
        <sz val="10"/>
        <color rgb="FF000000"/>
        <rFont val="WenQuanYi Zen Hei"/>
        <family val="2"/>
      </rPr>
      <t xml:space="preserve">종합</t>
    </r>
    <r>
      <rPr>
        <sz val="10"/>
        <color rgb="FF000000"/>
        <rFont val="맑은 고딕"/>
        <family val="0"/>
        <charset val="1"/>
      </rPr>
      <t xml:space="preserve">)</t>
    </r>
  </si>
  <si>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프로세스의 후행 결과에서 근거가 된 선행 산출물을 거슬러 찾아 확인할 수 있다</t>
    </r>
    <r>
      <rPr>
        <sz val="10"/>
        <color rgb="FF000000"/>
        <rFont val="맑은 고딕"/>
        <family val="0"/>
        <charset val="1"/>
      </rPr>
      <t xml:space="preserve">.</t>
    </r>
  </si>
  <si>
    <t xml:space="preserve">GP</t>
  </si>
  <si>
    <r>
      <rPr>
        <sz val="10"/>
        <color rgb="FF000000"/>
        <rFont val="WenQuanYi Zen Hei"/>
        <family val="2"/>
      </rPr>
      <t xml:space="preserve">첨부 문서의 차원 정의 </t>
    </r>
    <r>
      <rPr>
        <sz val="10"/>
        <color rgb="FF000000"/>
        <rFont val="맑은 고딕"/>
        <family val="0"/>
        <charset val="1"/>
      </rPr>
      <t xml:space="preserve">+ </t>
    </r>
    <r>
      <rPr>
        <sz val="10"/>
        <color rgb="FF000000"/>
        <rFont val="WenQuanYi Zen Hei"/>
        <family val="2"/>
      </rPr>
      <t xml:space="preserve">연구자 문항화</t>
    </r>
  </si>
  <si>
    <t xml:space="preserve">DQ03</t>
  </si>
  <si>
    <r>
      <rPr>
        <sz val="10"/>
        <color rgb="FF000000"/>
        <rFont val="WenQuanYi Zen Hei"/>
        <family val="2"/>
      </rPr>
      <t xml:space="preserve">증빙성</t>
    </r>
    <r>
      <rPr>
        <sz val="10"/>
        <color rgb="FF000000"/>
        <rFont val="맑은 고딕"/>
        <family val="0"/>
        <charset val="1"/>
      </rPr>
      <t xml:space="preserve">(</t>
    </r>
    <r>
      <rPr>
        <sz val="10"/>
        <color rgb="FF000000"/>
        <rFont val="WenQuanYi Zen Hei"/>
        <family val="2"/>
      </rPr>
      <t xml:space="preserve">종합</t>
    </r>
    <r>
      <rPr>
        <sz val="10"/>
        <color rgb="FF000000"/>
        <rFont val="맑은 고딕"/>
        <family val="0"/>
        <charset val="1"/>
      </rPr>
      <t xml:space="preserve">)</t>
    </r>
  </si>
  <si>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프로세스 간 연결을 입증하는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승인이 남아 있다</t>
    </r>
    <r>
      <rPr>
        <sz val="10"/>
        <color rgb="FF000000"/>
        <rFont val="맑은 고딕"/>
        <family val="0"/>
        <charset val="1"/>
      </rPr>
      <t xml:space="preserve">.</t>
    </r>
  </si>
  <si>
    <t xml:space="preserve">GQ</t>
  </si>
  <si>
    <r>
      <rPr>
        <sz val="10"/>
        <color rgb="FF000000"/>
        <rFont val="WenQuanYi Zen Hei"/>
        <family val="2"/>
      </rPr>
      <t xml:space="preserve">첨부 문서의 차원 정의 </t>
    </r>
    <r>
      <rPr>
        <sz val="10"/>
        <color rgb="FF000000"/>
        <rFont val="맑은 고딕"/>
        <family val="0"/>
        <charset val="1"/>
      </rPr>
      <t xml:space="preserve">+ </t>
    </r>
    <r>
      <rPr>
        <sz val="10"/>
        <color rgb="FF000000"/>
        <rFont val="WenQuanYi Zen Hei"/>
        <family val="2"/>
      </rPr>
      <t xml:space="preserve">연구자 문항화 </t>
    </r>
    <r>
      <rPr>
        <sz val="10"/>
        <color rgb="FF000000"/>
        <rFont val="맑은 고딕"/>
        <family val="0"/>
        <charset val="1"/>
      </rPr>
      <t xml:space="preserve">· </t>
    </r>
    <r>
      <rPr>
        <sz val="10"/>
        <color rgb="FF000000"/>
        <rFont val="WenQuanYi Zen Hei"/>
        <family val="2"/>
      </rPr>
      <t xml:space="preserve">인용 </t>
    </r>
    <r>
      <rPr>
        <sz val="10"/>
        <color rgb="FF000000"/>
        <rFont val="맑은 고딕"/>
        <family val="0"/>
        <charset val="1"/>
      </rPr>
      <t xml:space="preserve">B17 / A41 / A13</t>
    </r>
  </si>
  <si>
    <t xml:space="preserve">DQ04</t>
  </si>
  <si>
    <r>
      <rPr>
        <sz val="10"/>
        <color rgb="FF000000"/>
        <rFont val="WenQuanYi Zen Hei"/>
        <family val="2"/>
      </rPr>
      <t xml:space="preserve">책임성</t>
    </r>
    <r>
      <rPr>
        <sz val="10"/>
        <color rgb="FF000000"/>
        <rFont val="맑은 고딕"/>
        <family val="0"/>
        <charset val="1"/>
      </rPr>
      <t xml:space="preserve">(</t>
    </r>
    <r>
      <rPr>
        <sz val="10"/>
        <color rgb="FF000000"/>
        <rFont val="WenQuanYi Zen Hei"/>
        <family val="2"/>
      </rPr>
      <t xml:space="preserve">종합</t>
    </r>
    <r>
      <rPr>
        <sz val="10"/>
        <color rgb="FF000000"/>
        <rFont val="맑은 고딕"/>
        <family val="0"/>
        <charset val="1"/>
      </rPr>
      <t xml:space="preserve">)</t>
    </r>
  </si>
  <si>
    <r>
      <rPr>
        <sz val="10"/>
        <color rgb="FF000000"/>
        <rFont val="WenQuanYi Zen Hei"/>
        <family val="2"/>
      </rPr>
      <t xml:space="preserve">우리 조직에서는 </t>
    </r>
    <r>
      <rPr>
        <sz val="10"/>
        <color rgb="FF000000"/>
        <rFont val="맑은 고딕"/>
        <family val="0"/>
        <charset val="1"/>
      </rPr>
      <t xml:space="preserve">BC </t>
    </r>
    <r>
      <rPr>
        <sz val="10"/>
        <color rgb="FF000000"/>
        <rFont val="WenQuanYi Zen Hei"/>
        <family val="2"/>
      </rPr>
      <t xml:space="preserve">프로세스 간 연결의 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변경 책임이 명확하다</t>
    </r>
    <r>
      <rPr>
        <sz val="10"/>
        <color rgb="FF000000"/>
        <rFont val="맑은 고딕"/>
        <family val="0"/>
        <charset val="1"/>
      </rPr>
      <t xml:space="preserve">.</t>
    </r>
  </si>
  <si>
    <t xml:space="preserve">GR</t>
  </si>
  <si>
    <r>
      <rPr>
        <sz val="10"/>
        <color rgb="FF000000"/>
        <rFont val="WenQuanYi Zen Hei"/>
        <family val="2"/>
      </rPr>
      <t xml:space="preserve">첨부 문서의 차원 정의 </t>
    </r>
    <r>
      <rPr>
        <sz val="10"/>
        <color rgb="FF000000"/>
        <rFont val="맑은 고딕"/>
        <family val="0"/>
        <charset val="1"/>
      </rPr>
      <t xml:space="preserve">+ </t>
    </r>
    <r>
      <rPr>
        <sz val="10"/>
        <color rgb="FF000000"/>
        <rFont val="WenQuanYi Zen Hei"/>
        <family val="2"/>
      </rPr>
      <t xml:space="preserve">연구자 문항화 </t>
    </r>
    <r>
      <rPr>
        <sz val="10"/>
        <color rgb="FF000000"/>
        <rFont val="맑은 고딕"/>
        <family val="0"/>
        <charset val="1"/>
      </rPr>
      <t xml:space="preserve">· </t>
    </r>
    <r>
      <rPr>
        <sz val="10"/>
        <color rgb="FF000000"/>
        <rFont val="WenQuanYi Zen Hei"/>
        <family val="2"/>
      </rPr>
      <t xml:space="preserve">인용 </t>
    </r>
    <r>
      <rPr>
        <sz val="10"/>
        <color rgb="FF000000"/>
        <rFont val="맑은 고딕"/>
        <family val="0"/>
        <charset val="1"/>
      </rPr>
      <t xml:space="preserve">A49 / A50 / A10</t>
    </r>
  </si>
  <si>
    <t xml:space="preserve">DQ05</t>
  </si>
  <si>
    <r>
      <rPr>
        <sz val="10"/>
        <color rgb="FF000000"/>
        <rFont val="WenQuanYi Zen Hei"/>
        <family val="2"/>
      </rPr>
      <t xml:space="preserve">최신성</t>
    </r>
    <r>
      <rPr>
        <sz val="10"/>
        <color rgb="FF000000"/>
        <rFont val="맑은 고딕"/>
        <family val="0"/>
        <charset val="1"/>
      </rPr>
      <t xml:space="preserve">(</t>
    </r>
    <r>
      <rPr>
        <sz val="10"/>
        <color rgb="FF000000"/>
        <rFont val="WenQuanYi Zen Hei"/>
        <family val="2"/>
      </rPr>
      <t xml:space="preserve">종합</t>
    </r>
    <r>
      <rPr>
        <sz val="10"/>
        <color rgb="FF000000"/>
        <rFont val="맑은 고딕"/>
        <family val="0"/>
        <charset val="1"/>
      </rPr>
      <t xml:space="preserve">)</t>
    </r>
  </si>
  <si>
    <r>
      <rPr>
        <sz val="10"/>
        <color rgb="FF000000"/>
        <rFont val="WenQuanYi Zen Hei"/>
        <family val="2"/>
      </rPr>
      <t xml:space="preserve">우리 조직에서는 변경된 정보가 관련 프로세스와 문서에 적시에 반영된다</t>
    </r>
    <r>
      <rPr>
        <sz val="10"/>
        <color rgb="FF000000"/>
        <rFont val="맑은 고딕"/>
        <family val="0"/>
        <charset val="1"/>
      </rPr>
      <t xml:space="preserve">.</t>
    </r>
  </si>
  <si>
    <t xml:space="preserve">GS</t>
  </si>
  <si>
    <r>
      <rPr>
        <sz val="10"/>
        <color rgb="FF000000"/>
        <rFont val="WenQuanYi Zen Hei"/>
        <family val="2"/>
      </rPr>
      <t xml:space="preserve">첨부 문서의 차원 정의 </t>
    </r>
    <r>
      <rPr>
        <sz val="10"/>
        <color rgb="FF000000"/>
        <rFont val="맑은 고딕"/>
        <family val="0"/>
        <charset val="1"/>
      </rPr>
      <t xml:space="preserve">+ </t>
    </r>
    <r>
      <rPr>
        <sz val="10"/>
        <color rgb="FF000000"/>
        <rFont val="WenQuanYi Zen Hei"/>
        <family val="2"/>
      </rPr>
      <t xml:space="preserve">연구자 문항화 </t>
    </r>
    <r>
      <rPr>
        <sz val="10"/>
        <color rgb="FF000000"/>
        <rFont val="맑은 고딕"/>
        <family val="0"/>
        <charset val="1"/>
      </rPr>
      <t xml:space="preserve">· </t>
    </r>
    <r>
      <rPr>
        <sz val="10"/>
        <color rgb="FF000000"/>
        <rFont val="WenQuanYi Zen Hei"/>
        <family val="2"/>
      </rPr>
      <t xml:space="preserve">인용 </t>
    </r>
    <r>
      <rPr>
        <sz val="10"/>
        <color rgb="FF000000"/>
        <rFont val="맑은 고딕"/>
        <family val="0"/>
        <charset val="1"/>
      </rPr>
      <t xml:space="preserve">A41 / A51 / A52</t>
    </r>
  </si>
  <si>
    <t xml:space="preserve">DQ06</t>
  </si>
  <si>
    <r>
      <rPr>
        <sz val="10"/>
        <color rgb="FF000000"/>
        <rFont val="WenQuanYi Zen Hei"/>
        <family val="2"/>
      </rPr>
      <t xml:space="preserve">환류폐쇄성</t>
    </r>
    <r>
      <rPr>
        <sz val="10"/>
        <color rgb="FF000000"/>
        <rFont val="맑은 고딕"/>
        <family val="0"/>
        <charset val="1"/>
      </rPr>
      <t xml:space="preserve">(</t>
    </r>
    <r>
      <rPr>
        <sz val="10"/>
        <color rgb="FF000000"/>
        <rFont val="WenQuanYi Zen Hei"/>
        <family val="2"/>
      </rPr>
      <t xml:space="preserve">종합</t>
    </r>
    <r>
      <rPr>
        <sz val="10"/>
        <color rgb="FF000000"/>
        <rFont val="맑은 고딕"/>
        <family val="0"/>
        <charset val="1"/>
      </rPr>
      <t xml:space="preserve">)</t>
    </r>
  </si>
  <si>
    <r>
      <rPr>
        <sz val="10"/>
        <color rgb="FF000000"/>
        <rFont val="WenQuanYi Zen Hei"/>
        <family val="2"/>
      </rPr>
      <t xml:space="preserve">우리 조직에서는 훈련</t>
    </r>
    <r>
      <rPr>
        <sz val="10"/>
        <color rgb="FF000000"/>
        <rFont val="맑은 고딕"/>
        <family val="0"/>
        <charset val="1"/>
      </rPr>
      <t xml:space="preserve">·</t>
    </r>
    <r>
      <rPr>
        <sz val="10"/>
        <color rgb="FF000000"/>
        <rFont val="WenQuanYi Zen Hei"/>
        <family val="2"/>
      </rPr>
      <t xml:space="preserve">평가</t>
    </r>
    <r>
      <rPr>
        <sz val="10"/>
        <color rgb="FF000000"/>
        <rFont val="맑은 고딕"/>
        <family val="0"/>
        <charset val="1"/>
      </rPr>
      <t xml:space="preserve">·</t>
    </r>
    <r>
      <rPr>
        <sz val="10"/>
        <color rgb="FF000000"/>
        <rFont val="WenQuanYi Zen Hei"/>
        <family val="2"/>
      </rPr>
      <t xml:space="preserve">사고 결과가 개선과 재수정까지 완료된다</t>
    </r>
    <r>
      <rPr>
        <sz val="10"/>
        <color rgb="FF000000"/>
        <rFont val="맑은 고딕"/>
        <family val="0"/>
        <charset val="1"/>
      </rPr>
      <t xml:space="preserve">.</t>
    </r>
  </si>
  <si>
    <t xml:space="preserve">GT</t>
  </si>
  <si>
    <r>
      <rPr>
        <sz val="10"/>
        <color rgb="FF000000"/>
        <rFont val="WenQuanYi Zen Hei"/>
        <family val="2"/>
      </rPr>
      <t xml:space="preserve">첨부 문서의 차원 정의 </t>
    </r>
    <r>
      <rPr>
        <sz val="10"/>
        <color rgb="FF000000"/>
        <rFont val="맑은 고딕"/>
        <family val="0"/>
        <charset val="1"/>
      </rPr>
      <t xml:space="preserve">+ </t>
    </r>
    <r>
      <rPr>
        <sz val="10"/>
        <color rgb="FF000000"/>
        <rFont val="WenQuanYi Zen Hei"/>
        <family val="2"/>
      </rPr>
      <t xml:space="preserve">연구자 문항화 </t>
    </r>
    <r>
      <rPr>
        <sz val="10"/>
        <color rgb="FF000000"/>
        <rFont val="맑은 고딕"/>
        <family val="0"/>
        <charset val="1"/>
      </rPr>
      <t xml:space="preserve">· </t>
    </r>
    <r>
      <rPr>
        <sz val="10"/>
        <color rgb="FF000000"/>
        <rFont val="WenQuanYi Zen Hei"/>
        <family val="2"/>
      </rPr>
      <t xml:space="preserve">인용 </t>
    </r>
    <r>
      <rPr>
        <sz val="10"/>
        <color rgb="FF000000"/>
        <rFont val="맑은 고딕"/>
        <family val="0"/>
        <charset val="1"/>
      </rPr>
      <t xml:space="preserve">A23 / A25 / A46</t>
    </r>
  </si>
  <si>
    <t xml:space="preserve">DQ07</t>
  </si>
  <si>
    <r>
      <rPr>
        <sz val="10"/>
        <color rgb="FF000000"/>
        <rFont val="WenQuanYi Zen Hei"/>
        <family val="2"/>
      </rPr>
      <t xml:space="preserve">연결 품질</t>
    </r>
    <r>
      <rPr>
        <sz val="10"/>
        <color rgb="FF000000"/>
        <rFont val="맑은 고딕"/>
        <family val="0"/>
        <charset val="1"/>
      </rPr>
      <t xml:space="preserve">(</t>
    </r>
    <r>
      <rPr>
        <sz val="10"/>
        <color rgb="FF000000"/>
        <rFont val="WenQuanYi Zen Hei"/>
        <family val="2"/>
      </rPr>
      <t xml:space="preserve">전반</t>
    </r>
    <r>
      <rPr>
        <sz val="10"/>
        <color rgb="FF000000"/>
        <rFont val="맑은 고딕"/>
        <family val="0"/>
        <charset val="1"/>
      </rPr>
      <t xml:space="preserve">)</t>
    </r>
  </si>
  <si>
    <r>
      <rPr>
        <sz val="10"/>
        <color rgb="FF000000"/>
        <rFont val="WenQuanYi Zen Hei"/>
        <family val="2"/>
      </rPr>
      <t xml:space="preserve">전반적으로 우리 조직의 </t>
    </r>
    <r>
      <rPr>
        <sz val="10"/>
        <color rgb="FF000000"/>
        <rFont val="맑은 고딕"/>
        <family val="0"/>
        <charset val="1"/>
      </rPr>
      <t xml:space="preserve">BC </t>
    </r>
    <r>
      <rPr>
        <sz val="10"/>
        <color rgb="FF000000"/>
        <rFont val="WenQuanYi Zen Hei"/>
        <family val="2"/>
      </rPr>
      <t xml:space="preserve">프로세스들은 서로 잘 이어져 작동한다</t>
    </r>
    <r>
      <rPr>
        <sz val="10"/>
        <color rgb="FF000000"/>
        <rFont val="맑은 고딕"/>
        <family val="0"/>
        <charset val="1"/>
      </rPr>
      <t xml:space="preserve">.</t>
    </r>
  </si>
  <si>
    <t xml:space="preserve">GU</t>
  </si>
  <si>
    <r>
      <rPr>
        <sz val="10"/>
        <color rgb="FF000000"/>
        <rFont val="WenQuanYi Zen Hei"/>
        <family val="2"/>
      </rPr>
      <t xml:space="preserve">연구자 의견</t>
    </r>
    <r>
      <rPr>
        <sz val="10"/>
        <color rgb="FF000000"/>
        <rFont val="맑은 고딕"/>
        <family val="0"/>
        <charset val="1"/>
      </rPr>
      <t xml:space="preserve">(</t>
    </r>
    <r>
      <rPr>
        <sz val="10"/>
        <color rgb="FF000000"/>
        <rFont val="WenQuanYi Zen Hei"/>
        <family val="2"/>
      </rPr>
      <t xml:space="preserve">수렴 검증용 종합 문항</t>
    </r>
    <r>
      <rPr>
        <sz val="10"/>
        <color rgb="FF000000"/>
        <rFont val="맑은 고딕"/>
        <family val="0"/>
        <charset val="1"/>
      </rPr>
      <t xml:space="preserve">) · </t>
    </r>
    <r>
      <rPr>
        <sz val="10"/>
        <color rgb="FF000000"/>
        <rFont val="WenQuanYi Zen Hei"/>
        <family val="2"/>
      </rPr>
      <t xml:space="preserve">인용 </t>
    </r>
    <r>
      <rPr>
        <sz val="10"/>
        <color rgb="FF000000"/>
        <rFont val="맑은 고딕"/>
        <family val="0"/>
        <charset val="1"/>
      </rPr>
      <t xml:space="preserve">A07</t>
    </r>
  </si>
  <si>
    <t xml:space="preserve">RV1</t>
  </si>
  <si>
    <r>
      <rPr>
        <sz val="10"/>
        <color rgb="FF000000"/>
        <rFont val="맑은 고딕"/>
        <family val="0"/>
        <charset val="1"/>
      </rPr>
      <t xml:space="preserve">E </t>
    </r>
    <r>
      <rPr>
        <sz val="10"/>
        <color rgb="FF000000"/>
        <rFont val="WenQuanYi Zen Hei"/>
        <family val="2"/>
      </rPr>
      <t xml:space="preserve">검증</t>
    </r>
    <r>
      <rPr>
        <sz val="10"/>
        <color rgb="FF000000"/>
        <rFont val="맑은 고딕"/>
        <family val="0"/>
        <charset val="1"/>
      </rPr>
      <t xml:space="preserve">(</t>
    </r>
    <r>
      <rPr>
        <sz val="10"/>
        <color rgb="FF000000"/>
        <rFont val="WenQuanYi Zen Hei"/>
        <family val="2"/>
      </rPr>
      <t xml:space="preserve">역문항</t>
    </r>
    <r>
      <rPr>
        <sz val="10"/>
        <color rgb="FF000000"/>
        <rFont val="맑은 고딕"/>
        <family val="0"/>
        <charset val="1"/>
      </rPr>
      <t xml:space="preserve">)</t>
    </r>
  </si>
  <si>
    <t xml:space="preserve">검증</t>
  </si>
  <si>
    <r>
      <rPr>
        <sz val="10"/>
        <color rgb="FF000000"/>
        <rFont val="WenQuanYi Zen Hei"/>
        <family val="2"/>
      </rPr>
      <t xml:space="preserve">역문항</t>
    </r>
    <r>
      <rPr>
        <sz val="10"/>
        <color rgb="FF000000"/>
        <rFont val="맑은 고딕"/>
        <family val="0"/>
        <charset val="1"/>
      </rPr>
      <t xml:space="preserve">(</t>
    </r>
    <r>
      <rPr>
        <sz val="10"/>
        <color rgb="FF000000"/>
        <rFont val="WenQuanYi Zen Hei"/>
        <family val="2"/>
      </rPr>
      <t xml:space="preserve">정합성 대응</t>
    </r>
    <r>
      <rPr>
        <sz val="10"/>
        <color rgb="FF000000"/>
        <rFont val="맑은 고딕"/>
        <family val="0"/>
        <charset val="1"/>
      </rPr>
      <t xml:space="preserve">)</t>
    </r>
  </si>
  <si>
    <r>
      <rPr>
        <sz val="10"/>
        <color rgb="FF000000"/>
        <rFont val="WenQuanYi Zen Hei"/>
        <family val="2"/>
      </rPr>
      <t xml:space="preserve">우리 조직에서는 프로세스마다 서로 다른 전제나 수치를 써서 결과가 서로 어긋나는 경우가 많다</t>
    </r>
    <r>
      <rPr>
        <sz val="10"/>
        <color rgb="FF000000"/>
        <rFont val="맑은 고딕"/>
        <family val="0"/>
        <charset val="1"/>
      </rPr>
      <t xml:space="preserve">.</t>
    </r>
  </si>
  <si>
    <t xml:space="preserve">GV</t>
  </si>
  <si>
    <r>
      <rPr>
        <sz val="10"/>
        <color rgb="FF000000"/>
        <rFont val="WenQuanYi Zen Hei"/>
        <family val="2"/>
      </rPr>
      <t xml:space="preserve">연구자 의견</t>
    </r>
    <r>
      <rPr>
        <sz val="10"/>
        <color rgb="FF000000"/>
        <rFont val="맑은 고딕"/>
        <family val="0"/>
        <charset val="1"/>
      </rPr>
      <t xml:space="preserve">(</t>
    </r>
    <r>
      <rPr>
        <sz val="10"/>
        <color rgb="FF000000"/>
        <rFont val="WenQuanYi Zen Hei"/>
        <family val="2"/>
      </rPr>
      <t xml:space="preserve">검증용 문항</t>
    </r>
    <r>
      <rPr>
        <sz val="10"/>
        <color rgb="FF000000"/>
        <rFont val="맑은 고딕"/>
        <family val="0"/>
        <charset val="1"/>
      </rPr>
      <t xml:space="preserve">)</t>
    </r>
  </si>
  <si>
    <t xml:space="preserve">RV2</t>
  </si>
  <si>
    <r>
      <rPr>
        <sz val="10"/>
        <color rgb="FF000000"/>
        <rFont val="WenQuanYi Zen Hei"/>
        <family val="2"/>
      </rPr>
      <t xml:space="preserve">역문항</t>
    </r>
    <r>
      <rPr>
        <sz val="10"/>
        <color rgb="FF000000"/>
        <rFont val="맑은 고딕"/>
        <family val="0"/>
        <charset val="1"/>
      </rPr>
      <t xml:space="preserve">(</t>
    </r>
    <r>
      <rPr>
        <sz val="10"/>
        <color rgb="FF000000"/>
        <rFont val="WenQuanYi Zen Hei"/>
        <family val="2"/>
      </rPr>
      <t xml:space="preserve">추적성 대응</t>
    </r>
    <r>
      <rPr>
        <sz val="10"/>
        <color rgb="FF000000"/>
        <rFont val="맑은 고딕"/>
        <family val="0"/>
        <charset val="1"/>
      </rPr>
      <t xml:space="preserve">)</t>
    </r>
  </si>
  <si>
    <r>
      <rPr>
        <sz val="10"/>
        <color rgb="FF000000"/>
        <rFont val="WenQuanYi Zen Hei"/>
        <family val="2"/>
      </rPr>
      <t xml:space="preserve">우리 조직에서는 후행 결과의 근거가 된 선행 산출물을 찾지 못하는 경우가 많다</t>
    </r>
    <r>
      <rPr>
        <sz val="10"/>
        <color rgb="FF000000"/>
        <rFont val="맑은 고딕"/>
        <family val="0"/>
        <charset val="1"/>
      </rPr>
      <t xml:space="preserve">.</t>
    </r>
  </si>
  <si>
    <t xml:space="preserve">GW</t>
  </si>
  <si>
    <t xml:space="preserve">RV3</t>
  </si>
  <si>
    <r>
      <rPr>
        <sz val="10"/>
        <color rgb="FF000000"/>
        <rFont val="WenQuanYi Zen Hei"/>
        <family val="2"/>
      </rPr>
      <t xml:space="preserve">역문항</t>
    </r>
    <r>
      <rPr>
        <sz val="10"/>
        <color rgb="FF000000"/>
        <rFont val="맑은 고딕"/>
        <family val="0"/>
        <charset val="1"/>
      </rPr>
      <t xml:space="preserve">(</t>
    </r>
    <r>
      <rPr>
        <sz val="10"/>
        <color rgb="FF000000"/>
        <rFont val="WenQuanYi Zen Hei"/>
        <family val="2"/>
      </rPr>
      <t xml:space="preserve">최신성 대응</t>
    </r>
    <r>
      <rPr>
        <sz val="10"/>
        <color rgb="FF000000"/>
        <rFont val="맑은 고딕"/>
        <family val="0"/>
        <charset val="1"/>
      </rPr>
      <t xml:space="preserve">)</t>
    </r>
  </si>
  <si>
    <r>
      <rPr>
        <sz val="10"/>
        <color rgb="FF000000"/>
        <rFont val="WenQuanYi Zen Hei"/>
        <family val="2"/>
      </rPr>
      <t xml:space="preserve">우리 조직에서는 문서가 개정되어도 관련 프로세스의 문서에는 한참 뒤에야 반영되는 경우가 많다</t>
    </r>
    <r>
      <rPr>
        <sz val="10"/>
        <color rgb="FF000000"/>
        <rFont val="맑은 고딕"/>
        <family val="0"/>
        <charset val="1"/>
      </rPr>
      <t xml:space="preserve">.</t>
    </r>
  </si>
  <si>
    <t xml:space="preserve">GX</t>
  </si>
  <si>
    <t xml:space="preserve">RV4</t>
  </si>
  <si>
    <r>
      <rPr>
        <sz val="10"/>
        <color rgb="FF000000"/>
        <rFont val="WenQuanYi Zen Hei"/>
        <family val="2"/>
      </rPr>
      <t xml:space="preserve">역문항</t>
    </r>
    <r>
      <rPr>
        <sz val="10"/>
        <color rgb="FF000000"/>
        <rFont val="맑은 고딕"/>
        <family val="0"/>
        <charset val="1"/>
      </rPr>
      <t xml:space="preserve">(</t>
    </r>
    <r>
      <rPr>
        <sz val="10"/>
        <color rgb="FF000000"/>
        <rFont val="WenQuanYi Zen Hei"/>
        <family val="2"/>
      </rPr>
      <t xml:space="preserve">환류폐쇄성 대응</t>
    </r>
    <r>
      <rPr>
        <sz val="10"/>
        <color rgb="FF000000"/>
        <rFont val="맑은 고딕"/>
        <family val="0"/>
        <charset val="1"/>
      </rPr>
      <t xml:space="preserve">)</t>
    </r>
  </si>
  <si>
    <r>
      <rPr>
        <sz val="10"/>
        <color rgb="FF000000"/>
        <rFont val="WenQuanYi Zen Hei"/>
        <family val="2"/>
      </rPr>
      <t xml:space="preserve">우리 조직에서는 연습</t>
    </r>
    <r>
      <rPr>
        <sz val="10"/>
        <color rgb="FF000000"/>
        <rFont val="맑은 고딕"/>
        <family val="0"/>
        <charset val="1"/>
      </rPr>
      <t xml:space="preserve">·</t>
    </r>
    <r>
      <rPr>
        <sz val="10"/>
        <color rgb="FF000000"/>
        <rFont val="WenQuanYi Zen Hei"/>
        <family val="2"/>
      </rPr>
      <t xml:space="preserve">감사에서 나온 개선 사항이 완료 확인 없이 방치되는 경우가 많다</t>
    </r>
    <r>
      <rPr>
        <sz val="10"/>
        <color rgb="FF000000"/>
        <rFont val="맑은 고딕"/>
        <family val="0"/>
        <charset val="1"/>
      </rPr>
      <t xml:space="preserve">.</t>
    </r>
  </si>
  <si>
    <t xml:space="preserve">GY</t>
  </si>
  <si>
    <t xml:space="preserve">AC1</t>
  </si>
  <si>
    <r>
      <rPr>
        <sz val="10"/>
        <color rgb="FF000000"/>
        <rFont val="맑은 고딕"/>
        <family val="0"/>
        <charset val="1"/>
      </rPr>
      <t xml:space="preserve">E </t>
    </r>
    <r>
      <rPr>
        <sz val="10"/>
        <color rgb="FF000000"/>
        <rFont val="WenQuanYi Zen Hei"/>
        <family val="2"/>
      </rPr>
      <t xml:space="preserve">검증</t>
    </r>
    <r>
      <rPr>
        <sz val="10"/>
        <color rgb="FF000000"/>
        <rFont val="맑은 고딕"/>
        <family val="0"/>
        <charset val="1"/>
      </rPr>
      <t xml:space="preserve">(</t>
    </r>
    <r>
      <rPr>
        <sz val="10"/>
        <color rgb="FF000000"/>
        <rFont val="WenQuanYi Zen Hei"/>
        <family val="2"/>
      </rPr>
      <t xml:space="preserve">주의확인</t>
    </r>
    <r>
      <rPr>
        <sz val="10"/>
        <color rgb="FF000000"/>
        <rFont val="맑은 고딕"/>
        <family val="0"/>
        <charset val="1"/>
      </rPr>
      <t xml:space="preserve">)</t>
    </r>
  </si>
  <si>
    <t xml:space="preserve">주의확인</t>
  </si>
  <si>
    <r>
      <rPr>
        <sz val="10"/>
        <color rgb="FF000000"/>
        <rFont val="WenQuanYi Zen Hei"/>
        <family val="2"/>
      </rPr>
      <t xml:space="preserve">이 문항에서는 응답 </t>
    </r>
    <r>
      <rPr>
        <sz val="10"/>
        <color rgb="FF000000"/>
        <rFont val="맑은 고딕"/>
        <family val="0"/>
        <charset val="1"/>
      </rPr>
      <t xml:space="preserve">4</t>
    </r>
    <r>
      <rPr>
        <sz val="10"/>
        <color rgb="FF000000"/>
        <rFont val="WenQuanYi Zen Hei"/>
        <family val="2"/>
      </rPr>
      <t xml:space="preserve">번을 선택해 주십시오</t>
    </r>
    <r>
      <rPr>
        <sz val="10"/>
        <color rgb="FF000000"/>
        <rFont val="맑은 고딕"/>
        <family val="0"/>
        <charset val="1"/>
      </rPr>
      <t xml:space="preserve">.</t>
    </r>
  </si>
  <si>
    <t xml:space="preserve">GZ</t>
  </si>
  <si>
    <t xml:space="preserve">CR1</t>
  </si>
  <si>
    <r>
      <rPr>
        <sz val="10"/>
        <color rgb="FF000000"/>
        <rFont val="맑은 고딕"/>
        <family val="0"/>
        <charset val="1"/>
      </rPr>
      <t xml:space="preserve">E </t>
    </r>
    <r>
      <rPr>
        <sz val="10"/>
        <color rgb="FF000000"/>
        <rFont val="WenQuanYi Zen Hei"/>
        <family val="2"/>
      </rPr>
      <t xml:space="preserve">검증</t>
    </r>
    <r>
      <rPr>
        <sz val="10"/>
        <color rgb="FF000000"/>
        <rFont val="맑은 고딕"/>
        <family val="0"/>
        <charset val="1"/>
      </rPr>
      <t xml:space="preserve">(</t>
    </r>
    <r>
      <rPr>
        <sz val="10"/>
        <color rgb="FF000000"/>
        <rFont val="WenQuanYi Zen Hei"/>
        <family val="2"/>
      </rPr>
      <t xml:space="preserve">준거</t>
    </r>
    <r>
      <rPr>
        <sz val="10"/>
        <color rgb="FF000000"/>
        <rFont val="맑은 고딕"/>
        <family val="0"/>
        <charset val="1"/>
      </rPr>
      <t xml:space="preserve">)</t>
    </r>
  </si>
  <si>
    <t xml:space="preserve">준거</t>
  </si>
  <si>
    <r>
      <rPr>
        <sz val="10"/>
        <color rgb="FF000000"/>
        <rFont val="WenQuanYi Zen Hei"/>
        <family val="2"/>
      </rPr>
      <t xml:space="preserve">중단 사건이 발생해도 우리 조직의 </t>
    </r>
    <r>
      <rPr>
        <sz val="10"/>
        <color rgb="FF000000"/>
        <rFont val="맑은 고딕"/>
        <family val="0"/>
        <charset val="1"/>
      </rPr>
      <t xml:space="preserve">BCMS</t>
    </r>
    <r>
      <rPr>
        <sz val="10"/>
        <color rgb="FF000000"/>
        <rFont val="WenQuanYi Zen Hei"/>
        <family val="2"/>
      </rPr>
      <t xml:space="preserve">가 효과적으로 대응할 수 있다고 확신한다</t>
    </r>
    <r>
      <rPr>
        <sz val="10"/>
        <color rgb="FF000000"/>
        <rFont val="맑은 고딕"/>
        <family val="0"/>
        <charset val="1"/>
      </rPr>
      <t xml:space="preserve">.</t>
    </r>
  </si>
  <si>
    <t xml:space="preserve">HA</t>
  </si>
  <si>
    <t xml:space="preserve">CR2</t>
  </si>
  <si>
    <r>
      <rPr>
        <sz val="10"/>
        <color rgb="FF000000"/>
        <rFont val="WenQuanYi Zen Hei"/>
        <family val="2"/>
      </rPr>
      <t xml:space="preserve">최근 사고 또는 연습에서 복구목표를 달성했다</t>
    </r>
    <r>
      <rPr>
        <sz val="10"/>
        <color rgb="FF000000"/>
        <rFont val="맑은 고딕"/>
        <family val="0"/>
        <charset val="1"/>
      </rPr>
      <t xml:space="preserve">.</t>
    </r>
  </si>
  <si>
    <t xml:space="preserve">HB</t>
  </si>
  <si>
    <t xml:space="preserve">CR3</t>
  </si>
  <si>
    <r>
      <rPr>
        <sz val="10"/>
        <color rgb="FF000000"/>
        <rFont val="맑은 고딕"/>
        <family val="0"/>
        <charset val="1"/>
      </rPr>
      <t xml:space="preserve">BC </t>
    </r>
    <r>
      <rPr>
        <sz val="10"/>
        <color rgb="FF000000"/>
        <rFont val="WenQuanYi Zen Hei"/>
        <family val="2"/>
      </rPr>
      <t xml:space="preserve">투자의 가치를 경영진</t>
    </r>
    <r>
      <rPr>
        <sz val="10"/>
        <color rgb="FF000000"/>
        <rFont val="맑은 고딕"/>
        <family val="0"/>
        <charset val="1"/>
      </rPr>
      <t xml:space="preserve">·</t>
    </r>
    <r>
      <rPr>
        <sz val="10"/>
        <color rgb="FF000000"/>
        <rFont val="WenQuanYi Zen Hei"/>
        <family val="2"/>
      </rPr>
      <t xml:space="preserve">이해관계자에게 설명할 수 있다</t>
    </r>
    <r>
      <rPr>
        <sz val="10"/>
        <color rgb="FF000000"/>
        <rFont val="맑은 고딕"/>
        <family val="0"/>
        <charset val="1"/>
      </rPr>
      <t xml:space="preserve">.</t>
    </r>
  </si>
  <si>
    <t xml:space="preserve">HC</t>
  </si>
  <si>
    <r>
      <rPr>
        <sz val="10"/>
        <color rgb="FF000000"/>
        <rFont val="WenQuanYi Zen Hei"/>
        <family val="2"/>
      </rPr>
      <t xml:space="preserve">연구자 의견</t>
    </r>
    <r>
      <rPr>
        <sz val="10"/>
        <color rgb="FF000000"/>
        <rFont val="맑은 고딕"/>
        <family val="0"/>
        <charset val="1"/>
      </rPr>
      <t xml:space="preserve">(</t>
    </r>
    <r>
      <rPr>
        <sz val="10"/>
        <color rgb="FF000000"/>
        <rFont val="WenQuanYi Zen Hei"/>
        <family val="2"/>
      </rPr>
      <t xml:space="preserve">검증용 문항</t>
    </r>
    <r>
      <rPr>
        <sz val="10"/>
        <color rgb="FF000000"/>
        <rFont val="맑은 고딕"/>
        <family val="0"/>
        <charset val="1"/>
      </rPr>
      <t xml:space="preserve">) · </t>
    </r>
    <r>
      <rPr>
        <sz val="10"/>
        <color rgb="FF000000"/>
        <rFont val="WenQuanYi Zen Hei"/>
        <family val="2"/>
      </rPr>
      <t xml:space="preserve">인용 </t>
    </r>
    <r>
      <rPr>
        <sz val="10"/>
        <color rgb="FF000000"/>
        <rFont val="맑은 고딕"/>
        <family val="0"/>
        <charset val="1"/>
      </rPr>
      <t xml:space="preserve">A32</t>
    </r>
  </si>
  <si>
    <t xml:space="preserve">CR4</t>
  </si>
  <si>
    <r>
      <rPr>
        <sz val="10"/>
        <color rgb="FF000000"/>
        <rFont val="WenQuanYi Zen Hei"/>
        <family val="2"/>
      </rPr>
      <t xml:space="preserve">준거</t>
    </r>
    <r>
      <rPr>
        <sz val="10"/>
        <color rgb="FF000000"/>
        <rFont val="맑은 고딕"/>
        <family val="0"/>
        <charset val="1"/>
      </rPr>
      <t xml:space="preserve">(</t>
    </r>
    <r>
      <rPr>
        <sz val="10"/>
        <color rgb="FF000000"/>
        <rFont val="WenQuanYi Zen Hei"/>
        <family val="2"/>
      </rPr>
      <t xml:space="preserve">역</t>
    </r>
    <r>
      <rPr>
        <sz val="10"/>
        <color rgb="FF000000"/>
        <rFont val="맑은 고딕"/>
        <family val="0"/>
        <charset val="1"/>
      </rPr>
      <t xml:space="preserve">)</t>
    </r>
  </si>
  <si>
    <r>
      <rPr>
        <sz val="10"/>
        <color rgb="FF000000"/>
        <rFont val="WenQuanYi Zen Hei"/>
        <family val="2"/>
      </rPr>
      <t xml:space="preserve">감사나 경영진 검토에서 같은 </t>
    </r>
    <r>
      <rPr>
        <sz val="10"/>
        <color rgb="FF000000"/>
        <rFont val="맑은 고딕"/>
        <family val="0"/>
        <charset val="1"/>
      </rPr>
      <t xml:space="preserve">BCMS </t>
    </r>
    <r>
      <rPr>
        <sz val="10"/>
        <color rgb="FF000000"/>
        <rFont val="WenQuanYi Zen Hei"/>
        <family val="2"/>
      </rPr>
      <t xml:space="preserve">지적사항이 반복된다</t>
    </r>
    <r>
      <rPr>
        <sz val="10"/>
        <color rgb="FF000000"/>
        <rFont val="맑은 고딕"/>
        <family val="0"/>
        <charset val="1"/>
      </rPr>
      <t xml:space="preserve">.</t>
    </r>
  </si>
  <si>
    <t xml:space="preserve">HD</t>
  </si>
  <si>
    <r>
      <rPr>
        <b val="true"/>
        <sz val="14"/>
        <color rgb="FF101828"/>
        <rFont val="맑은 고딕"/>
        <family val="0"/>
        <charset val="1"/>
      </rPr>
      <t xml:space="preserve">Part A </t>
    </r>
    <r>
      <rPr>
        <b val="true"/>
        <sz val="14"/>
        <color rgb="FF101828"/>
        <rFont val="WenQuanYi Zen Hei"/>
        <family val="2"/>
      </rPr>
      <t xml:space="preserve">응답자</t>
    </r>
    <r>
      <rPr>
        <b val="true"/>
        <sz val="14"/>
        <color rgb="FF101828"/>
        <rFont val="맑은 고딕"/>
        <family val="0"/>
        <charset val="1"/>
      </rPr>
      <t xml:space="preserve">·</t>
    </r>
    <r>
      <rPr>
        <b val="true"/>
        <sz val="14"/>
        <color rgb="FF101828"/>
        <rFont val="WenQuanYi Zen Hei"/>
        <family val="2"/>
      </rPr>
      <t xml:space="preserve">조직 정보</t>
    </r>
    <r>
      <rPr>
        <b val="true"/>
        <sz val="14"/>
        <color rgb="FF101828"/>
        <rFont val="맑은 고딕"/>
        <family val="0"/>
        <charset val="1"/>
      </rPr>
      <t xml:space="preserve">(10) / Part B </t>
    </r>
    <r>
      <rPr>
        <b val="true"/>
        <sz val="14"/>
        <color rgb="FF101828"/>
        <rFont val="WenQuanYi Zen Hei"/>
        <family val="2"/>
      </rPr>
      <t xml:space="preserve">프로세스 보유 확인</t>
    </r>
    <r>
      <rPr>
        <b val="true"/>
        <sz val="14"/>
        <color rgb="FF101828"/>
        <rFont val="맑은 고딕"/>
        <family val="0"/>
        <charset val="1"/>
      </rPr>
      <t xml:space="preserve">(22)</t>
    </r>
  </si>
  <si>
    <r>
      <rPr>
        <i val="true"/>
        <sz val="10"/>
        <color rgb="FF475467"/>
        <rFont val="맑은 고딕"/>
        <family val="0"/>
        <charset val="1"/>
      </rPr>
      <t xml:space="preserve">Part B: 1 </t>
    </r>
    <r>
      <rPr>
        <i val="true"/>
        <sz val="10"/>
        <color rgb="FF475467"/>
        <rFont val="WenQuanYi Zen Hei"/>
        <family val="2"/>
      </rPr>
      <t xml:space="preserve">운영한다 </t>
    </r>
    <r>
      <rPr>
        <i val="true"/>
        <sz val="10"/>
        <color rgb="FF475467"/>
        <rFont val="맑은 고딕"/>
        <family val="0"/>
        <charset val="1"/>
      </rPr>
      <t xml:space="preserve">· 2 </t>
    </r>
    <r>
      <rPr>
        <i val="true"/>
        <sz val="10"/>
        <color rgb="FF475467"/>
        <rFont val="WenQuanYi Zen Hei"/>
        <family val="2"/>
      </rPr>
      <t xml:space="preserve">부분적으로 운영한다 </t>
    </r>
    <r>
      <rPr>
        <i val="true"/>
        <sz val="10"/>
        <color rgb="FF475467"/>
        <rFont val="맑은 고딕"/>
        <family val="0"/>
        <charset val="1"/>
      </rPr>
      <t xml:space="preserve">· 3 </t>
    </r>
    <r>
      <rPr>
        <i val="true"/>
        <sz val="10"/>
        <color rgb="FF475467"/>
        <rFont val="WenQuanYi Zen Hei"/>
        <family val="2"/>
      </rPr>
      <t xml:space="preserve">운영하지 않는다 </t>
    </r>
    <r>
      <rPr>
        <i val="true"/>
        <sz val="10"/>
        <color rgb="FF475467"/>
        <rFont val="맑은 고딕"/>
        <family val="0"/>
        <charset val="1"/>
      </rPr>
      <t xml:space="preserve">· 4 </t>
    </r>
    <r>
      <rPr>
        <i val="true"/>
        <sz val="10"/>
        <color rgb="FF475467"/>
        <rFont val="WenQuanYi Zen Hei"/>
        <family val="2"/>
      </rPr>
      <t xml:space="preserve">모르겠다</t>
    </r>
    <r>
      <rPr>
        <i val="true"/>
        <sz val="10"/>
        <color rgb="FF475467"/>
        <rFont val="맑은 고딕"/>
        <family val="0"/>
        <charset val="1"/>
      </rPr>
      <t xml:space="preserve">. </t>
    </r>
    <r>
      <rPr>
        <i val="true"/>
        <sz val="10"/>
        <color rgb="FF475467"/>
        <rFont val="WenQuanYi Zen Hei"/>
        <family val="2"/>
      </rPr>
      <t xml:space="preserve">연결 문항은 출발</t>
    </r>
    <r>
      <rPr>
        <i val="true"/>
        <sz val="10"/>
        <color rgb="FF475467"/>
        <rFont val="맑은 고딕"/>
        <family val="0"/>
        <charset val="1"/>
      </rPr>
      <t xml:space="preserve">·</t>
    </r>
    <r>
      <rPr>
        <i val="true"/>
        <sz val="10"/>
        <color rgb="FF475467"/>
        <rFont val="WenQuanYi Zen Hei"/>
        <family val="2"/>
      </rPr>
      <t xml:space="preserve">도착 프로세스가 모두 </t>
    </r>
    <r>
      <rPr>
        <i val="true"/>
        <sz val="10"/>
        <color rgb="FF475467"/>
        <rFont val="맑은 고딕"/>
        <family val="0"/>
        <charset val="1"/>
      </rPr>
      <t xml:space="preserve">1·2</t>
    </r>
    <r>
      <rPr>
        <i val="true"/>
        <sz val="10"/>
        <color rgb="FF475467"/>
        <rFont val="WenQuanYi Zen Hei"/>
        <family val="2"/>
      </rPr>
      <t xml:space="preserve">일 때만 제시</t>
    </r>
    <r>
      <rPr>
        <i val="true"/>
        <sz val="10"/>
        <color rgb="FF475467"/>
        <rFont val="맑은 고딕"/>
        <family val="0"/>
        <charset val="1"/>
      </rPr>
      <t xml:space="preserve">(survey/SURVEY_SPEC.md).</t>
    </r>
  </si>
  <si>
    <t xml:space="preserve">항목</t>
  </si>
  <si>
    <t xml:space="preserve">응답 방식</t>
  </si>
  <si>
    <t xml:space="preserve">Part A</t>
  </si>
  <si>
    <t xml:space="preserve">업종</t>
  </si>
  <si>
    <t xml:space="preserve">자유 기재</t>
  </si>
  <si>
    <t xml:space="preserve">B</t>
  </si>
  <si>
    <r>
      <rPr>
        <sz val="10"/>
        <color rgb="FF000000"/>
        <rFont val="WenQuanYi Zen Hei"/>
        <family val="2"/>
      </rPr>
      <t xml:space="preserve">조직 규모</t>
    </r>
    <r>
      <rPr>
        <sz val="10"/>
        <color rgb="FF000000"/>
        <rFont val="맑은 고딕"/>
        <family val="0"/>
        <charset val="1"/>
      </rPr>
      <t xml:space="preserve">(</t>
    </r>
    <r>
      <rPr>
        <sz val="10"/>
        <color rgb="FF000000"/>
        <rFont val="WenQuanYi Zen Hei"/>
        <family val="2"/>
      </rPr>
      <t xml:space="preserve">임직원 수</t>
    </r>
    <r>
      <rPr>
        <sz val="10"/>
        <color rgb="FF000000"/>
        <rFont val="맑은 고딕"/>
        <family val="0"/>
        <charset val="1"/>
      </rPr>
      <t xml:space="preserve">)</t>
    </r>
  </si>
  <si>
    <r>
      <rPr>
        <sz val="10"/>
        <color rgb="FF000000"/>
        <rFont val="맑은 고딕"/>
        <family val="0"/>
        <charset val="1"/>
      </rPr>
      <t xml:space="preserve">1~49 / 50~299 / 300~999 / 1000 </t>
    </r>
    <r>
      <rPr>
        <sz val="10"/>
        <color rgb="FF000000"/>
        <rFont val="WenQuanYi Zen Hei"/>
        <family val="2"/>
      </rPr>
      <t xml:space="preserve">이상</t>
    </r>
  </si>
  <si>
    <t xml:space="preserve">C</t>
  </si>
  <si>
    <r>
      <rPr>
        <sz val="10"/>
        <color rgb="FF000000"/>
        <rFont val="맑은 고딕"/>
        <family val="0"/>
        <charset val="1"/>
      </rPr>
      <t xml:space="preserve">BCMS </t>
    </r>
    <r>
      <rPr>
        <sz val="10"/>
        <color rgb="FF000000"/>
        <rFont val="WenQuanYi Zen Hei"/>
        <family val="2"/>
      </rPr>
      <t xml:space="preserve">운영 기간</t>
    </r>
  </si>
  <si>
    <r>
      <rPr>
        <sz val="10"/>
        <color rgb="FF000000"/>
        <rFont val="맑은 고딕"/>
        <family val="0"/>
        <charset val="1"/>
      </rPr>
      <t xml:space="preserve">1</t>
    </r>
    <r>
      <rPr>
        <sz val="10"/>
        <color rgb="FF000000"/>
        <rFont val="WenQuanYi Zen Hei"/>
        <family val="2"/>
      </rPr>
      <t xml:space="preserve">년 미만 </t>
    </r>
    <r>
      <rPr>
        <sz val="10"/>
        <color rgb="FF000000"/>
        <rFont val="맑은 고딕"/>
        <family val="0"/>
        <charset val="1"/>
      </rPr>
      <t xml:space="preserve">/ 1~3</t>
    </r>
    <r>
      <rPr>
        <sz val="10"/>
        <color rgb="FF000000"/>
        <rFont val="WenQuanYi Zen Hei"/>
        <family val="2"/>
      </rPr>
      <t xml:space="preserve">년 </t>
    </r>
    <r>
      <rPr>
        <sz val="10"/>
        <color rgb="FF000000"/>
        <rFont val="맑은 고딕"/>
        <family val="0"/>
        <charset val="1"/>
      </rPr>
      <t xml:space="preserve">/ 3~5</t>
    </r>
    <r>
      <rPr>
        <sz val="10"/>
        <color rgb="FF000000"/>
        <rFont val="WenQuanYi Zen Hei"/>
        <family val="2"/>
      </rPr>
      <t xml:space="preserve">년 </t>
    </r>
    <r>
      <rPr>
        <sz val="10"/>
        <color rgb="FF000000"/>
        <rFont val="맑은 고딕"/>
        <family val="0"/>
        <charset val="1"/>
      </rPr>
      <t xml:space="preserve">/ 5</t>
    </r>
    <r>
      <rPr>
        <sz val="10"/>
        <color rgb="FF000000"/>
        <rFont val="WenQuanYi Zen Hei"/>
        <family val="2"/>
      </rPr>
      <t xml:space="preserve">년 이상</t>
    </r>
  </si>
  <si>
    <t xml:space="preserve">D</t>
  </si>
  <si>
    <r>
      <rPr>
        <sz val="10"/>
        <color rgb="FF000000"/>
        <rFont val="맑은 고딕"/>
        <family val="0"/>
        <charset val="1"/>
      </rPr>
      <t xml:space="preserve">ISO 22301 </t>
    </r>
    <r>
      <rPr>
        <sz val="10"/>
        <color rgb="FF000000"/>
        <rFont val="WenQuanYi Zen Hei"/>
        <family val="2"/>
      </rPr>
      <t xml:space="preserve">인증 여부</t>
    </r>
  </si>
  <si>
    <r>
      <rPr>
        <sz val="10"/>
        <color rgb="FF000000"/>
        <rFont val="WenQuanYi Zen Hei"/>
        <family val="2"/>
      </rPr>
      <t xml:space="preserve">보유 </t>
    </r>
    <r>
      <rPr>
        <sz val="10"/>
        <color rgb="FF000000"/>
        <rFont val="맑은 고딕"/>
        <family val="0"/>
        <charset val="1"/>
      </rPr>
      <t xml:space="preserve">/ </t>
    </r>
    <r>
      <rPr>
        <sz val="10"/>
        <color rgb="FF000000"/>
        <rFont val="WenQuanYi Zen Hei"/>
        <family val="2"/>
      </rPr>
      <t xml:space="preserve">준비 중 </t>
    </r>
    <r>
      <rPr>
        <sz val="10"/>
        <color rgb="FF000000"/>
        <rFont val="맑은 고딕"/>
        <family val="0"/>
        <charset val="1"/>
      </rPr>
      <t xml:space="preserve">/ </t>
    </r>
    <r>
      <rPr>
        <sz val="10"/>
        <color rgb="FF000000"/>
        <rFont val="WenQuanYi Zen Hei"/>
        <family val="2"/>
      </rPr>
      <t xml:space="preserve">없음</t>
    </r>
  </si>
  <si>
    <t xml:space="preserve">E</t>
  </si>
  <si>
    <t xml:space="preserve">응답자 역할</t>
  </si>
  <si>
    <r>
      <rPr>
        <sz val="10"/>
        <color rgb="FF000000"/>
        <rFont val="맑은 고딕"/>
        <family val="0"/>
        <charset val="1"/>
      </rPr>
      <t xml:space="preserve">BC </t>
    </r>
    <r>
      <rPr>
        <sz val="10"/>
        <color rgb="FF000000"/>
        <rFont val="WenQuanYi Zen Hei"/>
        <family val="2"/>
      </rPr>
      <t xml:space="preserve">관리자 </t>
    </r>
    <r>
      <rPr>
        <sz val="10"/>
        <color rgb="FF000000"/>
        <rFont val="맑은 고딕"/>
        <family val="0"/>
        <charset val="1"/>
      </rPr>
      <t xml:space="preserve">/ </t>
    </r>
    <r>
      <rPr>
        <sz val="10"/>
        <color rgb="FF000000"/>
        <rFont val="WenQuanYi Zen Hei"/>
        <family val="2"/>
      </rPr>
      <t xml:space="preserve">프로세스 담당자 </t>
    </r>
    <r>
      <rPr>
        <sz val="10"/>
        <color rgb="FF000000"/>
        <rFont val="맑은 고딕"/>
        <family val="0"/>
        <charset val="1"/>
      </rPr>
      <t xml:space="preserve">/ </t>
    </r>
    <r>
      <rPr>
        <sz val="10"/>
        <color rgb="FF000000"/>
        <rFont val="WenQuanYi Zen Hei"/>
        <family val="2"/>
      </rPr>
      <t xml:space="preserve">경영진 </t>
    </r>
    <r>
      <rPr>
        <sz val="10"/>
        <color rgb="FF000000"/>
        <rFont val="맑은 고딕"/>
        <family val="0"/>
        <charset val="1"/>
      </rPr>
      <t xml:space="preserve">/ </t>
    </r>
    <r>
      <rPr>
        <sz val="10"/>
        <color rgb="FF000000"/>
        <rFont val="WenQuanYi Zen Hei"/>
        <family val="2"/>
      </rPr>
      <t xml:space="preserve">감사</t>
    </r>
    <r>
      <rPr>
        <sz val="10"/>
        <color rgb="FF000000"/>
        <rFont val="맑은 고딕"/>
        <family val="0"/>
        <charset val="1"/>
      </rPr>
      <t xml:space="preserve">·</t>
    </r>
    <r>
      <rPr>
        <sz val="10"/>
        <color rgb="FF000000"/>
        <rFont val="WenQuanYi Zen Hei"/>
        <family val="2"/>
      </rPr>
      <t xml:space="preserve">기타</t>
    </r>
  </si>
  <si>
    <t xml:space="preserve">F</t>
  </si>
  <si>
    <r>
      <rPr>
        <sz val="10"/>
        <color rgb="FF000000"/>
        <rFont val="맑은 고딕"/>
        <family val="0"/>
        <charset val="1"/>
      </rPr>
      <t xml:space="preserve">BC </t>
    </r>
    <r>
      <rPr>
        <sz val="10"/>
        <color rgb="FF000000"/>
        <rFont val="WenQuanYi Zen Hei"/>
        <family val="2"/>
      </rPr>
      <t xml:space="preserve">관련 업무 경력</t>
    </r>
  </si>
  <si>
    <t xml:space="preserve">연수</t>
  </si>
  <si>
    <t xml:space="preserve">G</t>
  </si>
  <si>
    <r>
      <rPr>
        <sz val="10"/>
        <color rgb="FF000000"/>
        <rFont val="WenQuanYi Zen Hei"/>
        <family val="2"/>
      </rPr>
      <t xml:space="preserve">최근 </t>
    </r>
    <r>
      <rPr>
        <sz val="10"/>
        <color rgb="FF000000"/>
        <rFont val="맑은 고딕"/>
        <family val="0"/>
        <charset val="1"/>
      </rPr>
      <t xml:space="preserve">12</t>
    </r>
    <r>
      <rPr>
        <sz val="10"/>
        <color rgb="FF000000"/>
        <rFont val="WenQuanYi Zen Hei"/>
        <family val="2"/>
      </rPr>
      <t xml:space="preserve">개월 실제 중단 사고 경험</t>
    </r>
  </si>
  <si>
    <r>
      <rPr>
        <sz val="10"/>
        <color rgb="FF000000"/>
        <rFont val="WenQuanYi Zen Hei"/>
        <family val="2"/>
      </rPr>
      <t xml:space="preserve">없음 </t>
    </r>
    <r>
      <rPr>
        <sz val="10"/>
        <color rgb="FF000000"/>
        <rFont val="맑은 고딕"/>
        <family val="0"/>
        <charset val="1"/>
      </rPr>
      <t xml:space="preserve">/ </t>
    </r>
    <r>
      <rPr>
        <sz val="10"/>
        <color rgb="FF000000"/>
        <rFont val="WenQuanYi Zen Hei"/>
        <family val="2"/>
      </rPr>
      <t xml:space="preserve">있음</t>
    </r>
    <r>
      <rPr>
        <sz val="10"/>
        <color rgb="FF000000"/>
        <rFont val="맑은 고딕"/>
        <family val="0"/>
        <charset val="1"/>
      </rPr>
      <t xml:space="preserve">(</t>
    </r>
    <r>
      <rPr>
        <sz val="10"/>
        <color rgb="FF000000"/>
        <rFont val="WenQuanYi Zen Hei"/>
        <family val="2"/>
      </rPr>
      <t xml:space="preserve">횟수</t>
    </r>
    <r>
      <rPr>
        <sz val="10"/>
        <color rgb="FF000000"/>
        <rFont val="맑은 고딕"/>
        <family val="0"/>
        <charset val="1"/>
      </rPr>
      <t xml:space="preserve">)</t>
    </r>
  </si>
  <si>
    <t xml:space="preserve">H</t>
  </si>
  <si>
    <r>
      <rPr>
        <sz val="10"/>
        <color rgb="FF000000"/>
        <rFont val="WenQuanYi Zen Hei"/>
        <family val="2"/>
      </rPr>
      <t xml:space="preserve">최근 </t>
    </r>
    <r>
      <rPr>
        <sz val="10"/>
        <color rgb="FF000000"/>
        <rFont val="맑은 고딕"/>
        <family val="0"/>
        <charset val="1"/>
      </rPr>
      <t xml:space="preserve">12</t>
    </r>
    <r>
      <rPr>
        <sz val="10"/>
        <color rgb="FF000000"/>
        <rFont val="WenQuanYi Zen Hei"/>
        <family val="2"/>
      </rPr>
      <t xml:space="preserve">개월 연습</t>
    </r>
    <r>
      <rPr>
        <sz val="10"/>
        <color rgb="FF000000"/>
        <rFont val="맑은 고딕"/>
        <family val="0"/>
        <charset val="1"/>
      </rPr>
      <t xml:space="preserve">·</t>
    </r>
    <r>
      <rPr>
        <sz val="10"/>
        <color rgb="FF000000"/>
        <rFont val="WenQuanYi Zen Hei"/>
        <family val="2"/>
      </rPr>
      <t xml:space="preserve">훈련 횟수</t>
    </r>
  </si>
  <si>
    <t xml:space="preserve">횟수</t>
  </si>
  <si>
    <t xml:space="preserve">I</t>
  </si>
  <si>
    <r>
      <rPr>
        <sz val="10"/>
        <color rgb="FF000000"/>
        <rFont val="맑은 고딕"/>
        <family val="0"/>
        <charset val="1"/>
      </rPr>
      <t xml:space="preserve">ISMS </t>
    </r>
    <r>
      <rPr>
        <sz val="10"/>
        <color rgb="FF000000"/>
        <rFont val="WenQuanYi Zen Hei"/>
        <family val="2"/>
      </rPr>
      <t xml:space="preserve">등 타 경영시스템과 통합 운영 여부</t>
    </r>
  </si>
  <si>
    <r>
      <rPr>
        <sz val="10"/>
        <color rgb="FF000000"/>
        <rFont val="WenQuanYi Zen Hei"/>
        <family val="2"/>
      </rPr>
      <t xml:space="preserve">통합 </t>
    </r>
    <r>
      <rPr>
        <sz val="10"/>
        <color rgb="FF000000"/>
        <rFont val="맑은 고딕"/>
        <family val="0"/>
        <charset val="1"/>
      </rPr>
      <t xml:space="preserve">/ </t>
    </r>
    <r>
      <rPr>
        <sz val="10"/>
        <color rgb="FF000000"/>
        <rFont val="WenQuanYi Zen Hei"/>
        <family val="2"/>
      </rPr>
      <t xml:space="preserve">부분 </t>
    </r>
    <r>
      <rPr>
        <sz val="10"/>
        <color rgb="FF000000"/>
        <rFont val="맑은 고딕"/>
        <family val="0"/>
        <charset val="1"/>
      </rPr>
      <t xml:space="preserve">/ </t>
    </r>
    <r>
      <rPr>
        <sz val="10"/>
        <color rgb="FF000000"/>
        <rFont val="WenQuanYi Zen Hei"/>
        <family val="2"/>
      </rPr>
      <t xml:space="preserve">별도</t>
    </r>
  </si>
  <si>
    <t xml:space="preserve">J</t>
  </si>
  <si>
    <r>
      <rPr>
        <sz val="10"/>
        <color rgb="FF000000"/>
        <rFont val="맑은 고딕"/>
        <family val="0"/>
        <charset val="1"/>
      </rPr>
      <t xml:space="preserve">BC </t>
    </r>
    <r>
      <rPr>
        <sz val="10"/>
        <color rgb="FF000000"/>
        <rFont val="WenQuanYi Zen Hei"/>
        <family val="2"/>
      </rPr>
      <t xml:space="preserve">프로세스 문서화 정도</t>
    </r>
  </si>
  <si>
    <r>
      <rPr>
        <sz val="10"/>
        <color rgb="FF000000"/>
        <rFont val="WenQuanYi Zen Hei"/>
        <family val="2"/>
      </rPr>
      <t xml:space="preserve">전부 </t>
    </r>
    <r>
      <rPr>
        <sz val="10"/>
        <color rgb="FF000000"/>
        <rFont val="맑은 고딕"/>
        <family val="0"/>
        <charset val="1"/>
      </rPr>
      <t xml:space="preserve">/ </t>
    </r>
    <r>
      <rPr>
        <sz val="10"/>
        <color rgb="FF000000"/>
        <rFont val="WenQuanYi Zen Hei"/>
        <family val="2"/>
      </rPr>
      <t xml:space="preserve">일부 </t>
    </r>
    <r>
      <rPr>
        <sz val="10"/>
        <color rgb="FF000000"/>
        <rFont val="맑은 고딕"/>
        <family val="0"/>
        <charset val="1"/>
      </rPr>
      <t xml:space="preserve">/ </t>
    </r>
    <r>
      <rPr>
        <sz val="10"/>
        <color rgb="FF000000"/>
        <rFont val="WenQuanYi Zen Hei"/>
        <family val="2"/>
      </rPr>
      <t xml:space="preserve">거의 없음</t>
    </r>
  </si>
  <si>
    <t xml:space="preserve">K</t>
  </si>
  <si>
    <t xml:space="preserve">Part B</t>
  </si>
  <si>
    <r>
      <rPr>
        <sz val="10"/>
        <color rgb="FF000000"/>
        <rFont val="맑은 고딕"/>
        <family val="0"/>
        <charset val="1"/>
      </rPr>
      <t xml:space="preserve">GOV BC </t>
    </r>
    <r>
      <rPr>
        <sz val="10"/>
        <color rgb="FF000000"/>
        <rFont val="WenQuanYi Zen Hei"/>
        <family val="2"/>
      </rPr>
      <t xml:space="preserve">거버넌스</t>
    </r>
  </si>
  <si>
    <r>
      <rPr>
        <sz val="10"/>
        <color rgb="FF000000"/>
        <rFont val="맑은 고딕"/>
        <family val="0"/>
        <charset val="1"/>
      </rPr>
      <t xml:space="preserve">1 </t>
    </r>
    <r>
      <rPr>
        <sz val="10"/>
        <color rgb="FF000000"/>
        <rFont val="WenQuanYi Zen Hei"/>
        <family val="2"/>
      </rPr>
      <t xml:space="preserve">운영 </t>
    </r>
    <r>
      <rPr>
        <sz val="10"/>
        <color rgb="FF000000"/>
        <rFont val="맑은 고딕"/>
        <family val="0"/>
        <charset val="1"/>
      </rPr>
      <t xml:space="preserve">/ 2 </t>
    </r>
    <r>
      <rPr>
        <sz val="10"/>
        <color rgb="FF000000"/>
        <rFont val="WenQuanYi Zen Hei"/>
        <family val="2"/>
      </rPr>
      <t xml:space="preserve">부분 </t>
    </r>
    <r>
      <rPr>
        <sz val="10"/>
        <color rgb="FF000000"/>
        <rFont val="맑은 고딕"/>
        <family val="0"/>
        <charset val="1"/>
      </rPr>
      <t xml:space="preserve">/ 3 </t>
    </r>
    <r>
      <rPr>
        <sz val="10"/>
        <color rgb="FF000000"/>
        <rFont val="WenQuanYi Zen Hei"/>
        <family val="2"/>
      </rPr>
      <t xml:space="preserve">미운영 </t>
    </r>
    <r>
      <rPr>
        <sz val="10"/>
        <color rgb="FF000000"/>
        <rFont val="맑은 고딕"/>
        <family val="0"/>
        <charset val="1"/>
      </rPr>
      <t xml:space="preserve">/ 4 </t>
    </r>
    <r>
      <rPr>
        <sz val="10"/>
        <color rgb="FF000000"/>
        <rFont val="WenQuanYi Zen Hei"/>
        <family val="2"/>
      </rPr>
      <t xml:space="preserve">모름</t>
    </r>
  </si>
  <si>
    <t xml:space="preserve">L</t>
  </si>
  <si>
    <r>
      <rPr>
        <sz val="10"/>
        <color rgb="FF000000"/>
        <rFont val="맑은 고딕"/>
        <family val="0"/>
        <charset val="1"/>
      </rPr>
      <t xml:space="preserve">POL BC </t>
    </r>
    <r>
      <rPr>
        <sz val="10"/>
        <color rgb="FF000000"/>
        <rFont val="WenQuanYi Zen Hei"/>
        <family val="2"/>
      </rPr>
      <t xml:space="preserve">정책관리</t>
    </r>
  </si>
  <si>
    <t xml:space="preserve">M</t>
  </si>
  <si>
    <r>
      <rPr>
        <sz val="10"/>
        <color rgb="FF000000"/>
        <rFont val="맑은 고딕"/>
        <family val="0"/>
        <charset val="1"/>
      </rPr>
      <t xml:space="preserve">REQ </t>
    </r>
    <r>
      <rPr>
        <sz val="10"/>
        <color rgb="FF000000"/>
        <rFont val="WenQuanYi Zen Hei"/>
        <family val="2"/>
      </rPr>
      <t xml:space="preserve">요구사항관리</t>
    </r>
  </si>
  <si>
    <t xml:space="preserve">N</t>
  </si>
  <si>
    <r>
      <rPr>
        <sz val="10"/>
        <color rgb="FF000000"/>
        <rFont val="맑은 고딕"/>
        <family val="0"/>
        <charset val="1"/>
      </rPr>
      <t xml:space="preserve">BIA BIA·</t>
    </r>
    <r>
      <rPr>
        <sz val="10"/>
        <color rgb="FF000000"/>
        <rFont val="WenQuanYi Zen Hei"/>
        <family val="2"/>
      </rPr>
      <t xml:space="preserve">중요도 분석</t>
    </r>
  </si>
  <si>
    <t xml:space="preserve">O</t>
  </si>
  <si>
    <r>
      <rPr>
        <sz val="10"/>
        <color rgb="FF000000"/>
        <rFont val="맑은 고딕"/>
        <family val="0"/>
        <charset val="1"/>
      </rPr>
      <t xml:space="preserve">RA </t>
    </r>
    <r>
      <rPr>
        <sz val="10"/>
        <color rgb="FF000000"/>
        <rFont val="WenQuanYi Zen Hei"/>
        <family val="2"/>
      </rPr>
      <t xml:space="preserve">리스크평가</t>
    </r>
  </si>
  <si>
    <t xml:space="preserve">P</t>
  </si>
  <si>
    <r>
      <rPr>
        <sz val="10"/>
        <color rgb="FF000000"/>
        <rFont val="맑은 고딕"/>
        <family val="0"/>
        <charset val="1"/>
      </rPr>
      <t xml:space="preserve">STR 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결정</t>
    </r>
    <r>
      <rPr>
        <sz val="10"/>
        <color rgb="FF000000"/>
        <rFont val="맑은 고딕"/>
        <family val="0"/>
        <charset val="1"/>
      </rPr>
      <t xml:space="preserve">·</t>
    </r>
    <r>
      <rPr>
        <sz val="10"/>
        <color rgb="FF000000"/>
        <rFont val="WenQuanYi Zen Hei"/>
        <family val="2"/>
      </rPr>
      <t xml:space="preserve">선정</t>
    </r>
  </si>
  <si>
    <t xml:space="preserve">Q</t>
  </si>
  <si>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t>
    </r>
  </si>
  <si>
    <t xml:space="preserve">R</t>
  </si>
  <si>
    <r>
      <rPr>
        <sz val="10"/>
        <color rgb="FF000000"/>
        <rFont val="맑은 고딕"/>
        <family val="0"/>
        <charset val="1"/>
      </rPr>
      <t xml:space="preserve">IMP </t>
    </r>
    <r>
      <rPr>
        <sz val="10"/>
        <color rgb="FF000000"/>
        <rFont val="WenQuanYi Zen Hei"/>
        <family val="2"/>
      </rPr>
      <t xml:space="preserve">솔루션 이행관리</t>
    </r>
  </si>
  <si>
    <t xml:space="preserve">S</t>
  </si>
  <si>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t>
    </r>
  </si>
  <si>
    <t xml:space="preserve">T</t>
  </si>
  <si>
    <r>
      <rPr>
        <sz val="10"/>
        <color rgb="FF000000"/>
        <rFont val="맑은 고딕"/>
        <family val="0"/>
        <charset val="1"/>
      </rPr>
      <t xml:space="preserve">EXE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t>
    </r>
  </si>
  <si>
    <t xml:space="preserve">U</t>
  </si>
  <si>
    <r>
      <rPr>
        <sz val="10"/>
        <color rgb="FF000000"/>
        <rFont val="맑은 고딕"/>
        <family val="0"/>
        <charset val="1"/>
      </rPr>
      <t xml:space="preserve">AWR </t>
    </r>
    <r>
      <rPr>
        <sz val="10"/>
        <color rgb="FF000000"/>
        <rFont val="WenQuanYi Zen Hei"/>
        <family val="2"/>
      </rPr>
      <t xml:space="preserve">인식</t>
    </r>
    <r>
      <rPr>
        <sz val="10"/>
        <color rgb="FF000000"/>
        <rFont val="맑은 고딕"/>
        <family val="0"/>
        <charset val="1"/>
      </rPr>
      <t xml:space="preserve">·</t>
    </r>
    <r>
      <rPr>
        <sz val="10"/>
        <color rgb="FF000000"/>
        <rFont val="WenQuanYi Zen Hei"/>
        <family val="2"/>
      </rPr>
      <t xml:space="preserve">역량</t>
    </r>
    <r>
      <rPr>
        <sz val="10"/>
        <color rgb="FF000000"/>
        <rFont val="맑은 고딕"/>
        <family val="0"/>
        <charset val="1"/>
      </rPr>
      <t xml:space="preserve">·</t>
    </r>
    <r>
      <rPr>
        <sz val="10"/>
        <color rgb="FF000000"/>
        <rFont val="WenQuanYi Zen Hei"/>
        <family val="2"/>
      </rPr>
      <t xml:space="preserve">교육</t>
    </r>
  </si>
  <si>
    <t xml:space="preserve">V</t>
  </si>
  <si>
    <r>
      <rPr>
        <sz val="10"/>
        <color rgb="FF000000"/>
        <rFont val="맑은 고딕"/>
        <family val="0"/>
        <charset val="1"/>
      </rPr>
      <t xml:space="preserve">SUP </t>
    </r>
    <r>
      <rPr>
        <sz val="10"/>
        <color rgb="FF000000"/>
        <rFont val="WenQuanYi Zen Hei"/>
        <family val="2"/>
      </rPr>
      <t xml:space="preserve">공급망관리</t>
    </r>
  </si>
  <si>
    <t xml:space="preserve">W</t>
  </si>
  <si>
    <r>
      <rPr>
        <sz val="10"/>
        <color rgb="FF000000"/>
        <rFont val="맑은 고딕"/>
        <family val="0"/>
        <charset val="1"/>
      </rPr>
      <t xml:space="preserve">AUD </t>
    </r>
    <r>
      <rPr>
        <sz val="10"/>
        <color rgb="FF000000"/>
        <rFont val="WenQuanYi Zen Hei"/>
        <family val="2"/>
      </rPr>
      <t xml:space="preserve">내부감사</t>
    </r>
  </si>
  <si>
    <t xml:space="preserve">X</t>
  </si>
  <si>
    <r>
      <rPr>
        <sz val="10"/>
        <color rgb="FF000000"/>
        <rFont val="맑은 고딕"/>
        <family val="0"/>
        <charset val="1"/>
      </rPr>
      <t xml:space="preserve">PERF </t>
    </r>
    <r>
      <rPr>
        <sz val="10"/>
        <color rgb="FF000000"/>
        <rFont val="WenQuanYi Zen Hei"/>
        <family val="2"/>
      </rPr>
      <t xml:space="preserve">성과평가</t>
    </r>
  </si>
  <si>
    <r>
      <rPr>
        <sz val="10"/>
        <color rgb="FF000000"/>
        <rFont val="맑은 고딕"/>
        <family val="0"/>
        <charset val="1"/>
      </rPr>
      <t xml:space="preserve">CI </t>
    </r>
    <r>
      <rPr>
        <sz val="10"/>
        <color rgb="FF000000"/>
        <rFont val="WenQuanYi Zen Hei"/>
        <family val="2"/>
      </rPr>
      <t xml:space="preserve">지속적 개선</t>
    </r>
  </si>
  <si>
    <t xml:space="preserve">Z</t>
  </si>
  <si>
    <r>
      <rPr>
        <sz val="10"/>
        <color rgb="FF000000"/>
        <rFont val="맑은 고딕"/>
        <family val="0"/>
        <charset val="1"/>
      </rPr>
      <t xml:space="preserve">CHG BC </t>
    </r>
    <r>
      <rPr>
        <sz val="10"/>
        <color rgb="FF000000"/>
        <rFont val="WenQuanYi Zen Hei"/>
        <family val="2"/>
      </rPr>
      <t xml:space="preserve">변경관리</t>
    </r>
  </si>
  <si>
    <t xml:space="preserve">AA</t>
  </si>
  <si>
    <r>
      <rPr>
        <sz val="10"/>
        <color rgb="FF000000"/>
        <rFont val="맑은 고딕"/>
        <family val="0"/>
        <charset val="1"/>
      </rPr>
      <t xml:space="preserve">WARN </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t>
    </r>
  </si>
  <si>
    <t xml:space="preserve">AB</t>
  </si>
  <si>
    <r>
      <rPr>
        <sz val="10"/>
        <color rgb="FF000000"/>
        <rFont val="맑은 고딕"/>
        <family val="0"/>
        <charset val="1"/>
      </rPr>
      <t xml:space="preserve">REC </t>
    </r>
    <r>
      <rPr>
        <sz val="10"/>
        <color rgb="FF000000"/>
        <rFont val="WenQuanYi Zen Hei"/>
        <family val="2"/>
      </rPr>
      <t xml:space="preserve">복구</t>
    </r>
  </si>
  <si>
    <t xml:space="preserve">B19</t>
  </si>
  <si>
    <r>
      <rPr>
        <sz val="10"/>
        <color rgb="FF000000"/>
        <rFont val="맑은 고딕"/>
        <family val="0"/>
        <charset val="1"/>
      </rPr>
      <t xml:space="preserve">DOC </t>
    </r>
    <r>
      <rPr>
        <sz val="10"/>
        <color rgb="FF000000"/>
        <rFont val="WenQuanYi Zen Hei"/>
        <family val="2"/>
      </rPr>
      <t xml:space="preserve">문서화된 정보 통제</t>
    </r>
  </si>
  <si>
    <t xml:space="preserve">AD</t>
  </si>
  <si>
    <t xml:space="preserve">B20</t>
  </si>
  <si>
    <r>
      <rPr>
        <sz val="10"/>
        <color rgb="FF000000"/>
        <rFont val="맑은 고딕"/>
        <family val="0"/>
        <charset val="1"/>
      </rPr>
      <t xml:space="preserve">RES </t>
    </r>
    <r>
      <rPr>
        <sz val="10"/>
        <color rgb="FF000000"/>
        <rFont val="WenQuanYi Zen Hei"/>
        <family val="2"/>
      </rPr>
      <t xml:space="preserve">자원관리</t>
    </r>
  </si>
  <si>
    <t xml:space="preserve">AE</t>
  </si>
  <si>
    <t xml:space="preserve">B21</t>
  </si>
  <si>
    <r>
      <rPr>
        <sz val="10"/>
        <color rgb="FF000000"/>
        <rFont val="맑은 고딕"/>
        <family val="0"/>
        <charset val="1"/>
      </rPr>
      <t xml:space="preserve">COM </t>
    </r>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t>
    </r>
  </si>
  <si>
    <t xml:space="preserve">AF</t>
  </si>
  <si>
    <t xml:space="preserve">B22</t>
  </si>
  <si>
    <r>
      <rPr>
        <sz val="10"/>
        <color rgb="FF000000"/>
        <rFont val="맑은 고딕"/>
        <family val="0"/>
        <charset val="1"/>
      </rPr>
      <t xml:space="preserve">CRM </t>
    </r>
    <r>
      <rPr>
        <sz val="10"/>
        <color rgb="FF000000"/>
        <rFont val="WenQuanYi Zen Hei"/>
        <family val="2"/>
      </rPr>
      <t xml:space="preserve">고객관계관리</t>
    </r>
  </si>
  <si>
    <t xml:space="preserve">AG</t>
  </si>
  <si>
    <r>
      <rPr>
        <b val="true"/>
        <sz val="14"/>
        <color rgb="FF101828"/>
        <rFont val="WenQuanYi Zen Hei"/>
        <family val="2"/>
      </rPr>
      <t xml:space="preserve">응답 입력 </t>
    </r>
    <r>
      <rPr>
        <b val="true"/>
        <sz val="14"/>
        <color rgb="FF101828"/>
        <rFont val="맑은 고딕"/>
        <family val="0"/>
        <charset val="1"/>
      </rPr>
      <t xml:space="preserve">(7</t>
    </r>
    <r>
      <rPr>
        <b val="true"/>
        <sz val="14"/>
        <color rgb="FF101828"/>
        <rFont val="WenQuanYi Zen Hei"/>
        <family val="2"/>
      </rPr>
      <t xml:space="preserve">행부터 최대 </t>
    </r>
    <r>
      <rPr>
        <b val="true"/>
        <sz val="14"/>
        <color rgb="FF101828"/>
        <rFont val="맑은 고딕"/>
        <family val="0"/>
        <charset val="1"/>
      </rPr>
      <t xml:space="preserve">50</t>
    </r>
    <r>
      <rPr>
        <b val="true"/>
        <sz val="14"/>
        <color rgb="FF101828"/>
        <rFont val="WenQuanYi Zen Hei"/>
        <family val="2"/>
      </rPr>
      <t xml:space="preserve">명</t>
    </r>
    <r>
      <rPr>
        <b val="true"/>
        <sz val="14"/>
        <color rgb="FF101828"/>
        <rFont val="맑은 고딕"/>
        <family val="0"/>
        <charset val="1"/>
      </rPr>
      <t xml:space="preserve">)</t>
    </r>
  </si>
  <si>
    <r>
      <rPr>
        <i val="true"/>
        <sz val="10"/>
        <color rgb="FF475467"/>
        <rFont val="맑은 고딕"/>
        <family val="0"/>
        <charset val="1"/>
      </rPr>
      <t xml:space="preserve">3</t>
    </r>
    <r>
      <rPr>
        <i val="true"/>
        <sz val="10"/>
        <color rgb="FF475467"/>
        <rFont val="WenQuanYi Zen Hei"/>
        <family val="2"/>
      </rPr>
      <t xml:space="preserve">행</t>
    </r>
    <r>
      <rPr>
        <i val="true"/>
        <sz val="10"/>
        <color rgb="FF475467"/>
        <rFont val="맑은 고딕"/>
        <family val="0"/>
        <charset val="1"/>
      </rPr>
      <t xml:space="preserve">=</t>
    </r>
    <r>
      <rPr>
        <i val="true"/>
        <sz val="10"/>
        <color rgb="FF475467"/>
        <rFont val="WenQuanYi Zen Hei"/>
        <family val="2"/>
      </rPr>
      <t xml:space="preserve">연결 </t>
    </r>
    <r>
      <rPr>
        <i val="true"/>
        <sz val="10"/>
        <color rgb="FF475467"/>
        <rFont val="맑은 고딕"/>
        <family val="0"/>
        <charset val="1"/>
      </rPr>
      <t xml:space="preserve">ID, 4</t>
    </r>
    <r>
      <rPr>
        <i val="true"/>
        <sz val="10"/>
        <color rgb="FF475467"/>
        <rFont val="WenQuanYi Zen Hei"/>
        <family val="2"/>
      </rPr>
      <t xml:space="preserve">행</t>
    </r>
    <r>
      <rPr>
        <i val="true"/>
        <sz val="10"/>
        <color rgb="FF475467"/>
        <rFont val="맑은 고딕"/>
        <family val="0"/>
        <charset val="1"/>
      </rPr>
      <t xml:space="preserve">=</t>
    </r>
    <r>
      <rPr>
        <i val="true"/>
        <sz val="10"/>
        <color rgb="FF475467"/>
        <rFont val="WenQuanYi Zen Hei"/>
        <family val="2"/>
      </rPr>
      <t xml:space="preserve">품질 차원 코드</t>
    </r>
    <r>
      <rPr>
        <i val="true"/>
        <sz val="10"/>
        <color rgb="FF475467"/>
        <rFont val="맑은 고딕"/>
        <family val="0"/>
        <charset val="1"/>
      </rPr>
      <t xml:space="preserve">(</t>
    </r>
    <r>
      <rPr>
        <i val="true"/>
        <sz val="10"/>
        <color rgb="FF475467"/>
        <rFont val="WenQuanYi Zen Hei"/>
        <family val="2"/>
      </rPr>
      <t xml:space="preserve">집계용 태그</t>
    </r>
    <r>
      <rPr>
        <i val="true"/>
        <sz val="10"/>
        <color rgb="FF475467"/>
        <rFont val="맑은 고딕"/>
        <family val="0"/>
        <charset val="1"/>
      </rPr>
      <t xml:space="preserve">, </t>
    </r>
    <r>
      <rPr>
        <i val="true"/>
        <sz val="10"/>
        <color rgb="FF475467"/>
        <rFont val="WenQuanYi Zen Hei"/>
        <family val="2"/>
      </rPr>
      <t xml:space="preserve">수정 금지</t>
    </r>
    <r>
      <rPr>
        <i val="true"/>
        <sz val="10"/>
        <color rgb="FF475467"/>
        <rFont val="맑은 고딕"/>
        <family val="0"/>
        <charset val="1"/>
      </rPr>
      <t xml:space="preserve">). 6</t>
    </r>
    <r>
      <rPr>
        <i val="true"/>
        <sz val="10"/>
        <color rgb="FF475467"/>
        <rFont val="WenQuanYi Zen Hei"/>
        <family val="2"/>
      </rPr>
      <t xml:space="preserve">행은 예시</t>
    </r>
    <r>
      <rPr>
        <i val="true"/>
        <sz val="10"/>
        <color rgb="FF475467"/>
        <rFont val="맑은 고딕"/>
        <family val="0"/>
        <charset val="1"/>
      </rPr>
      <t xml:space="preserve">(</t>
    </r>
    <r>
      <rPr>
        <i val="true"/>
        <sz val="10"/>
        <color rgb="FF475467"/>
        <rFont val="WenQuanYi Zen Hei"/>
        <family val="2"/>
      </rPr>
      <t xml:space="preserve">집계 제외</t>
    </r>
    <r>
      <rPr>
        <i val="true"/>
        <sz val="10"/>
        <color rgb="FF475467"/>
        <rFont val="맑은 고딕"/>
        <family val="0"/>
        <charset val="1"/>
      </rPr>
      <t xml:space="preserve">). </t>
    </r>
    <r>
      <rPr>
        <i val="true"/>
        <sz val="10"/>
        <color rgb="FF475467"/>
        <rFont val="WenQuanYi Zen Hei"/>
        <family val="2"/>
      </rPr>
      <t xml:space="preserve">연결</t>
    </r>
    <r>
      <rPr>
        <i val="true"/>
        <sz val="10"/>
        <color rgb="FF475467"/>
        <rFont val="맑은 고딕"/>
        <family val="0"/>
        <charset val="1"/>
      </rPr>
      <t xml:space="preserve">·</t>
    </r>
    <r>
      <rPr>
        <i val="true"/>
        <sz val="10"/>
        <color rgb="FF475467"/>
        <rFont val="WenQuanYi Zen Hei"/>
        <family val="2"/>
      </rPr>
      <t xml:space="preserve">종합</t>
    </r>
    <r>
      <rPr>
        <i val="true"/>
        <sz val="10"/>
        <color rgb="FF475467"/>
        <rFont val="맑은 고딕"/>
        <family val="0"/>
        <charset val="1"/>
      </rPr>
      <t xml:space="preserve">·</t>
    </r>
    <r>
      <rPr>
        <i val="true"/>
        <sz val="10"/>
        <color rgb="FF475467"/>
        <rFont val="WenQuanYi Zen Hei"/>
        <family val="2"/>
      </rPr>
      <t xml:space="preserve">검증 문항</t>
    </r>
    <r>
      <rPr>
        <i val="true"/>
        <sz val="10"/>
        <color rgb="FF475467"/>
        <rFont val="맑은 고딕"/>
        <family val="0"/>
        <charset val="1"/>
      </rPr>
      <t xml:space="preserve">: 1~5 </t>
    </r>
    <r>
      <rPr>
        <i val="true"/>
        <sz val="10"/>
        <color rgb="FF475467"/>
        <rFont val="WenQuanYi Zen Hei"/>
        <family val="2"/>
      </rPr>
      <t xml:space="preserve">또는 </t>
    </r>
    <r>
      <rPr>
        <i val="true"/>
        <sz val="10"/>
        <color rgb="FF475467"/>
        <rFont val="맑은 고딕"/>
        <family val="0"/>
        <charset val="1"/>
      </rPr>
      <t xml:space="preserve">9. </t>
    </r>
    <r>
      <rPr>
        <i val="true"/>
        <sz val="10"/>
        <color rgb="FF475467"/>
        <rFont val="WenQuanYi Zen Hei"/>
        <family val="2"/>
      </rPr>
      <t xml:space="preserve">보유 확인</t>
    </r>
    <r>
      <rPr>
        <i val="true"/>
        <sz val="10"/>
        <color rgb="FF475467"/>
        <rFont val="맑은 고딕"/>
        <family val="0"/>
        <charset val="1"/>
      </rPr>
      <t xml:space="preserve">: 1~4.</t>
    </r>
  </si>
  <si>
    <r>
      <rPr>
        <b val="true"/>
        <sz val="9"/>
        <color rgb="FF000000"/>
        <rFont val="WenQuanYi Zen Hei"/>
        <family val="2"/>
      </rPr>
      <t xml:space="preserve">연결 </t>
    </r>
    <r>
      <rPr>
        <b val="true"/>
        <sz val="9"/>
        <color rgb="FF000000"/>
        <rFont val="맑은 고딕"/>
        <family val="0"/>
        <charset val="1"/>
      </rPr>
      <t xml:space="preserve">ID </t>
    </r>
    <r>
      <rPr>
        <b val="true"/>
        <sz val="9"/>
        <color rgb="FF000000"/>
        <rFont val="WenQuanYi Zen Hei"/>
        <family val="2"/>
      </rPr>
      <t xml:space="preserve">태그</t>
    </r>
  </si>
  <si>
    <t xml:space="preserve">차원 태그</t>
  </si>
  <si>
    <t xml:space="preserve">G-CO</t>
  </si>
  <si>
    <t xml:space="preserve">G-TR</t>
  </si>
  <si>
    <t xml:space="preserve">G-EV</t>
  </si>
  <si>
    <t xml:space="preserve">G-AC</t>
  </si>
  <si>
    <t xml:space="preserve">G-TM</t>
  </si>
  <si>
    <t xml:space="preserve">G-FC</t>
  </si>
  <si>
    <t xml:space="preserve">G-ALL</t>
  </si>
  <si>
    <t xml:space="preserve">RV</t>
  </si>
  <si>
    <r>
      <rPr>
        <b val="true"/>
        <sz val="10"/>
        <color rgb="FFFFFFFF"/>
        <rFont val="WenQuanYi Zen Hei"/>
        <family val="2"/>
      </rPr>
      <t xml:space="preserve">응답자</t>
    </r>
    <r>
      <rPr>
        <b val="true"/>
        <sz val="10"/>
        <color rgb="FFFFFFFF"/>
        <rFont val="맑은 고딕"/>
        <family val="0"/>
        <charset val="1"/>
      </rPr>
      <t xml:space="preserve">ID</t>
    </r>
  </si>
  <si>
    <r>
      <rPr>
        <i val="true"/>
        <sz val="10"/>
        <color rgb="FF7F7F7F"/>
        <rFont val="맑은 고딕"/>
        <family val="0"/>
        <charset val="1"/>
      </rPr>
      <t xml:space="preserve">EX-</t>
    </r>
    <r>
      <rPr>
        <i val="true"/>
        <sz val="10"/>
        <color rgb="FF7F7F7F"/>
        <rFont val="WenQuanYi Zen Hei"/>
        <family val="2"/>
      </rPr>
      <t xml:space="preserve">예시</t>
    </r>
  </si>
  <si>
    <t xml:space="preserve">제조업</t>
  </si>
  <si>
    <t xml:space="preserve">300~999</t>
  </si>
  <si>
    <r>
      <rPr>
        <i val="true"/>
        <sz val="10"/>
        <color rgb="FF7F7F7F"/>
        <rFont val="맑은 고딕"/>
        <family val="0"/>
        <charset val="1"/>
      </rPr>
      <t xml:space="preserve">3~5</t>
    </r>
    <r>
      <rPr>
        <i val="true"/>
        <sz val="10"/>
        <color rgb="FF7F7F7F"/>
        <rFont val="WenQuanYi Zen Hei"/>
        <family val="2"/>
      </rPr>
      <t xml:space="preserve">년</t>
    </r>
  </si>
  <si>
    <t xml:space="preserve">보유</t>
  </si>
  <si>
    <r>
      <rPr>
        <i val="true"/>
        <sz val="10"/>
        <color rgb="FF7F7F7F"/>
        <rFont val="맑은 고딕"/>
        <family val="0"/>
        <charset val="1"/>
      </rPr>
      <t xml:space="preserve">BC </t>
    </r>
    <r>
      <rPr>
        <i val="true"/>
        <sz val="10"/>
        <color rgb="FF7F7F7F"/>
        <rFont val="WenQuanYi Zen Hei"/>
        <family val="2"/>
      </rPr>
      <t xml:space="preserve">관리자</t>
    </r>
  </si>
  <si>
    <t xml:space="preserve">8</t>
  </si>
  <si>
    <t xml:space="preserve">부분</t>
  </si>
  <si>
    <t xml:space="preserve">일부</t>
  </si>
  <si>
    <r>
      <rPr>
        <b val="true"/>
        <sz val="14"/>
        <color rgb="FF101828"/>
        <rFont val="WenQuanYi Zen Hei"/>
        <family val="2"/>
      </rPr>
      <t xml:space="preserve">응답자별 연결 점수 </t>
    </r>
    <r>
      <rPr>
        <b val="true"/>
        <sz val="14"/>
        <color rgb="FF101828"/>
        <rFont val="맑은 고딕"/>
        <family val="0"/>
        <charset val="1"/>
      </rPr>
      <t xml:space="preserve">(</t>
    </r>
    <r>
      <rPr>
        <b val="true"/>
        <sz val="14"/>
        <color rgb="FF101828"/>
        <rFont val="WenQuanYi Zen Hei"/>
        <family val="2"/>
      </rPr>
      <t xml:space="preserve">적용된 품질 차원 문항의 평균</t>
    </r>
    <r>
      <rPr>
        <b val="true"/>
        <sz val="14"/>
        <color rgb="FF101828"/>
        <rFont val="맑은 고딕"/>
        <family val="0"/>
        <charset val="1"/>
      </rPr>
      <t xml:space="preserve">, 9 </t>
    </r>
    <r>
      <rPr>
        <b val="true"/>
        <sz val="14"/>
        <color rgb="FF101828"/>
        <rFont val="WenQuanYi Zen Hei"/>
        <family val="2"/>
      </rPr>
      <t xml:space="preserve">제외</t>
    </r>
    <r>
      <rPr>
        <b val="true"/>
        <sz val="14"/>
        <color rgb="FF101828"/>
        <rFont val="맑은 고딕"/>
        <family val="0"/>
        <charset val="1"/>
      </rPr>
      <t xml:space="preserve">, </t>
    </r>
    <r>
      <rPr>
        <b val="true"/>
        <sz val="14"/>
        <color rgb="FF101828"/>
        <rFont val="WenQuanYi Zen Hei"/>
        <family val="2"/>
      </rPr>
      <t xml:space="preserve">최소 </t>
    </r>
    <r>
      <rPr>
        <b val="true"/>
        <sz val="14"/>
        <color rgb="FF101828"/>
        <rFont val="맑은 고딕"/>
        <family val="0"/>
        <charset val="1"/>
      </rPr>
      <t xml:space="preserve">3</t>
    </r>
    <r>
      <rPr>
        <b val="true"/>
        <sz val="14"/>
        <color rgb="FF101828"/>
        <rFont val="WenQuanYi Zen Hei"/>
        <family val="2"/>
      </rPr>
      <t xml:space="preserve">문항 응답 시 산출</t>
    </r>
    <r>
      <rPr>
        <b val="true"/>
        <sz val="14"/>
        <color rgb="FF101828"/>
        <rFont val="맑은 고딕"/>
        <family val="0"/>
        <charset val="1"/>
      </rPr>
      <t xml:space="preserve">)</t>
    </r>
  </si>
  <si>
    <t xml:space="preserve">연결 평균</t>
  </si>
  <si>
    <r>
      <rPr>
        <b val="true"/>
        <sz val="14"/>
        <color rgb="FF101828"/>
        <rFont val="WenQuanYi Zen Hei"/>
        <family val="2"/>
      </rPr>
      <t xml:space="preserve">응답자별 품질 차원 점수 </t>
    </r>
    <r>
      <rPr>
        <b val="true"/>
        <sz val="14"/>
        <color rgb="FF101828"/>
        <rFont val="맑은 고딕"/>
        <family val="0"/>
        <charset val="1"/>
      </rPr>
      <t xml:space="preserve">(</t>
    </r>
    <r>
      <rPr>
        <b val="true"/>
        <sz val="14"/>
        <color rgb="FF101828"/>
        <rFont val="WenQuanYi Zen Hei"/>
        <family val="2"/>
      </rPr>
      <t xml:space="preserve">연결 문항 전체에서 차원별 평균</t>
    </r>
    <r>
      <rPr>
        <b val="true"/>
        <sz val="14"/>
        <color rgb="FF101828"/>
        <rFont val="맑은 고딕"/>
        <family val="0"/>
        <charset val="1"/>
      </rPr>
      <t xml:space="preserve">, 9 </t>
    </r>
    <r>
      <rPr>
        <b val="true"/>
        <sz val="14"/>
        <color rgb="FF101828"/>
        <rFont val="WenQuanYi Zen Hei"/>
        <family val="2"/>
      </rPr>
      <t xml:space="preserve">제외</t>
    </r>
    <r>
      <rPr>
        <b val="true"/>
        <sz val="14"/>
        <color rgb="FF101828"/>
        <rFont val="맑은 고딕"/>
        <family val="0"/>
        <charset val="1"/>
      </rPr>
      <t xml:space="preserve">) · </t>
    </r>
    <r>
      <rPr>
        <b val="true"/>
        <sz val="14"/>
        <color rgb="FF101828"/>
        <rFont val="WenQuanYi Zen Hei"/>
        <family val="2"/>
      </rPr>
      <t xml:space="preserve">연결 품질 지수 </t>
    </r>
    <r>
      <rPr>
        <b val="true"/>
        <sz val="14"/>
        <color rgb="FF101828"/>
        <rFont val="맑은 고딕"/>
        <family val="0"/>
        <charset val="1"/>
      </rPr>
      <t xml:space="preserve">= 6</t>
    </r>
    <r>
      <rPr>
        <b val="true"/>
        <sz val="14"/>
        <color rgb="FF101828"/>
        <rFont val="WenQuanYi Zen Hei"/>
        <family val="2"/>
      </rPr>
      <t xml:space="preserve">개 차원 평균</t>
    </r>
    <r>
      <rPr>
        <b val="true"/>
        <sz val="14"/>
        <color rgb="FF101828"/>
        <rFont val="맑은 고딕"/>
        <family val="0"/>
        <charset val="1"/>
      </rPr>
      <t xml:space="preserve">(</t>
    </r>
    <r>
      <rPr>
        <b val="true"/>
        <sz val="14"/>
        <color rgb="FF101828"/>
        <rFont val="WenQuanYi Zen Hei"/>
        <family val="2"/>
      </rPr>
      <t xml:space="preserve">동일 가중치</t>
    </r>
    <r>
      <rPr>
        <b val="true"/>
        <sz val="14"/>
        <color rgb="FF101828"/>
        <rFont val="맑은 고딕"/>
        <family val="0"/>
        <charset val="1"/>
      </rPr>
      <t xml:space="preserve">, </t>
    </r>
    <r>
      <rPr>
        <b val="true"/>
        <sz val="14"/>
        <color rgb="FF101828"/>
        <rFont val="WenQuanYi Zen Hei"/>
        <family val="2"/>
      </rPr>
      <t xml:space="preserve">초기값</t>
    </r>
    <r>
      <rPr>
        <b val="true"/>
        <sz val="14"/>
        <color rgb="FF101828"/>
        <rFont val="맑은 고딕"/>
        <family val="0"/>
        <charset val="1"/>
      </rPr>
      <t xml:space="preserve">)</t>
    </r>
  </si>
  <si>
    <t xml:space="preserve">연결 품질 지수</t>
  </si>
  <si>
    <r>
      <rPr>
        <b val="true"/>
        <sz val="14"/>
        <color rgb="FF101828"/>
        <rFont val="WenQuanYi Zen Hei"/>
        <family val="2"/>
      </rPr>
      <t xml:space="preserve">점수 요약 — 연결</t>
    </r>
    <r>
      <rPr>
        <b val="true"/>
        <sz val="14"/>
        <color rgb="FF101828"/>
        <rFont val="맑은 고딕"/>
        <family val="0"/>
        <charset val="1"/>
      </rPr>
      <t xml:space="preserve">·</t>
    </r>
    <r>
      <rPr>
        <b val="true"/>
        <sz val="14"/>
        <color rgb="FF101828"/>
        <rFont val="WenQuanYi Zen Hei"/>
        <family val="2"/>
      </rPr>
      <t xml:space="preserve">차원</t>
    </r>
    <r>
      <rPr>
        <b val="true"/>
        <sz val="14"/>
        <color rgb="FF101828"/>
        <rFont val="맑은 고딕"/>
        <family val="0"/>
        <charset val="1"/>
      </rPr>
      <t xml:space="preserve">·</t>
    </r>
    <r>
      <rPr>
        <b val="true"/>
        <sz val="14"/>
        <color rgb="FF101828"/>
        <rFont val="WenQuanYi Zen Hei"/>
        <family val="2"/>
      </rPr>
      <t xml:space="preserve">영역</t>
    </r>
    <r>
      <rPr>
        <b val="true"/>
        <sz val="14"/>
        <color rgb="FF101828"/>
        <rFont val="맑은 고딕"/>
        <family val="0"/>
        <charset val="1"/>
      </rPr>
      <t xml:space="preserve">·</t>
    </r>
    <r>
      <rPr>
        <b val="true"/>
        <sz val="14"/>
        <color rgb="FF101828"/>
        <rFont val="WenQuanYi Zen Hei"/>
        <family val="2"/>
      </rPr>
      <t xml:space="preserve">증거유형</t>
    </r>
    <r>
      <rPr>
        <b val="true"/>
        <sz val="14"/>
        <color rgb="FF101828"/>
        <rFont val="맑은 고딕"/>
        <family val="0"/>
        <charset val="1"/>
      </rPr>
      <t xml:space="preserve">·</t>
    </r>
    <r>
      <rPr>
        <b val="true"/>
        <sz val="14"/>
        <color rgb="FF101828"/>
        <rFont val="WenQuanYi Zen Hei"/>
        <family val="2"/>
      </rPr>
      <t xml:space="preserve">관계동사별 평균 </t>
    </r>
    <r>
      <rPr>
        <b val="true"/>
        <sz val="14"/>
        <color rgb="FF101828"/>
        <rFont val="맑은 고딕"/>
        <family val="0"/>
        <charset val="1"/>
      </rPr>
      <t xml:space="preserve">(</t>
    </r>
    <r>
      <rPr>
        <b val="true"/>
        <sz val="14"/>
        <color rgb="FF101828"/>
        <rFont val="WenQuanYi Zen Hei"/>
        <family val="2"/>
      </rPr>
      <t xml:space="preserve">응답입력 </t>
    </r>
    <r>
      <rPr>
        <b val="true"/>
        <sz val="14"/>
        <color rgb="FF101828"/>
        <rFont val="맑은 고딕"/>
        <family val="0"/>
        <charset val="1"/>
      </rPr>
      <t xml:space="preserve">7~56</t>
    </r>
    <r>
      <rPr>
        <b val="true"/>
        <sz val="14"/>
        <color rgb="FF101828"/>
        <rFont val="WenQuanYi Zen Hei"/>
        <family val="2"/>
      </rPr>
      <t xml:space="preserve">행</t>
    </r>
    <r>
      <rPr>
        <b val="true"/>
        <sz val="14"/>
        <color rgb="FF101828"/>
        <rFont val="맑은 고딕"/>
        <family val="0"/>
        <charset val="1"/>
      </rPr>
      <t xml:space="preserve">, 9 </t>
    </r>
    <r>
      <rPr>
        <b val="true"/>
        <sz val="14"/>
        <color rgb="FF101828"/>
        <rFont val="WenQuanYi Zen Hei"/>
        <family val="2"/>
      </rPr>
      <t xml:space="preserve">제외</t>
    </r>
    <r>
      <rPr>
        <b val="true"/>
        <sz val="14"/>
        <color rgb="FF101828"/>
        <rFont val="맑은 고딕"/>
        <family val="0"/>
        <charset val="1"/>
      </rPr>
      <t xml:space="preserve">)</t>
    </r>
  </si>
  <si>
    <t xml:space="preserve">연결 점수</t>
  </si>
  <si>
    <t xml:space="preserve">응답 수</t>
  </si>
  <si>
    <t xml:space="preserve">가장 낮은 차원</t>
  </si>
  <si>
    <t xml:space="preserve">차원별 평균</t>
  </si>
  <si>
    <t xml:space="preserve">영역별 평균</t>
  </si>
  <si>
    <t xml:space="preserve">증거유형별 평균</t>
  </si>
  <si>
    <t xml:space="preserve">관계동사별 평균</t>
  </si>
  <si>
    <r>
      <rPr>
        <b val="true"/>
        <sz val="10"/>
        <color rgb="FF000000"/>
        <rFont val="WenQuanYi Zen Hei"/>
        <family val="2"/>
      </rPr>
      <t xml:space="preserve">연결 평균</t>
    </r>
    <r>
      <rPr>
        <b val="true"/>
        <sz val="10"/>
        <color rgb="FF000000"/>
        <rFont val="맑은 고딕"/>
        <family val="0"/>
        <charset val="1"/>
      </rPr>
      <t xml:space="preserve">(</t>
    </r>
    <r>
      <rPr>
        <b val="true"/>
        <sz val="10"/>
        <color rgb="FF000000"/>
        <rFont val="WenQuanYi Zen Hei"/>
        <family val="2"/>
      </rPr>
      <t xml:space="preserve">연결 </t>
    </r>
    <r>
      <rPr>
        <b val="true"/>
        <sz val="10"/>
        <color rgb="FF000000"/>
        <rFont val="맑은 고딕"/>
        <family val="0"/>
        <charset val="1"/>
      </rPr>
      <t xml:space="preserve">31</t>
    </r>
    <r>
      <rPr>
        <b val="true"/>
        <sz val="10"/>
        <color rgb="FF000000"/>
        <rFont val="WenQuanYi Zen Hei"/>
        <family val="2"/>
      </rPr>
      <t xml:space="preserve">개</t>
    </r>
    <r>
      <rPr>
        <b val="true"/>
        <sz val="10"/>
        <color rgb="FF000000"/>
        <rFont val="맑은 고딕"/>
        <family val="0"/>
        <charset val="1"/>
      </rPr>
      <t xml:space="preserve">)</t>
    </r>
  </si>
  <si>
    <r>
      <rPr>
        <b val="true"/>
        <sz val="14"/>
        <color rgb="FF101828"/>
        <rFont val="WenQuanYi Zen Hei"/>
        <family val="2"/>
      </rPr>
      <t xml:space="preserve">검증 — 기준값 </t>
    </r>
    <r>
      <rPr>
        <b val="true"/>
        <sz val="14"/>
        <color rgb="FF101828"/>
        <rFont val="맑은 고딕"/>
        <family val="0"/>
        <charset val="1"/>
      </rPr>
      <t xml:space="preserve">· </t>
    </r>
    <r>
      <rPr>
        <b val="true"/>
        <sz val="14"/>
        <color rgb="FF101828"/>
        <rFont val="WenQuanYi Zen Hei"/>
        <family val="2"/>
      </rPr>
      <t xml:space="preserve">구조 점검 </t>
    </r>
    <r>
      <rPr>
        <b val="true"/>
        <sz val="14"/>
        <color rgb="FF101828"/>
        <rFont val="맑은 고딕"/>
        <family val="0"/>
        <charset val="1"/>
      </rPr>
      <t xml:space="preserve">· </t>
    </r>
    <r>
      <rPr>
        <b val="true"/>
        <sz val="14"/>
        <color rgb="FF101828"/>
        <rFont val="WenQuanYi Zen Hei"/>
        <family val="2"/>
      </rPr>
      <t xml:space="preserve">자료 기반 점검 </t>
    </r>
    <r>
      <rPr>
        <b val="true"/>
        <sz val="14"/>
        <color rgb="FF101828"/>
        <rFont val="맑은 고딕"/>
        <family val="0"/>
        <charset val="1"/>
      </rPr>
      <t xml:space="preserve">· </t>
    </r>
    <r>
      <rPr>
        <b val="true"/>
        <sz val="14"/>
        <color rgb="FF101828"/>
        <rFont val="WenQuanYi Zen Hei"/>
        <family val="2"/>
      </rPr>
      <t xml:space="preserve">검증 계획</t>
    </r>
  </si>
  <si>
    <r>
      <rPr>
        <i val="true"/>
        <sz val="10"/>
        <color rgb="FF475467"/>
        <rFont val="WenQuanYi Zen Hei"/>
        <family val="2"/>
      </rPr>
      <t xml:space="preserve">기준값</t>
    </r>
    <r>
      <rPr>
        <i val="true"/>
        <sz val="10"/>
        <color rgb="FF475467"/>
        <rFont val="맑은 고딕"/>
        <family val="0"/>
        <charset val="1"/>
      </rPr>
      <t xml:space="preserve">(</t>
    </r>
    <r>
      <rPr>
        <i val="true"/>
        <sz val="10"/>
        <color rgb="FF475467"/>
        <rFont val="WenQuanYi Zen Hei"/>
        <family val="2"/>
      </rPr>
      <t xml:space="preserve">파란 글씨</t>
    </r>
    <r>
      <rPr>
        <i val="true"/>
        <sz val="10"/>
        <color rgb="FF475467"/>
        <rFont val="맑은 고딕"/>
        <family val="0"/>
        <charset val="1"/>
      </rPr>
      <t xml:space="preserve">)</t>
    </r>
    <r>
      <rPr>
        <i val="true"/>
        <sz val="10"/>
        <color rgb="FF475467"/>
        <rFont val="WenQuanYi Zen Hei"/>
        <family val="2"/>
      </rPr>
      <t xml:space="preserve">은 일반적 관례이며 연구자가 조정</t>
    </r>
  </si>
  <si>
    <t xml:space="preserve">기준</t>
  </si>
  <si>
    <t xml:space="preserve">값</t>
  </si>
  <si>
    <t xml:space="preserve">설명</t>
  </si>
  <si>
    <r>
      <rPr>
        <sz val="10"/>
        <color rgb="FF000000"/>
        <rFont val="WenQuanYi Zen Hei"/>
        <family val="2"/>
      </rPr>
      <t xml:space="preserve">내용타당도 </t>
    </r>
    <r>
      <rPr>
        <sz val="10"/>
        <color rgb="FF000000"/>
        <rFont val="맑은 고딕"/>
        <family val="0"/>
        <charset val="1"/>
      </rPr>
      <t xml:space="preserve">I-CVI </t>
    </r>
    <r>
      <rPr>
        <sz val="10"/>
        <color rgb="FF000000"/>
        <rFont val="WenQuanYi Zen Hei"/>
        <family val="2"/>
      </rPr>
      <t xml:space="preserve">기준</t>
    </r>
  </si>
  <si>
    <r>
      <rPr>
        <sz val="10"/>
        <color rgb="FF000000"/>
        <rFont val="WenQuanYi Zen Hei"/>
        <family val="2"/>
      </rPr>
      <t xml:space="preserve">전문가 </t>
    </r>
    <r>
      <rPr>
        <sz val="10"/>
        <color rgb="FF000000"/>
        <rFont val="맑은 고딕"/>
        <family val="0"/>
        <charset val="1"/>
      </rPr>
      <t xml:space="preserve">6~10</t>
    </r>
    <r>
      <rPr>
        <sz val="10"/>
        <color rgb="FF000000"/>
        <rFont val="WenQuanYi Zen Hei"/>
        <family val="2"/>
      </rPr>
      <t xml:space="preserve">인 패널의 관례</t>
    </r>
    <r>
      <rPr>
        <sz val="10"/>
        <color rgb="FF000000"/>
        <rFont val="맑은 고딕"/>
        <family val="0"/>
        <charset val="1"/>
      </rPr>
      <t xml:space="preserve">(</t>
    </r>
    <r>
      <rPr>
        <sz val="10"/>
        <color rgb="FF000000"/>
        <rFont val="WenQuanYi Zen Hei"/>
        <family val="2"/>
      </rPr>
      <t xml:space="preserve">정의서 </t>
    </r>
    <r>
      <rPr>
        <sz val="10"/>
        <color rgb="FF000000"/>
        <rFont val="맑은 고딕"/>
        <family val="0"/>
        <charset val="1"/>
      </rPr>
      <t xml:space="preserve">D23: </t>
    </r>
    <r>
      <rPr>
        <sz val="10"/>
        <color rgb="FF000000"/>
        <rFont val="WenQuanYi Zen Hei"/>
        <family val="2"/>
      </rPr>
      <t xml:space="preserve">연구자 선택</t>
    </r>
    <r>
      <rPr>
        <sz val="10"/>
        <color rgb="FF000000"/>
        <rFont val="맑은 고딕"/>
        <family val="0"/>
        <charset val="1"/>
      </rPr>
      <t xml:space="preserve">, </t>
    </r>
    <r>
      <rPr>
        <sz val="10"/>
        <color rgb="FF000000"/>
        <rFont val="WenQuanYi Zen Hei"/>
        <family val="2"/>
      </rPr>
      <t xml:space="preserve">논문 근거 없음</t>
    </r>
    <r>
      <rPr>
        <sz val="10"/>
        <color rgb="FF000000"/>
        <rFont val="맑은 고딕"/>
        <family val="0"/>
        <charset val="1"/>
      </rPr>
      <t xml:space="preserve">)</t>
    </r>
  </si>
  <si>
    <r>
      <rPr>
        <sz val="10"/>
        <color rgb="FF000000"/>
        <rFont val="맑은 고딕"/>
        <family val="0"/>
        <charset val="1"/>
      </rPr>
      <t xml:space="preserve">Arias </t>
    </r>
    <r>
      <rPr>
        <sz val="10"/>
        <color rgb="FF000000"/>
        <rFont val="WenQuanYi Zen Hei"/>
        <family val="2"/>
      </rPr>
      <t xml:space="preserve">합의 채택 기준</t>
    </r>
  </si>
  <si>
    <r>
      <rPr>
        <sz val="10"/>
        <color rgb="FF000000"/>
        <rFont val="WenQuanYi Zen Hei"/>
        <family val="2"/>
      </rPr>
      <t xml:space="preserve">정의서 </t>
    </r>
    <r>
      <rPr>
        <sz val="10"/>
        <color rgb="FF000000"/>
        <rFont val="맑은 고딕"/>
        <family val="0"/>
        <charset val="1"/>
      </rPr>
      <t xml:space="preserve">D22 / </t>
    </r>
    <r>
      <rPr>
        <sz val="10"/>
        <color rgb="FF000000"/>
        <rFont val="WenQuanYi Zen Hei"/>
        <family val="2"/>
      </rPr>
      <t xml:space="preserve">인용 </t>
    </r>
    <r>
      <rPr>
        <sz val="10"/>
        <color rgb="FF000000"/>
        <rFont val="맑은 고딕"/>
        <family val="0"/>
        <charset val="1"/>
      </rPr>
      <t xml:space="preserve">A43·A44</t>
    </r>
  </si>
  <si>
    <r>
      <rPr>
        <sz val="10"/>
        <color rgb="FF000000"/>
        <rFont val="맑은 고딕"/>
        <family val="0"/>
        <charset val="1"/>
      </rPr>
      <t xml:space="preserve">Arias </t>
    </r>
    <r>
      <rPr>
        <sz val="10"/>
        <color rgb="FF000000"/>
        <rFont val="WenQuanYi Zen Hei"/>
        <family val="2"/>
      </rPr>
      <t xml:space="preserve">합의 기각 기준</t>
    </r>
  </si>
  <si>
    <r>
      <rPr>
        <sz val="10"/>
        <color rgb="FF000000"/>
        <rFont val="맑은 고딕"/>
        <family val="0"/>
        <charset val="1"/>
      </rPr>
      <t xml:space="preserve">&lt; </t>
    </r>
    <r>
      <rPr>
        <sz val="10"/>
        <color rgb="FF000000"/>
        <rFont val="WenQuanYi Zen Hei"/>
        <family val="2"/>
      </rPr>
      <t xml:space="preserve">이 값이면 삭제</t>
    </r>
  </si>
  <si>
    <r>
      <rPr>
        <sz val="10"/>
        <color rgb="FF000000"/>
        <rFont val="맑은 고딕"/>
        <family val="0"/>
        <charset val="1"/>
      </rPr>
      <t xml:space="preserve">Cronbach α / ω </t>
    </r>
    <r>
      <rPr>
        <sz val="10"/>
        <color rgb="FF000000"/>
        <rFont val="WenQuanYi Zen Hei"/>
        <family val="2"/>
      </rPr>
      <t xml:space="preserve">기준</t>
    </r>
  </si>
  <si>
    <r>
      <rPr>
        <sz val="10"/>
        <color rgb="FF000000"/>
        <rFont val="WenQuanYi Zen Hei"/>
        <family val="2"/>
      </rPr>
      <t xml:space="preserve">차원별 문항 신뢰도</t>
    </r>
    <r>
      <rPr>
        <sz val="10"/>
        <color rgb="FF000000"/>
        <rFont val="맑은 고딕"/>
        <family val="0"/>
        <charset val="1"/>
      </rPr>
      <t xml:space="preserve">(</t>
    </r>
    <r>
      <rPr>
        <sz val="10"/>
        <color rgb="FF000000"/>
        <rFont val="WenQuanYi Zen Hei"/>
        <family val="2"/>
      </rPr>
      <t xml:space="preserve">통계 프로그램에서 산출</t>
    </r>
    <r>
      <rPr>
        <sz val="10"/>
        <color rgb="FF000000"/>
        <rFont val="맑은 고딕"/>
        <family val="0"/>
        <charset val="1"/>
      </rPr>
      <t xml:space="preserve">)</t>
    </r>
  </si>
  <si>
    <r>
      <rPr>
        <sz val="10"/>
        <color rgb="FF000000"/>
        <rFont val="WenQuanYi Zen Hei"/>
        <family val="2"/>
      </rPr>
      <t xml:space="preserve">문항</t>
    </r>
    <r>
      <rPr>
        <sz val="10"/>
        <color rgb="FF000000"/>
        <rFont val="맑은 고딕"/>
        <family val="0"/>
        <charset val="1"/>
      </rPr>
      <t xml:space="preserve">-</t>
    </r>
    <r>
      <rPr>
        <sz val="10"/>
        <color rgb="FF000000"/>
        <rFont val="WenQuanYi Zen Hei"/>
        <family val="2"/>
      </rPr>
      <t xml:space="preserve">총점 상관 기준</t>
    </r>
  </si>
  <si>
    <t xml:space="preserve">통계 프로그램</t>
  </si>
  <si>
    <t xml:space="preserve">차원 간 상관 상한</t>
  </si>
  <si>
    <r>
      <rPr>
        <sz val="10"/>
        <color rgb="FF000000"/>
        <rFont val="맑은 고딕"/>
        <family val="0"/>
        <charset val="1"/>
      </rPr>
      <t xml:space="preserve">6</t>
    </r>
    <r>
      <rPr>
        <sz val="10"/>
        <color rgb="FF000000"/>
        <rFont val="WenQuanYi Zen Hei"/>
        <family val="2"/>
      </rPr>
      <t xml:space="preserve">개 차원이 서로 구분되는지</t>
    </r>
    <r>
      <rPr>
        <sz val="10"/>
        <color rgb="FF000000"/>
        <rFont val="맑은 고딕"/>
        <family val="0"/>
        <charset val="1"/>
      </rPr>
      <t xml:space="preserve">(</t>
    </r>
    <r>
      <rPr>
        <sz val="10"/>
        <color rgb="FF000000"/>
        <rFont val="WenQuanYi Zen Hei"/>
        <family val="2"/>
      </rPr>
      <t xml:space="preserve">변별타당도</t>
    </r>
    <r>
      <rPr>
        <sz val="10"/>
        <color rgb="FF000000"/>
        <rFont val="맑은 고딕"/>
        <family val="0"/>
        <charset val="1"/>
      </rPr>
      <t xml:space="preserve">). </t>
    </r>
    <r>
      <rPr>
        <sz val="10"/>
        <color rgb="FF000000"/>
        <rFont val="WenQuanYi Zen Hei"/>
        <family val="2"/>
      </rPr>
      <t xml:space="preserve">넘으면 차원 통합 검토</t>
    </r>
  </si>
  <si>
    <t xml:space="preserve">구조 점검</t>
  </si>
  <si>
    <t xml:space="preserve">현재 값</t>
  </si>
  <si>
    <t xml:space="preserve">기대 값</t>
  </si>
  <si>
    <t xml:space="preserve">결과</t>
  </si>
  <si>
    <t xml:space="preserve">총 문항 수</t>
  </si>
  <si>
    <r>
      <rPr>
        <sz val="10"/>
        <color rgb="FF000000"/>
        <rFont val="WenQuanYi Zen Hei"/>
        <family val="2"/>
      </rPr>
      <t xml:space="preserve">연결 문항 수</t>
    </r>
    <r>
      <rPr>
        <sz val="10"/>
        <color rgb="FF000000"/>
        <rFont val="맑은 고딕"/>
        <family val="0"/>
        <charset val="1"/>
      </rPr>
      <t xml:space="preserve">(Part C)</t>
    </r>
  </si>
  <si>
    <t xml:space="preserve">정합성 문항 수</t>
  </si>
  <si>
    <t xml:space="preserve">추적성 문항 수</t>
  </si>
  <si>
    <t xml:space="preserve">증빙성 문항 수</t>
  </si>
  <si>
    <t xml:space="preserve">책임성 문항 수</t>
  </si>
  <si>
    <t xml:space="preserve">최신성 문항 수</t>
  </si>
  <si>
    <t xml:space="preserve">환류폐쇄성 문항 수</t>
  </si>
  <si>
    <t xml:space="preserve">기대 문항 수와 일치하는 연결 수</t>
  </si>
  <si>
    <t xml:space="preserve">적용매트릭스 합계</t>
  </si>
  <si>
    <r>
      <rPr>
        <sz val="10"/>
        <color rgb="FF000000"/>
        <rFont val="WenQuanYi Zen Hei"/>
        <family val="2"/>
      </rPr>
      <t xml:space="preserve">증거유형 </t>
    </r>
    <r>
      <rPr>
        <sz val="10"/>
        <color rgb="FF000000"/>
        <rFont val="맑은 고딕"/>
        <family val="0"/>
        <charset val="1"/>
      </rPr>
      <t xml:space="preserve">E1 </t>
    </r>
    <r>
      <rPr>
        <sz val="10"/>
        <color rgb="FF000000"/>
        <rFont val="WenQuanYi Zen Hei"/>
        <family val="2"/>
      </rPr>
      <t xml:space="preserve">연결 수</t>
    </r>
  </si>
  <si>
    <r>
      <rPr>
        <sz val="10"/>
        <color rgb="FF000000"/>
        <rFont val="WenQuanYi Zen Hei"/>
        <family val="2"/>
      </rPr>
      <t xml:space="preserve">증거유형 </t>
    </r>
    <r>
      <rPr>
        <sz val="10"/>
        <color rgb="FF000000"/>
        <rFont val="맑은 고딕"/>
        <family val="0"/>
        <charset val="1"/>
      </rPr>
      <t xml:space="preserve">E2 </t>
    </r>
    <r>
      <rPr>
        <sz val="10"/>
        <color rgb="FF000000"/>
        <rFont val="WenQuanYi Zen Hei"/>
        <family val="2"/>
      </rPr>
      <t xml:space="preserve">연결 수</t>
    </r>
  </si>
  <si>
    <r>
      <rPr>
        <sz val="10"/>
        <color rgb="FF000000"/>
        <rFont val="WenQuanYi Zen Hei"/>
        <family val="2"/>
      </rPr>
      <t xml:space="preserve">증거유형 </t>
    </r>
    <r>
      <rPr>
        <sz val="10"/>
        <color rgb="FF000000"/>
        <rFont val="맑은 고딕"/>
        <family val="0"/>
        <charset val="1"/>
      </rPr>
      <t xml:space="preserve">E3 </t>
    </r>
    <r>
      <rPr>
        <sz val="10"/>
        <color rgb="FF000000"/>
        <rFont val="WenQuanYi Zen Hei"/>
        <family val="2"/>
      </rPr>
      <t xml:space="preserve">연결 수</t>
    </r>
  </si>
  <si>
    <t xml:space="preserve">환류 연결 수</t>
  </si>
  <si>
    <t xml:space="preserve">집단 노드 연결 수</t>
  </si>
  <si>
    <r>
      <rPr>
        <sz val="10"/>
        <color rgb="FF000000"/>
        <rFont val="WenQuanYi Zen Hei"/>
        <family val="2"/>
      </rPr>
      <t xml:space="preserve">관계동사 사용 수</t>
    </r>
    <r>
      <rPr>
        <sz val="10"/>
        <color rgb="FF000000"/>
        <rFont val="맑은 고딕"/>
        <family val="0"/>
        <charset val="1"/>
      </rPr>
      <t xml:space="preserve">(</t>
    </r>
    <r>
      <rPr>
        <sz val="10"/>
        <color rgb="FF000000"/>
        <rFont val="WenQuanYi Zen Hei"/>
        <family val="2"/>
      </rPr>
      <t xml:space="preserve">사용 안 한 </t>
    </r>
    <r>
      <rPr>
        <sz val="10"/>
        <color rgb="FF000000"/>
        <rFont val="맑은 고딕"/>
        <family val="0"/>
        <charset val="1"/>
      </rPr>
      <t xml:space="preserve">V10 </t>
    </r>
    <r>
      <rPr>
        <sz val="10"/>
        <color rgb="FF000000"/>
        <rFont val="WenQuanYi Zen Hei"/>
        <family val="2"/>
      </rPr>
      <t xml:space="preserve">제외</t>
    </r>
    <r>
      <rPr>
        <sz val="10"/>
        <color rgb="FF000000"/>
        <rFont val="맑은 고딕"/>
        <family val="0"/>
        <charset val="1"/>
      </rPr>
      <t xml:space="preserve">)</t>
    </r>
  </si>
  <si>
    <r>
      <rPr>
        <sz val="10"/>
        <color rgb="FF000000"/>
        <rFont val="WenQuanYi Zen Hei"/>
        <family val="2"/>
      </rPr>
      <t xml:space="preserve">객체</t>
    </r>
    <r>
      <rPr>
        <sz val="10"/>
        <color rgb="FF000000"/>
        <rFont val="맑은 고딕"/>
        <family val="0"/>
        <charset val="1"/>
      </rPr>
      <t xml:space="preserve">(</t>
    </r>
    <r>
      <rPr>
        <sz val="10"/>
        <color rgb="FF000000"/>
        <rFont val="WenQuanYi Zen Hei"/>
        <family val="2"/>
      </rPr>
      <t xml:space="preserve">프로세스</t>
    </r>
    <r>
      <rPr>
        <sz val="10"/>
        <color rgb="FF000000"/>
        <rFont val="맑은 고딕"/>
        <family val="0"/>
        <charset val="1"/>
      </rPr>
      <t xml:space="preserve">) </t>
    </r>
    <r>
      <rPr>
        <sz val="10"/>
        <color rgb="FF000000"/>
        <rFont val="WenQuanYi Zen Hei"/>
        <family val="2"/>
      </rPr>
      <t xml:space="preserve">수</t>
    </r>
  </si>
  <si>
    <t xml:space="preserve">인용문 수</t>
  </si>
  <si>
    <t xml:space="preserve">원문 대조 일치 인용 수</t>
  </si>
  <si>
    <t xml:space="preserve">외부 학술 근거 후보 수</t>
  </si>
  <si>
    <r>
      <rPr>
        <b val="true"/>
        <sz val="10"/>
        <color rgb="FF000000"/>
        <rFont val="WenQuanYi Zen Hei"/>
        <family val="2"/>
      </rPr>
      <t xml:space="preserve">외부 문헌 원문 확인 현황 </t>
    </r>
    <r>
      <rPr>
        <b val="true"/>
        <sz val="10"/>
        <color rgb="FF000000"/>
        <rFont val="맑은 고딕"/>
        <family val="0"/>
        <charset val="1"/>
      </rPr>
      <t xml:space="preserve">(</t>
    </r>
    <r>
      <rPr>
        <b val="true"/>
        <sz val="10"/>
        <color rgb="FF000000"/>
        <rFont val="WenQuanYi Zen Hei"/>
        <family val="2"/>
      </rPr>
      <t xml:space="preserve">학술근거 시트 </t>
    </r>
    <r>
      <rPr>
        <b val="true"/>
        <sz val="10"/>
        <color rgb="FF000000"/>
        <rFont val="맑은 고딕"/>
        <family val="0"/>
        <charset val="1"/>
      </rPr>
      <t xml:space="preserve">"</t>
    </r>
    <r>
      <rPr>
        <b val="true"/>
        <sz val="10"/>
        <color rgb="FF000000"/>
        <rFont val="WenQuanYi Zen Hei"/>
        <family val="2"/>
      </rPr>
      <t xml:space="preserve">확인 완료</t>
    </r>
    <r>
      <rPr>
        <b val="true"/>
        <sz val="10"/>
        <color rgb="FF000000"/>
        <rFont val="맑은 고딕"/>
        <family val="0"/>
        <charset val="1"/>
      </rPr>
      <t xml:space="preserve">" </t>
    </r>
    <r>
      <rPr>
        <b val="true"/>
        <sz val="10"/>
        <color rgb="FF000000"/>
        <rFont val="WenQuanYi Zen Hei"/>
        <family val="2"/>
      </rPr>
      <t xml:space="preserve">열</t>
    </r>
    <r>
      <rPr>
        <b val="true"/>
        <sz val="10"/>
        <color rgb="FF000000"/>
        <rFont val="맑은 고딕"/>
        <family val="0"/>
        <charset val="1"/>
      </rPr>
      <t xml:space="preserve">)</t>
    </r>
  </si>
  <si>
    <r>
      <rPr>
        <sz val="10"/>
        <color rgb="FF000000"/>
        <rFont val="WenQuanYi Zen Hei"/>
        <family val="2"/>
      </rPr>
      <t xml:space="preserve">확인 완료</t>
    </r>
    <r>
      <rPr>
        <sz val="10"/>
        <color rgb="FF000000"/>
        <rFont val="맑은 고딕"/>
        <family val="0"/>
        <charset val="1"/>
      </rPr>
      <t xml:space="preserve">(Y) </t>
    </r>
    <r>
      <rPr>
        <sz val="10"/>
        <color rgb="FF000000"/>
        <rFont val="WenQuanYi Zen Hei"/>
        <family val="2"/>
      </rPr>
      <t xml:space="preserve">건수</t>
    </r>
  </si>
  <si>
    <t xml:space="preserve">미확인 건수</t>
  </si>
  <si>
    <t xml:space="preserve">연구자가 원문 확인 전에는 외부 문헌을 인용 근거로 확정하지 말 것</t>
  </si>
  <si>
    <r>
      <rPr>
        <b val="true"/>
        <sz val="10"/>
        <color rgb="FF000000"/>
        <rFont val="WenQuanYi Zen Hei"/>
        <family val="2"/>
      </rPr>
      <t xml:space="preserve">전문가 판정</t>
    </r>
    <r>
      <rPr>
        <b val="true"/>
        <sz val="10"/>
        <color rgb="FF000000"/>
        <rFont val="맑은 고딕"/>
        <family val="0"/>
        <charset val="1"/>
      </rPr>
      <t xml:space="preserve">(</t>
    </r>
    <r>
      <rPr>
        <b val="true"/>
        <sz val="10"/>
        <color rgb="FF000000"/>
        <rFont val="WenQuanYi Zen Hei"/>
        <family val="2"/>
      </rPr>
      <t xml:space="preserve">문항 시트</t>
    </r>
    <r>
      <rPr>
        <b val="true"/>
        <sz val="10"/>
        <color rgb="FF000000"/>
        <rFont val="맑은 고딕"/>
        <family val="0"/>
        <charset val="1"/>
      </rPr>
      <t xml:space="preserve">)</t>
    </r>
  </si>
  <si>
    <t xml:space="preserve">채택 문항 수</t>
  </si>
  <si>
    <r>
      <rPr>
        <sz val="10"/>
        <color rgb="FF000000"/>
        <rFont val="WenQuanYi Zen Hei"/>
        <family val="2"/>
      </rPr>
      <t xml:space="preserve">수정</t>
    </r>
    <r>
      <rPr>
        <sz val="10"/>
        <color rgb="FF000000"/>
        <rFont val="맑은 고딕"/>
        <family val="0"/>
        <charset val="1"/>
      </rPr>
      <t xml:space="preserve">·</t>
    </r>
    <r>
      <rPr>
        <sz val="10"/>
        <color rgb="FF000000"/>
        <rFont val="WenQuanYi Zen Hei"/>
        <family val="2"/>
      </rPr>
      <t xml:space="preserve">토론 문항 수</t>
    </r>
  </si>
  <si>
    <t xml:space="preserve">평가 미입력 문항 수</t>
  </si>
  <si>
    <r>
      <rPr>
        <b val="true"/>
        <sz val="10"/>
        <color rgb="FFFFFFFF"/>
        <rFont val="WenQuanYi Zen Hei"/>
        <family val="2"/>
      </rPr>
      <t xml:space="preserve">자료 기반 점검</t>
    </r>
    <r>
      <rPr>
        <b val="true"/>
        <sz val="10"/>
        <color rgb="FFFFFFFF"/>
        <rFont val="맑은 고딕"/>
        <family val="0"/>
        <charset val="1"/>
      </rPr>
      <t xml:space="preserve">(</t>
    </r>
    <r>
      <rPr>
        <b val="true"/>
        <sz val="10"/>
        <color rgb="FFFFFFFF"/>
        <rFont val="WenQuanYi Zen Hei"/>
        <family val="2"/>
      </rPr>
      <t xml:space="preserve">응답 입력 후</t>
    </r>
    <r>
      <rPr>
        <b val="true"/>
        <sz val="10"/>
        <color rgb="FFFFFFFF"/>
        <rFont val="맑은 고딕"/>
        <family val="0"/>
        <charset val="1"/>
      </rPr>
      <t xml:space="preserve">)</t>
    </r>
  </si>
  <si>
    <t xml:space="preserve">기대</t>
  </si>
  <si>
    <r>
      <rPr>
        <sz val="10"/>
        <color rgb="FF000000"/>
        <rFont val="WenQuanYi Zen Hei"/>
        <family val="2"/>
      </rPr>
      <t xml:space="preserve">역문항 일관성</t>
    </r>
    <r>
      <rPr>
        <sz val="10"/>
        <color rgb="FF000000"/>
        <rFont val="맑은 고딕"/>
        <family val="0"/>
        <charset val="1"/>
      </rPr>
      <t xml:space="preserve">: DQ01(</t>
    </r>
    <r>
      <rPr>
        <sz val="10"/>
        <color rgb="FF000000"/>
        <rFont val="WenQuanYi Zen Hei"/>
        <family val="2"/>
      </rPr>
      <t xml:space="preserve">정합성</t>
    </r>
    <r>
      <rPr>
        <sz val="10"/>
        <color rgb="FF000000"/>
        <rFont val="맑은 고딕"/>
        <family val="0"/>
        <charset val="1"/>
      </rPr>
      <t xml:space="preserve">) vs RV1</t>
    </r>
  </si>
  <si>
    <r>
      <rPr>
        <sz val="10"/>
        <color rgb="FF000000"/>
        <rFont val="WenQuanYi Zen Hei"/>
        <family val="2"/>
      </rPr>
      <t xml:space="preserve">음</t>
    </r>
    <r>
      <rPr>
        <sz val="10"/>
        <color rgb="FF000000"/>
        <rFont val="맑은 고딕"/>
        <family val="0"/>
        <charset val="1"/>
      </rPr>
      <t xml:space="preserve">(−)</t>
    </r>
    <r>
      <rPr>
        <sz val="10"/>
        <color rgb="FF000000"/>
        <rFont val="WenQuanYi Zen Hei"/>
        <family val="2"/>
      </rPr>
      <t xml:space="preserve">의 상관</t>
    </r>
  </si>
  <si>
    <r>
      <rPr>
        <sz val="10"/>
        <color rgb="FF000000"/>
        <rFont val="WenQuanYi Zen Hei"/>
        <family val="2"/>
      </rPr>
      <t xml:space="preserve">역문항 일관성</t>
    </r>
    <r>
      <rPr>
        <sz val="10"/>
        <color rgb="FF000000"/>
        <rFont val="맑은 고딕"/>
        <family val="0"/>
        <charset val="1"/>
      </rPr>
      <t xml:space="preserve">: DQ02(</t>
    </r>
    <r>
      <rPr>
        <sz val="10"/>
        <color rgb="FF000000"/>
        <rFont val="WenQuanYi Zen Hei"/>
        <family val="2"/>
      </rPr>
      <t xml:space="preserve">추적성</t>
    </r>
    <r>
      <rPr>
        <sz val="10"/>
        <color rgb="FF000000"/>
        <rFont val="맑은 고딕"/>
        <family val="0"/>
        <charset val="1"/>
      </rPr>
      <t xml:space="preserve">) vs RV2</t>
    </r>
  </si>
  <si>
    <r>
      <rPr>
        <sz val="10"/>
        <color rgb="FF000000"/>
        <rFont val="WenQuanYi Zen Hei"/>
        <family val="2"/>
      </rPr>
      <t xml:space="preserve">역문항 일관성</t>
    </r>
    <r>
      <rPr>
        <sz val="10"/>
        <color rgb="FF000000"/>
        <rFont val="맑은 고딕"/>
        <family val="0"/>
        <charset val="1"/>
      </rPr>
      <t xml:space="preserve">: DQ05(</t>
    </r>
    <r>
      <rPr>
        <sz val="10"/>
        <color rgb="FF000000"/>
        <rFont val="WenQuanYi Zen Hei"/>
        <family val="2"/>
      </rPr>
      <t xml:space="preserve">최신성</t>
    </r>
    <r>
      <rPr>
        <sz val="10"/>
        <color rgb="FF000000"/>
        <rFont val="맑은 고딕"/>
        <family val="0"/>
        <charset val="1"/>
      </rPr>
      <t xml:space="preserve">) vs RV3</t>
    </r>
  </si>
  <si>
    <r>
      <rPr>
        <sz val="10"/>
        <color rgb="FF000000"/>
        <rFont val="WenQuanYi Zen Hei"/>
        <family val="2"/>
      </rPr>
      <t xml:space="preserve">역문항 일관성</t>
    </r>
    <r>
      <rPr>
        <sz val="10"/>
        <color rgb="FF000000"/>
        <rFont val="맑은 고딕"/>
        <family val="0"/>
        <charset val="1"/>
      </rPr>
      <t xml:space="preserve">: DQ06(</t>
    </r>
    <r>
      <rPr>
        <sz val="10"/>
        <color rgb="FF000000"/>
        <rFont val="WenQuanYi Zen Hei"/>
        <family val="2"/>
      </rPr>
      <t xml:space="preserve">환류폐쇄성</t>
    </r>
    <r>
      <rPr>
        <sz val="10"/>
        <color rgb="FF000000"/>
        <rFont val="맑은 고딕"/>
        <family val="0"/>
        <charset val="1"/>
      </rPr>
      <t xml:space="preserve">) vs RV4</t>
    </r>
  </si>
  <si>
    <r>
      <rPr>
        <sz val="10"/>
        <color rgb="FF000000"/>
        <rFont val="WenQuanYi Zen Hei"/>
        <family val="2"/>
      </rPr>
      <t xml:space="preserve">수렴</t>
    </r>
    <r>
      <rPr>
        <sz val="10"/>
        <color rgb="FF000000"/>
        <rFont val="맑은 고딕"/>
        <family val="0"/>
        <charset val="1"/>
      </rPr>
      <t xml:space="preserve">: </t>
    </r>
    <r>
      <rPr>
        <sz val="10"/>
        <color rgb="FF000000"/>
        <rFont val="WenQuanYi Zen Hei"/>
        <family val="2"/>
      </rPr>
      <t xml:space="preserve">정합성 점수 </t>
    </r>
    <r>
      <rPr>
        <sz val="10"/>
        <color rgb="FF000000"/>
        <rFont val="맑은 고딕"/>
        <family val="0"/>
        <charset val="1"/>
      </rPr>
      <t xml:space="preserve">vs </t>
    </r>
    <r>
      <rPr>
        <sz val="10"/>
        <color rgb="FF000000"/>
        <rFont val="WenQuanYi Zen Hei"/>
        <family val="2"/>
      </rPr>
      <t xml:space="preserve">종합 문항 </t>
    </r>
    <r>
      <rPr>
        <sz val="10"/>
        <color rgb="FF000000"/>
        <rFont val="맑은 고딕"/>
        <family val="0"/>
        <charset val="1"/>
      </rPr>
      <t xml:space="preserve">DQ01</t>
    </r>
  </si>
  <si>
    <r>
      <rPr>
        <sz val="10"/>
        <color rgb="FF000000"/>
        <rFont val="WenQuanYi Zen Hei"/>
        <family val="2"/>
      </rPr>
      <t xml:space="preserve">양</t>
    </r>
    <r>
      <rPr>
        <sz val="10"/>
        <color rgb="FF000000"/>
        <rFont val="맑은 고딕"/>
        <family val="0"/>
        <charset val="1"/>
      </rPr>
      <t xml:space="preserve">(+)</t>
    </r>
    <r>
      <rPr>
        <sz val="10"/>
        <color rgb="FF000000"/>
        <rFont val="WenQuanYi Zen Hei"/>
        <family val="2"/>
      </rPr>
      <t xml:space="preserve">의 상관</t>
    </r>
  </si>
  <si>
    <r>
      <rPr>
        <sz val="10"/>
        <color rgb="FF000000"/>
        <rFont val="WenQuanYi Zen Hei"/>
        <family val="2"/>
      </rPr>
      <t xml:space="preserve">수렴</t>
    </r>
    <r>
      <rPr>
        <sz val="10"/>
        <color rgb="FF000000"/>
        <rFont val="맑은 고딕"/>
        <family val="0"/>
        <charset val="1"/>
      </rPr>
      <t xml:space="preserve">: </t>
    </r>
    <r>
      <rPr>
        <sz val="10"/>
        <color rgb="FF000000"/>
        <rFont val="WenQuanYi Zen Hei"/>
        <family val="2"/>
      </rPr>
      <t xml:space="preserve">추적성 점수 </t>
    </r>
    <r>
      <rPr>
        <sz val="10"/>
        <color rgb="FF000000"/>
        <rFont val="맑은 고딕"/>
        <family val="0"/>
        <charset val="1"/>
      </rPr>
      <t xml:space="preserve">vs </t>
    </r>
    <r>
      <rPr>
        <sz val="10"/>
        <color rgb="FF000000"/>
        <rFont val="WenQuanYi Zen Hei"/>
        <family val="2"/>
      </rPr>
      <t xml:space="preserve">종합 문항 </t>
    </r>
    <r>
      <rPr>
        <sz val="10"/>
        <color rgb="FF000000"/>
        <rFont val="맑은 고딕"/>
        <family val="0"/>
        <charset val="1"/>
      </rPr>
      <t xml:space="preserve">DQ02</t>
    </r>
  </si>
  <si>
    <r>
      <rPr>
        <sz val="10"/>
        <color rgb="FF000000"/>
        <rFont val="WenQuanYi Zen Hei"/>
        <family val="2"/>
      </rPr>
      <t xml:space="preserve">수렴</t>
    </r>
    <r>
      <rPr>
        <sz val="10"/>
        <color rgb="FF000000"/>
        <rFont val="맑은 고딕"/>
        <family val="0"/>
        <charset val="1"/>
      </rPr>
      <t xml:space="preserve">: </t>
    </r>
    <r>
      <rPr>
        <sz val="10"/>
        <color rgb="FF000000"/>
        <rFont val="WenQuanYi Zen Hei"/>
        <family val="2"/>
      </rPr>
      <t xml:space="preserve">증빙성 점수 </t>
    </r>
    <r>
      <rPr>
        <sz val="10"/>
        <color rgb="FF000000"/>
        <rFont val="맑은 고딕"/>
        <family val="0"/>
        <charset val="1"/>
      </rPr>
      <t xml:space="preserve">vs </t>
    </r>
    <r>
      <rPr>
        <sz val="10"/>
        <color rgb="FF000000"/>
        <rFont val="WenQuanYi Zen Hei"/>
        <family val="2"/>
      </rPr>
      <t xml:space="preserve">종합 문항 </t>
    </r>
    <r>
      <rPr>
        <sz val="10"/>
        <color rgb="FF000000"/>
        <rFont val="맑은 고딕"/>
        <family val="0"/>
        <charset val="1"/>
      </rPr>
      <t xml:space="preserve">DQ03</t>
    </r>
  </si>
  <si>
    <r>
      <rPr>
        <sz val="10"/>
        <color rgb="FF000000"/>
        <rFont val="WenQuanYi Zen Hei"/>
        <family val="2"/>
      </rPr>
      <t xml:space="preserve">수렴</t>
    </r>
    <r>
      <rPr>
        <sz val="10"/>
        <color rgb="FF000000"/>
        <rFont val="맑은 고딕"/>
        <family val="0"/>
        <charset val="1"/>
      </rPr>
      <t xml:space="preserve">: </t>
    </r>
    <r>
      <rPr>
        <sz val="10"/>
        <color rgb="FF000000"/>
        <rFont val="WenQuanYi Zen Hei"/>
        <family val="2"/>
      </rPr>
      <t xml:space="preserve">책임성 점수 </t>
    </r>
    <r>
      <rPr>
        <sz val="10"/>
        <color rgb="FF000000"/>
        <rFont val="맑은 고딕"/>
        <family val="0"/>
        <charset val="1"/>
      </rPr>
      <t xml:space="preserve">vs </t>
    </r>
    <r>
      <rPr>
        <sz val="10"/>
        <color rgb="FF000000"/>
        <rFont val="WenQuanYi Zen Hei"/>
        <family val="2"/>
      </rPr>
      <t xml:space="preserve">종합 문항 </t>
    </r>
    <r>
      <rPr>
        <sz val="10"/>
        <color rgb="FF000000"/>
        <rFont val="맑은 고딕"/>
        <family val="0"/>
        <charset val="1"/>
      </rPr>
      <t xml:space="preserve">DQ04</t>
    </r>
  </si>
  <si>
    <r>
      <rPr>
        <sz val="10"/>
        <color rgb="FF000000"/>
        <rFont val="WenQuanYi Zen Hei"/>
        <family val="2"/>
      </rPr>
      <t xml:space="preserve">수렴</t>
    </r>
    <r>
      <rPr>
        <sz val="10"/>
        <color rgb="FF000000"/>
        <rFont val="맑은 고딕"/>
        <family val="0"/>
        <charset val="1"/>
      </rPr>
      <t xml:space="preserve">: </t>
    </r>
    <r>
      <rPr>
        <sz val="10"/>
        <color rgb="FF000000"/>
        <rFont val="WenQuanYi Zen Hei"/>
        <family val="2"/>
      </rPr>
      <t xml:space="preserve">최신성 점수 </t>
    </r>
    <r>
      <rPr>
        <sz val="10"/>
        <color rgb="FF000000"/>
        <rFont val="맑은 고딕"/>
        <family val="0"/>
        <charset val="1"/>
      </rPr>
      <t xml:space="preserve">vs </t>
    </r>
    <r>
      <rPr>
        <sz val="10"/>
        <color rgb="FF000000"/>
        <rFont val="WenQuanYi Zen Hei"/>
        <family val="2"/>
      </rPr>
      <t xml:space="preserve">종합 문항 </t>
    </r>
    <r>
      <rPr>
        <sz val="10"/>
        <color rgb="FF000000"/>
        <rFont val="맑은 고딕"/>
        <family val="0"/>
        <charset val="1"/>
      </rPr>
      <t xml:space="preserve">DQ05</t>
    </r>
  </si>
  <si>
    <r>
      <rPr>
        <sz val="10"/>
        <color rgb="FF000000"/>
        <rFont val="WenQuanYi Zen Hei"/>
        <family val="2"/>
      </rPr>
      <t xml:space="preserve">수렴</t>
    </r>
    <r>
      <rPr>
        <sz val="10"/>
        <color rgb="FF000000"/>
        <rFont val="맑은 고딕"/>
        <family val="0"/>
        <charset val="1"/>
      </rPr>
      <t xml:space="preserve">: </t>
    </r>
    <r>
      <rPr>
        <sz val="10"/>
        <color rgb="FF000000"/>
        <rFont val="WenQuanYi Zen Hei"/>
        <family val="2"/>
      </rPr>
      <t xml:space="preserve">환류폐쇄성 점수 </t>
    </r>
    <r>
      <rPr>
        <sz val="10"/>
        <color rgb="FF000000"/>
        <rFont val="맑은 고딕"/>
        <family val="0"/>
        <charset val="1"/>
      </rPr>
      <t xml:space="preserve">vs </t>
    </r>
    <r>
      <rPr>
        <sz val="10"/>
        <color rgb="FF000000"/>
        <rFont val="WenQuanYi Zen Hei"/>
        <family val="2"/>
      </rPr>
      <t xml:space="preserve">종합 문항 </t>
    </r>
    <r>
      <rPr>
        <sz val="10"/>
        <color rgb="FF000000"/>
        <rFont val="맑은 고딕"/>
        <family val="0"/>
        <charset val="1"/>
      </rPr>
      <t xml:space="preserve">DQ06</t>
    </r>
  </si>
  <si>
    <r>
      <rPr>
        <sz val="10"/>
        <color rgb="FF000000"/>
        <rFont val="WenQuanYi Zen Hei"/>
        <family val="2"/>
      </rPr>
      <t xml:space="preserve">준거</t>
    </r>
    <r>
      <rPr>
        <sz val="10"/>
        <color rgb="FF000000"/>
        <rFont val="맑은 고딕"/>
        <family val="0"/>
        <charset val="1"/>
      </rPr>
      <t xml:space="preserve">: </t>
    </r>
    <r>
      <rPr>
        <sz val="10"/>
        <color rgb="FF000000"/>
        <rFont val="WenQuanYi Zen Hei"/>
        <family val="2"/>
      </rPr>
      <t xml:space="preserve">연결 품질 지수 </t>
    </r>
    <r>
      <rPr>
        <sz val="10"/>
        <color rgb="FF000000"/>
        <rFont val="맑은 고딕"/>
        <family val="0"/>
        <charset val="1"/>
      </rPr>
      <t xml:space="preserve">vs CR1</t>
    </r>
  </si>
  <si>
    <r>
      <rPr>
        <sz val="10"/>
        <color rgb="FF000000"/>
        <rFont val="WenQuanYi Zen Hei"/>
        <family val="2"/>
      </rPr>
      <t xml:space="preserve">수렴</t>
    </r>
    <r>
      <rPr>
        <sz val="10"/>
        <color rgb="FF000000"/>
        <rFont val="맑은 고딕"/>
        <family val="0"/>
        <charset val="1"/>
      </rPr>
      <t xml:space="preserve">: </t>
    </r>
    <r>
      <rPr>
        <sz val="10"/>
        <color rgb="FF000000"/>
        <rFont val="WenQuanYi Zen Hei"/>
        <family val="2"/>
      </rPr>
      <t xml:space="preserve">연결 품질 지수 </t>
    </r>
    <r>
      <rPr>
        <sz val="10"/>
        <color rgb="FF000000"/>
        <rFont val="맑은 고딕"/>
        <family val="0"/>
        <charset val="1"/>
      </rPr>
      <t xml:space="preserve">vs </t>
    </r>
    <r>
      <rPr>
        <sz val="10"/>
        <color rgb="FF000000"/>
        <rFont val="WenQuanYi Zen Hei"/>
        <family val="2"/>
      </rPr>
      <t xml:space="preserve">전반 문항 </t>
    </r>
    <r>
      <rPr>
        <sz val="10"/>
        <color rgb="FF000000"/>
        <rFont val="맑은 고딕"/>
        <family val="0"/>
        <charset val="1"/>
      </rPr>
      <t xml:space="preserve">DQ07</t>
    </r>
  </si>
  <si>
    <r>
      <rPr>
        <b val="true"/>
        <sz val="10"/>
        <color rgb="FF000000"/>
        <rFont val="WenQuanYi Zen Hei"/>
        <family val="2"/>
      </rPr>
      <t xml:space="preserve">변별</t>
    </r>
    <r>
      <rPr>
        <b val="true"/>
        <sz val="10"/>
        <color rgb="FF000000"/>
        <rFont val="맑은 고딕"/>
        <family val="0"/>
        <charset val="1"/>
      </rPr>
      <t xml:space="preserve">: </t>
    </r>
    <r>
      <rPr>
        <b val="true"/>
        <sz val="10"/>
        <color rgb="FF000000"/>
        <rFont val="WenQuanYi Zen Hei"/>
        <family val="2"/>
      </rPr>
      <t xml:space="preserve">차원 간 상관 행렬 </t>
    </r>
    <r>
      <rPr>
        <b val="true"/>
        <sz val="10"/>
        <color rgb="FF000000"/>
        <rFont val="맑은 고딕"/>
        <family val="0"/>
        <charset val="1"/>
      </rPr>
      <t xml:space="preserve">(</t>
    </r>
    <r>
      <rPr>
        <b val="true"/>
        <sz val="10"/>
        <color rgb="FF000000"/>
        <rFont val="WenQuanYi Zen Hei"/>
        <family val="2"/>
      </rPr>
      <t xml:space="preserve">차원점수 시트 기준</t>
    </r>
    <r>
      <rPr>
        <b val="true"/>
        <sz val="10"/>
        <color rgb="FF000000"/>
        <rFont val="맑은 고딕"/>
        <family val="0"/>
        <charset val="1"/>
      </rPr>
      <t xml:space="preserve">)</t>
    </r>
  </si>
  <si>
    <t xml:space="preserve">차원 간 최대 상관</t>
  </si>
  <si>
    <r>
      <rPr>
        <sz val="10"/>
        <color rgb="FF000000"/>
        <rFont val="맑은 고딕"/>
        <family val="0"/>
        <charset val="1"/>
      </rPr>
      <t xml:space="preserve">&lt; </t>
    </r>
    <r>
      <rPr>
        <sz val="10"/>
        <color rgb="FF000000"/>
        <rFont val="WenQuanYi Zen Hei"/>
        <family val="2"/>
      </rPr>
      <t xml:space="preserve">차원 간 상관 상한</t>
    </r>
    <r>
      <rPr>
        <sz val="10"/>
        <color rgb="FF000000"/>
        <rFont val="맑은 고딕"/>
        <family val="0"/>
        <charset val="1"/>
      </rPr>
      <t xml:space="preserve">(B9)</t>
    </r>
  </si>
  <si>
    <r>
      <rPr>
        <i val="true"/>
        <sz val="10"/>
        <color rgb="FF475467"/>
        <rFont val="WenQuanYi Zen Hei"/>
        <family val="2"/>
      </rPr>
      <t xml:space="preserve">참고</t>
    </r>
    <r>
      <rPr>
        <i val="true"/>
        <sz val="10"/>
        <color rgb="FF475467"/>
        <rFont val="맑은 고딕"/>
        <family val="0"/>
        <charset val="1"/>
      </rPr>
      <t xml:space="preserve">: CORREL</t>
    </r>
    <r>
      <rPr>
        <i val="true"/>
        <sz val="10"/>
        <color rgb="FF475467"/>
        <rFont val="WenQuanYi Zen Hei"/>
        <family val="2"/>
      </rPr>
      <t xml:space="preserve">은 </t>
    </r>
    <r>
      <rPr>
        <i val="true"/>
        <sz val="10"/>
        <color rgb="FF475467"/>
        <rFont val="맑은 고딕"/>
        <family val="0"/>
        <charset val="1"/>
      </rPr>
      <t xml:space="preserve">9(</t>
    </r>
    <r>
      <rPr>
        <i val="true"/>
        <sz val="10"/>
        <color rgb="FF475467"/>
        <rFont val="WenQuanYi Zen Hei"/>
        <family val="2"/>
      </rPr>
      <t xml:space="preserve">해당없음</t>
    </r>
    <r>
      <rPr>
        <i val="true"/>
        <sz val="10"/>
        <color rgb="FF475467"/>
        <rFont val="맑은 고딕"/>
        <family val="0"/>
        <charset val="1"/>
      </rPr>
      <t xml:space="preserve">)</t>
    </r>
    <r>
      <rPr>
        <i val="true"/>
        <sz val="10"/>
        <color rgb="FF475467"/>
        <rFont val="WenQuanYi Zen Hei"/>
        <family val="2"/>
      </rPr>
      <t xml:space="preserve">도 포함한다</t>
    </r>
    <r>
      <rPr>
        <i val="true"/>
        <sz val="10"/>
        <color rgb="FF475467"/>
        <rFont val="맑은 고딕"/>
        <family val="0"/>
        <charset val="1"/>
      </rPr>
      <t xml:space="preserve">. </t>
    </r>
    <r>
      <rPr>
        <i val="true"/>
        <sz val="10"/>
        <color rgb="FF475467"/>
        <rFont val="WenQuanYi Zen Hei"/>
        <family val="2"/>
      </rPr>
      <t xml:space="preserve">실제 분석은 </t>
    </r>
    <r>
      <rPr>
        <i val="true"/>
        <sz val="10"/>
        <color rgb="FF475467"/>
        <rFont val="맑은 고딕"/>
        <family val="0"/>
        <charset val="1"/>
      </rPr>
      <t xml:space="preserve">9</t>
    </r>
    <r>
      <rPr>
        <i val="true"/>
        <sz val="10"/>
        <color rgb="FF475467"/>
        <rFont val="WenQuanYi Zen Hei"/>
        <family val="2"/>
      </rPr>
      <t xml:space="preserve">를 결측 처리한 자료로 통계 프로그램에서 다시 산출한다</t>
    </r>
    <r>
      <rPr>
        <i val="true"/>
        <sz val="10"/>
        <color rgb="FF475467"/>
        <rFont val="맑은 고딕"/>
        <family val="0"/>
        <charset val="1"/>
      </rPr>
      <t xml:space="preserve">. </t>
    </r>
    <r>
      <rPr>
        <i val="true"/>
        <sz val="10"/>
        <color rgb="FF475467"/>
        <rFont val="WenQuanYi Zen Hei"/>
        <family val="2"/>
      </rPr>
      <t xml:space="preserve">역문항</t>
    </r>
    <r>
      <rPr>
        <i val="true"/>
        <sz val="10"/>
        <color rgb="FF475467"/>
        <rFont val="맑은 고딕"/>
        <family val="0"/>
        <charset val="1"/>
      </rPr>
      <t xml:space="preserve">(RV1~4, CR4)</t>
    </r>
    <r>
      <rPr>
        <i val="true"/>
        <sz val="10"/>
        <color rgb="FF475467"/>
        <rFont val="WenQuanYi Zen Hei"/>
        <family val="2"/>
      </rPr>
      <t xml:space="preserve">은 분석 시 </t>
    </r>
    <r>
      <rPr>
        <i val="true"/>
        <sz val="10"/>
        <color rgb="FF475467"/>
        <rFont val="맑은 고딕"/>
        <family val="0"/>
        <charset val="1"/>
      </rPr>
      <t xml:space="preserve">6−</t>
    </r>
    <r>
      <rPr>
        <i val="true"/>
        <sz val="10"/>
        <color rgb="FF475467"/>
        <rFont val="WenQuanYi Zen Hei"/>
        <family val="2"/>
      </rPr>
      <t xml:space="preserve">값으로 뒤집어 사용한다</t>
    </r>
    <r>
      <rPr>
        <i val="true"/>
        <sz val="10"/>
        <color rgb="FF475467"/>
        <rFont val="맑은 고딕"/>
        <family val="0"/>
        <charset val="1"/>
      </rPr>
      <t xml:space="preserve">. </t>
    </r>
    <r>
      <rPr>
        <i val="true"/>
        <sz val="10"/>
        <color rgb="FF475467"/>
        <rFont val="WenQuanYi Zen Hei"/>
        <family val="2"/>
      </rPr>
      <t xml:space="preserve">환류폐쇄성 점수는 환류 연결 </t>
    </r>
    <r>
      <rPr>
        <i val="true"/>
        <sz val="10"/>
        <color rgb="FF475467"/>
        <rFont val="맑은 고딕"/>
        <family val="0"/>
        <charset val="1"/>
      </rPr>
      <t xml:space="preserve">8</t>
    </r>
    <r>
      <rPr>
        <i val="true"/>
        <sz val="10"/>
        <color rgb="FF475467"/>
        <rFont val="WenQuanYi Zen Hei"/>
        <family val="2"/>
      </rPr>
      <t xml:space="preserve">개 문항만으로 계산되므로 다른 차원과 문항 수가 다르다</t>
    </r>
    <r>
      <rPr>
        <i val="true"/>
        <sz val="10"/>
        <color rgb="FF475467"/>
        <rFont val="맑은 고딕"/>
        <family val="0"/>
        <charset val="1"/>
      </rPr>
      <t xml:space="preserve">.</t>
    </r>
  </si>
  <si>
    <t xml:space="preserve">검증 단계</t>
  </si>
  <si>
    <t xml:space="preserve">방법</t>
  </si>
  <si>
    <r>
      <rPr>
        <b val="true"/>
        <sz val="10"/>
        <color rgb="FFFFFFFF"/>
        <rFont val="WenQuanYi Zen Hei"/>
        <family val="2"/>
      </rPr>
      <t xml:space="preserve">기준 </t>
    </r>
    <r>
      <rPr>
        <b val="true"/>
        <sz val="10"/>
        <color rgb="FFFFFFFF"/>
        <rFont val="맑은 고딕"/>
        <family val="0"/>
        <charset val="1"/>
      </rPr>
      <t xml:space="preserve">/ </t>
    </r>
    <r>
      <rPr>
        <b val="true"/>
        <sz val="10"/>
        <color rgb="FFFFFFFF"/>
        <rFont val="WenQuanYi Zen Hei"/>
        <family val="2"/>
      </rPr>
      <t xml:space="preserve">산출 위치</t>
    </r>
  </si>
  <si>
    <r>
      <rPr>
        <sz val="10"/>
        <color rgb="FF000000"/>
        <rFont val="맑은 고딕"/>
        <family val="0"/>
        <charset val="1"/>
      </rPr>
      <t xml:space="preserve">1 </t>
    </r>
    <r>
      <rPr>
        <sz val="10"/>
        <color rgb="FF000000"/>
        <rFont val="WenQuanYi Zen Hei"/>
        <family val="2"/>
      </rPr>
      <t xml:space="preserve">인용 검증</t>
    </r>
  </si>
  <si>
    <r>
      <rPr>
        <sz val="10"/>
        <color rgb="FF000000"/>
        <rFont val="맑은 고딕"/>
        <family val="0"/>
        <charset val="1"/>
      </rPr>
      <t xml:space="preserve">Arias·Białas </t>
    </r>
    <r>
      <rPr>
        <sz val="10"/>
        <color rgb="FF000000"/>
        <rFont val="WenQuanYi Zen Hei"/>
        <family val="2"/>
      </rPr>
      <t xml:space="preserve">인용을 </t>
    </r>
    <r>
      <rPr>
        <sz val="10"/>
        <color rgb="FF000000"/>
        <rFont val="맑은 고딕"/>
        <family val="0"/>
        <charset val="1"/>
      </rPr>
      <t xml:space="preserve">PDF </t>
    </r>
    <r>
      <rPr>
        <sz val="10"/>
        <color rgb="FF000000"/>
        <rFont val="WenQuanYi Zen Hei"/>
        <family val="2"/>
      </rPr>
      <t xml:space="preserve">원문과 자동 대조</t>
    </r>
    <r>
      <rPr>
        <sz val="10"/>
        <color rgb="FF000000"/>
        <rFont val="맑은 고딕"/>
        <family val="0"/>
        <charset val="1"/>
      </rPr>
      <t xml:space="preserve">(scripts/verify_quotes.py)</t>
    </r>
  </si>
  <si>
    <r>
      <rPr>
        <sz val="10"/>
        <color rgb="FF000000"/>
        <rFont val="WenQuanYi Zen Hei"/>
        <family val="2"/>
      </rPr>
      <t xml:space="preserve">인용 </t>
    </r>
    <r>
      <rPr>
        <sz val="10"/>
        <color rgb="FF000000"/>
        <rFont val="맑은 고딕"/>
        <family val="0"/>
        <charset val="1"/>
      </rPr>
      <t xml:space="preserve">72/72 </t>
    </r>
    <r>
      <rPr>
        <sz val="10"/>
        <color rgb="FF000000"/>
        <rFont val="WenQuanYi Zen Hei"/>
        <family val="2"/>
      </rPr>
      <t xml:space="preserve">일치</t>
    </r>
    <r>
      <rPr>
        <sz val="10"/>
        <color rgb="FF000000"/>
        <rFont val="맑은 고딕"/>
        <family val="0"/>
        <charset val="1"/>
      </rPr>
      <t xml:space="preserve">(</t>
    </r>
    <r>
      <rPr>
        <sz val="10"/>
        <color rgb="FF000000"/>
        <rFont val="WenQuanYi Zen Hei"/>
        <family val="2"/>
      </rPr>
      <t xml:space="preserve">완료</t>
    </r>
    <r>
      <rPr>
        <sz val="10"/>
        <color rgb="FF000000"/>
        <rFont val="맑은 고딕"/>
        <family val="0"/>
        <charset val="1"/>
      </rPr>
      <t xml:space="preserve">)</t>
    </r>
  </si>
  <si>
    <r>
      <rPr>
        <sz val="10"/>
        <color rgb="FF000000"/>
        <rFont val="맑은 고딕"/>
        <family val="0"/>
        <charset val="1"/>
      </rPr>
      <t xml:space="preserve">2 </t>
    </r>
    <r>
      <rPr>
        <sz val="10"/>
        <color rgb="FF000000"/>
        <rFont val="WenQuanYi Zen Hei"/>
        <family val="2"/>
      </rPr>
      <t xml:space="preserve">외부 문헌 확인</t>
    </r>
  </si>
  <si>
    <r>
      <rPr>
        <sz val="10"/>
        <color rgb="FF000000"/>
        <rFont val="WenQuanYi Zen Hei"/>
        <family val="2"/>
      </rPr>
      <t xml:space="preserve">연구자가 외부 문헌 원문에서 정의</t>
    </r>
    <r>
      <rPr>
        <sz val="10"/>
        <color rgb="FF000000"/>
        <rFont val="맑은 고딕"/>
        <family val="0"/>
        <charset val="1"/>
      </rPr>
      <t xml:space="preserve">·</t>
    </r>
    <r>
      <rPr>
        <sz val="10"/>
        <color rgb="FF000000"/>
        <rFont val="WenQuanYi Zen Hei"/>
        <family val="2"/>
      </rPr>
      <t xml:space="preserve">문장을 찾아 학술근거 시트에 기입</t>
    </r>
  </si>
  <si>
    <r>
      <rPr>
        <sz val="10"/>
        <color rgb="FF000000"/>
        <rFont val="WenQuanYi Zen Hei"/>
        <family val="2"/>
      </rPr>
      <t xml:space="preserve">학술근거 시트 </t>
    </r>
    <r>
      <rPr>
        <sz val="10"/>
        <color rgb="FF000000"/>
        <rFont val="맑은 고딕"/>
        <family val="0"/>
        <charset val="1"/>
      </rPr>
      <t xml:space="preserve">"</t>
    </r>
    <r>
      <rPr>
        <sz val="10"/>
        <color rgb="FF000000"/>
        <rFont val="WenQuanYi Zen Hei"/>
        <family val="2"/>
      </rPr>
      <t xml:space="preserve">확인 완료</t>
    </r>
    <r>
      <rPr>
        <sz val="10"/>
        <color rgb="FF000000"/>
        <rFont val="맑은 고딕"/>
        <family val="0"/>
        <charset val="1"/>
      </rPr>
      <t xml:space="preserve">" </t>
    </r>
    <r>
      <rPr>
        <sz val="10"/>
        <color rgb="FF000000"/>
        <rFont val="WenQuanYi Zen Hei"/>
        <family val="2"/>
      </rPr>
      <t xml:space="preserve">열 — 미확인 문헌은 근거로 확정 금지</t>
    </r>
  </si>
  <si>
    <r>
      <rPr>
        <sz val="10"/>
        <color rgb="FF000000"/>
        <rFont val="맑은 고딕"/>
        <family val="0"/>
        <charset val="1"/>
      </rPr>
      <t xml:space="preserve">3 </t>
    </r>
    <r>
      <rPr>
        <sz val="10"/>
        <color rgb="FF000000"/>
        <rFont val="WenQuanYi Zen Hei"/>
        <family val="2"/>
      </rPr>
      <t xml:space="preserve">구조 점검</t>
    </r>
  </si>
  <si>
    <r>
      <rPr>
        <sz val="10"/>
        <color rgb="FF000000"/>
        <rFont val="WenQuanYi Zen Hei"/>
        <family val="2"/>
      </rPr>
      <t xml:space="preserve">추적성</t>
    </r>
    <r>
      <rPr>
        <sz val="10"/>
        <color rgb="FF000000"/>
        <rFont val="맑은 고딕"/>
        <family val="0"/>
        <charset val="1"/>
      </rPr>
      <t xml:space="preserve">(</t>
    </r>
    <r>
      <rPr>
        <sz val="10"/>
        <color rgb="FF000000"/>
        <rFont val="WenQuanYi Zen Hei"/>
        <family val="2"/>
      </rPr>
      <t xml:space="preserve">문항</t>
    </r>
    <r>
      <rPr>
        <sz val="10"/>
        <color rgb="FF000000"/>
        <rFont val="맑은 고딕"/>
        <family val="0"/>
        <charset val="1"/>
      </rPr>
      <t xml:space="preserve">=</t>
    </r>
    <r>
      <rPr>
        <sz val="10"/>
        <color rgb="FF000000"/>
        <rFont val="WenQuanYi Zen Hei"/>
        <family val="2"/>
      </rPr>
      <t xml:space="preserve">연결 </t>
    </r>
    <r>
      <rPr>
        <sz val="10"/>
        <color rgb="FF000000"/>
        <rFont val="맑은 고딕"/>
        <family val="0"/>
        <charset val="1"/>
      </rPr>
      <t xml:space="preserve">1×</t>
    </r>
    <r>
      <rPr>
        <sz val="10"/>
        <color rgb="FF000000"/>
        <rFont val="WenQuanYi Zen Hei"/>
        <family val="2"/>
      </rPr>
      <t xml:space="preserve">차원 </t>
    </r>
    <r>
      <rPr>
        <sz val="10"/>
        <color rgb="FF000000"/>
        <rFont val="맑은 고딕"/>
        <family val="0"/>
        <charset val="1"/>
      </rPr>
      <t xml:space="preserve">1), </t>
    </r>
    <r>
      <rPr>
        <sz val="10"/>
        <color rgb="FF000000"/>
        <rFont val="WenQuanYi Zen Hei"/>
        <family val="2"/>
      </rPr>
      <t xml:space="preserve">적용매트릭스와 문항 수 일치</t>
    </r>
  </si>
  <si>
    <r>
      <rPr>
        <sz val="10"/>
        <color rgb="FF000000"/>
        <rFont val="WenQuanYi Zen Hei"/>
        <family val="2"/>
      </rPr>
      <t xml:space="preserve">위 구조 점검</t>
    </r>
    <r>
      <rPr>
        <sz val="10"/>
        <color rgb="FF000000"/>
        <rFont val="맑은 고딕"/>
        <family val="0"/>
        <charset val="1"/>
      </rPr>
      <t xml:space="preserve">(</t>
    </r>
    <r>
      <rPr>
        <sz val="10"/>
        <color rgb="FF000000"/>
        <rFont val="WenQuanYi Zen Hei"/>
        <family val="2"/>
      </rPr>
      <t xml:space="preserve">자동</t>
    </r>
    <r>
      <rPr>
        <sz val="10"/>
        <color rgb="FF000000"/>
        <rFont val="맑은 고딕"/>
        <family val="0"/>
        <charset val="1"/>
      </rPr>
      <t xml:space="preserve">)</t>
    </r>
  </si>
  <si>
    <r>
      <rPr>
        <sz val="10"/>
        <color rgb="FF000000"/>
        <rFont val="맑은 고딕"/>
        <family val="0"/>
        <charset val="1"/>
      </rPr>
      <t xml:space="preserve">4 </t>
    </r>
    <r>
      <rPr>
        <sz val="10"/>
        <color rgb="FF000000"/>
        <rFont val="WenQuanYi Zen Hei"/>
        <family val="2"/>
      </rPr>
      <t xml:space="preserve">전문가 내용타당도</t>
    </r>
  </si>
  <si>
    <r>
      <rPr>
        <sz val="10"/>
        <color rgb="FF000000"/>
        <rFont val="맑은 고딕"/>
        <family val="0"/>
        <charset val="1"/>
      </rPr>
      <t xml:space="preserve">6~10</t>
    </r>
    <r>
      <rPr>
        <sz val="10"/>
        <color rgb="FF000000"/>
        <rFont val="WenQuanYi Zen Hei"/>
        <family val="2"/>
      </rPr>
      <t xml:space="preserve">인</t>
    </r>
    <r>
      <rPr>
        <sz val="10"/>
        <color rgb="FF000000"/>
        <rFont val="맑은 고딕"/>
        <family val="0"/>
        <charset val="1"/>
      </rPr>
      <t xml:space="preserve">: </t>
    </r>
    <r>
      <rPr>
        <sz val="10"/>
        <color rgb="FF000000"/>
        <rFont val="WenQuanYi Zen Hei"/>
        <family val="2"/>
      </rPr>
      <t xml:space="preserve">연결 타당도</t>
    </r>
    <r>
      <rPr>
        <sz val="10"/>
        <color rgb="FF000000"/>
        <rFont val="맑은 고딕"/>
        <family val="0"/>
        <charset val="1"/>
      </rPr>
      <t xml:space="preserve">(E2·E3 </t>
    </r>
    <r>
      <rPr>
        <sz val="10"/>
        <color rgb="FF000000"/>
        <rFont val="WenQuanYi Zen Hei"/>
        <family val="2"/>
      </rPr>
      <t xml:space="preserve">우선</t>
    </r>
    <r>
      <rPr>
        <sz val="10"/>
        <color rgb="FF000000"/>
        <rFont val="맑은 고딕"/>
        <family val="0"/>
        <charset val="1"/>
      </rPr>
      <t xml:space="preserve">), </t>
    </r>
    <r>
      <rPr>
        <sz val="10"/>
        <color rgb="FF000000"/>
        <rFont val="WenQuanYi Zen Hei"/>
        <family val="2"/>
      </rPr>
      <t xml:space="preserve">문항 적합도</t>
    </r>
    <r>
      <rPr>
        <sz val="10"/>
        <color rgb="FF000000"/>
        <rFont val="맑은 고딕"/>
        <family val="0"/>
        <charset val="1"/>
      </rPr>
      <t xml:space="preserve">, </t>
    </r>
    <r>
      <rPr>
        <sz val="10"/>
        <color rgb="FF000000"/>
        <rFont val="WenQuanYi Zen Hei"/>
        <family val="2"/>
      </rPr>
      <t xml:space="preserve">차원 귀속 맹검 재분류</t>
    </r>
  </si>
  <si>
    <r>
      <rPr>
        <sz val="10"/>
        <color rgb="FF000000"/>
        <rFont val="맑은 고딕"/>
        <family val="0"/>
        <charset val="1"/>
      </rPr>
      <t xml:space="preserve">I-CVI ≥ 0.78 / </t>
    </r>
    <r>
      <rPr>
        <sz val="10"/>
        <color rgb="FF000000"/>
        <rFont val="WenQuanYi Zen Hei"/>
        <family val="2"/>
      </rPr>
      <t xml:space="preserve">일치율 ≥ </t>
    </r>
    <r>
      <rPr>
        <sz val="10"/>
        <color rgb="FF000000"/>
        <rFont val="맑은 고딕"/>
        <family val="0"/>
        <charset val="1"/>
      </rPr>
      <t xml:space="preserve">80% </t>
    </r>
    <r>
      <rPr>
        <sz val="10"/>
        <color rgb="FF000000"/>
        <rFont val="WenQuanYi Zen Hei"/>
        <family val="2"/>
      </rPr>
      <t xml:space="preserve">채택 </t>
    </r>
    <r>
      <rPr>
        <sz val="10"/>
        <color rgb="FF000000"/>
        <rFont val="맑은 고딕"/>
        <family val="0"/>
        <charset val="1"/>
      </rPr>
      <t xml:space="preserve">· 20~80% </t>
    </r>
    <r>
      <rPr>
        <sz val="10"/>
        <color rgb="FF000000"/>
        <rFont val="WenQuanYi Zen Hei"/>
        <family val="2"/>
      </rPr>
      <t xml:space="preserve">토론 </t>
    </r>
    <r>
      <rPr>
        <sz val="10"/>
        <color rgb="FF000000"/>
        <rFont val="맑은 고딕"/>
        <family val="0"/>
        <charset val="1"/>
      </rPr>
      <t xml:space="preserve">· &lt; 20% </t>
    </r>
    <r>
      <rPr>
        <sz val="10"/>
        <color rgb="FF000000"/>
        <rFont val="WenQuanYi Zen Hei"/>
        <family val="2"/>
      </rPr>
      <t xml:space="preserve">삭제</t>
    </r>
    <r>
      <rPr>
        <sz val="10"/>
        <color rgb="FF000000"/>
        <rFont val="맑은 고딕"/>
        <family val="0"/>
        <charset val="1"/>
      </rPr>
      <t xml:space="preserve">(Arias A44 </t>
    </r>
    <r>
      <rPr>
        <sz val="10"/>
        <color rgb="FF000000"/>
        <rFont val="WenQuanYi Zen Hei"/>
        <family val="2"/>
      </rPr>
      <t xml:space="preserve">준용</t>
    </r>
    <r>
      <rPr>
        <sz val="10"/>
        <color rgb="FF000000"/>
        <rFont val="맑은 고딕"/>
        <family val="0"/>
        <charset val="1"/>
      </rPr>
      <t xml:space="preserve">)</t>
    </r>
  </si>
  <si>
    <r>
      <rPr>
        <sz val="10"/>
        <color rgb="FF000000"/>
        <rFont val="맑은 고딕"/>
        <family val="0"/>
        <charset val="1"/>
      </rPr>
      <t xml:space="preserve">5 </t>
    </r>
    <r>
      <rPr>
        <sz val="10"/>
        <color rgb="FF000000"/>
        <rFont val="WenQuanYi Zen Hei"/>
        <family val="2"/>
      </rPr>
      <t xml:space="preserve">인지면담</t>
    </r>
  </si>
  <si>
    <r>
      <rPr>
        <sz val="10"/>
        <color rgb="FF000000"/>
        <rFont val="맑은 고딕"/>
        <family val="0"/>
        <charset val="1"/>
      </rPr>
      <t xml:space="preserve">5~8</t>
    </r>
    <r>
      <rPr>
        <sz val="10"/>
        <color rgb="FF000000"/>
        <rFont val="WenQuanYi Zen Hei"/>
        <family val="2"/>
      </rPr>
      <t xml:space="preserve">인 설명시키기</t>
    </r>
    <r>
      <rPr>
        <sz val="10"/>
        <color rgb="FF000000"/>
        <rFont val="맑은 고딕"/>
        <family val="0"/>
        <charset val="1"/>
      </rPr>
      <t xml:space="preserve">(</t>
    </r>
    <r>
      <rPr>
        <sz val="10"/>
        <color rgb="FF000000"/>
        <rFont val="WenQuanYi Zen Hei"/>
        <family val="2"/>
      </rPr>
      <t xml:space="preserve">출발</t>
    </r>
    <r>
      <rPr>
        <sz val="10"/>
        <color rgb="FF000000"/>
        <rFont val="맑은 고딕"/>
        <family val="0"/>
        <charset val="1"/>
      </rPr>
      <t xml:space="preserve">·</t>
    </r>
    <r>
      <rPr>
        <sz val="10"/>
        <color rgb="FF000000"/>
        <rFont val="WenQuanYi Zen Hei"/>
        <family val="2"/>
      </rPr>
      <t xml:space="preserve">도착</t>
    </r>
    <r>
      <rPr>
        <sz val="10"/>
        <color rgb="FF000000"/>
        <rFont val="맑은 고딕"/>
        <family val="0"/>
        <charset val="1"/>
      </rPr>
      <t xml:space="preserve">, 6</t>
    </r>
    <r>
      <rPr>
        <sz val="10"/>
        <color rgb="FF000000"/>
        <rFont val="WenQuanYi Zen Hei"/>
        <family val="2"/>
      </rPr>
      <t xml:space="preserve">개 차원 구분</t>
    </r>
    <r>
      <rPr>
        <sz val="10"/>
        <color rgb="FF000000"/>
        <rFont val="맑은 고딕"/>
        <family val="0"/>
        <charset val="1"/>
      </rPr>
      <t xml:space="preserve">)</t>
    </r>
  </si>
  <si>
    <t xml:space="preserve">수기</t>
  </si>
  <si>
    <r>
      <rPr>
        <sz val="10"/>
        <color rgb="FF000000"/>
        <rFont val="맑은 고딕"/>
        <family val="0"/>
        <charset val="1"/>
      </rPr>
      <t xml:space="preserve">6 </t>
    </r>
    <r>
      <rPr>
        <sz val="10"/>
        <color rgb="FF000000"/>
        <rFont val="WenQuanYi Zen Hei"/>
        <family val="2"/>
      </rPr>
      <t xml:space="preserve">신뢰도</t>
    </r>
    <r>
      <rPr>
        <sz val="10"/>
        <color rgb="FF000000"/>
        <rFont val="맑은 고딕"/>
        <family val="0"/>
        <charset val="1"/>
      </rPr>
      <t xml:space="preserve">·</t>
    </r>
    <r>
      <rPr>
        <sz val="10"/>
        <color rgb="FF000000"/>
        <rFont val="WenQuanYi Zen Hei"/>
        <family val="2"/>
      </rPr>
      <t xml:space="preserve">구조</t>
    </r>
  </si>
  <si>
    <r>
      <rPr>
        <sz val="10"/>
        <color rgb="FF000000"/>
        <rFont val="WenQuanYi Zen Hei"/>
        <family val="2"/>
      </rPr>
      <t xml:space="preserve">차원별 </t>
    </r>
    <r>
      <rPr>
        <sz val="10"/>
        <color rgb="FF000000"/>
        <rFont val="맑은 고딕"/>
        <family val="0"/>
        <charset val="1"/>
      </rPr>
      <t xml:space="preserve">α/ω, </t>
    </r>
    <r>
      <rPr>
        <sz val="10"/>
        <color rgb="FF000000"/>
        <rFont val="WenQuanYi Zen Hei"/>
        <family val="2"/>
      </rPr>
      <t xml:space="preserve">문항</t>
    </r>
    <r>
      <rPr>
        <sz val="10"/>
        <color rgb="FF000000"/>
        <rFont val="맑은 고딕"/>
        <family val="0"/>
        <charset val="1"/>
      </rPr>
      <t xml:space="preserve">-</t>
    </r>
    <r>
      <rPr>
        <sz val="10"/>
        <color rgb="FF000000"/>
        <rFont val="WenQuanYi Zen Hei"/>
        <family val="2"/>
      </rPr>
      <t xml:space="preserve">총점 상관</t>
    </r>
    <r>
      <rPr>
        <sz val="10"/>
        <color rgb="FF000000"/>
        <rFont val="맑은 고딕"/>
        <family val="0"/>
        <charset val="1"/>
      </rPr>
      <t xml:space="preserve">, 6</t>
    </r>
    <r>
      <rPr>
        <sz val="10"/>
        <color rgb="FF000000"/>
        <rFont val="WenQuanYi Zen Hei"/>
        <family val="2"/>
      </rPr>
      <t xml:space="preserve">차원 </t>
    </r>
    <r>
      <rPr>
        <sz val="10"/>
        <color rgb="FF000000"/>
        <rFont val="맑은 고딕"/>
        <family val="0"/>
        <charset val="1"/>
      </rPr>
      <t xml:space="preserve">CFA(</t>
    </r>
    <r>
      <rPr>
        <sz val="10"/>
        <color rgb="FF000000"/>
        <rFont val="WenQuanYi Zen Hei"/>
        <family val="2"/>
      </rPr>
      <t xml:space="preserve">형성적 </t>
    </r>
    <r>
      <rPr>
        <sz val="10"/>
        <color rgb="FF000000"/>
        <rFont val="맑은 고딕"/>
        <family val="0"/>
        <charset val="1"/>
      </rPr>
      <t xml:space="preserve">2</t>
    </r>
    <r>
      <rPr>
        <sz val="10"/>
        <color rgb="FF000000"/>
        <rFont val="WenQuanYi Zen Hei"/>
        <family val="2"/>
      </rPr>
      <t xml:space="preserve">차 요인 포함</t>
    </r>
    <r>
      <rPr>
        <sz val="10"/>
        <color rgb="FF000000"/>
        <rFont val="맑은 고딕"/>
        <family val="0"/>
        <charset val="1"/>
      </rPr>
      <t xml:space="preserve">)</t>
    </r>
  </si>
  <si>
    <r>
      <rPr>
        <sz val="10"/>
        <color rgb="FF000000"/>
        <rFont val="WenQuanYi Zen Hei"/>
        <family val="2"/>
      </rPr>
      <t xml:space="preserve">통계 프로그램</t>
    </r>
    <r>
      <rPr>
        <sz val="10"/>
        <color rgb="FF000000"/>
        <rFont val="맑은 고딕"/>
        <family val="0"/>
        <charset val="1"/>
      </rPr>
      <t xml:space="preserve">(150</t>
    </r>
    <r>
      <rPr>
        <sz val="10"/>
        <color rgb="FF000000"/>
        <rFont val="WenQuanYi Zen Hei"/>
        <family val="2"/>
      </rPr>
      <t xml:space="preserve">명 이상 권장</t>
    </r>
    <r>
      <rPr>
        <sz val="10"/>
        <color rgb="FF000000"/>
        <rFont val="맑은 고딕"/>
        <family val="0"/>
        <charset val="1"/>
      </rPr>
      <t xml:space="preserve">)</t>
    </r>
  </si>
  <si>
    <r>
      <rPr>
        <sz val="10"/>
        <color rgb="FF000000"/>
        <rFont val="맑은 고딕"/>
        <family val="0"/>
        <charset val="1"/>
      </rPr>
      <t xml:space="preserve">7 </t>
    </r>
    <r>
      <rPr>
        <sz val="10"/>
        <color rgb="FF000000"/>
        <rFont val="WenQuanYi Zen Hei"/>
        <family val="2"/>
      </rPr>
      <t xml:space="preserve">변별</t>
    </r>
    <r>
      <rPr>
        <sz val="10"/>
        <color rgb="FF000000"/>
        <rFont val="맑은 고딕"/>
        <family val="0"/>
        <charset val="1"/>
      </rPr>
      <t xml:space="preserve">·</t>
    </r>
    <r>
      <rPr>
        <sz val="10"/>
        <color rgb="FF000000"/>
        <rFont val="WenQuanYi Zen Hei"/>
        <family val="2"/>
      </rPr>
      <t xml:space="preserve">수렴</t>
    </r>
  </si>
  <si>
    <r>
      <rPr>
        <sz val="10"/>
        <color rgb="FF000000"/>
        <rFont val="WenQuanYi Zen Hei"/>
        <family val="2"/>
      </rPr>
      <t xml:space="preserve">차원 간 상관 </t>
    </r>
    <r>
      <rPr>
        <sz val="10"/>
        <color rgb="FF000000"/>
        <rFont val="맑은 고딕"/>
        <family val="0"/>
        <charset val="1"/>
      </rPr>
      <t xml:space="preserve">&lt; 0.85, </t>
    </r>
    <r>
      <rPr>
        <sz val="10"/>
        <color rgb="FF000000"/>
        <rFont val="WenQuanYi Zen Hei"/>
        <family val="2"/>
      </rPr>
      <t xml:space="preserve">차원 점수와 종합 문항 </t>
    </r>
    <r>
      <rPr>
        <sz val="10"/>
        <color rgb="FF000000"/>
        <rFont val="맑은 고딕"/>
        <family val="0"/>
        <charset val="1"/>
      </rPr>
      <t xml:space="preserve">DQ </t>
    </r>
    <r>
      <rPr>
        <sz val="10"/>
        <color rgb="FF000000"/>
        <rFont val="WenQuanYi Zen Hei"/>
        <family val="2"/>
      </rPr>
      <t xml:space="preserve">상관</t>
    </r>
    <r>
      <rPr>
        <sz val="10"/>
        <color rgb="FF000000"/>
        <rFont val="맑은 고딕"/>
        <family val="0"/>
        <charset val="1"/>
      </rPr>
      <t xml:space="preserve">, </t>
    </r>
    <r>
      <rPr>
        <sz val="10"/>
        <color rgb="FF000000"/>
        <rFont val="WenQuanYi Zen Hei"/>
        <family val="2"/>
      </rPr>
      <t xml:space="preserve">역문항 일관성</t>
    </r>
  </si>
  <si>
    <t xml:space="preserve">본 시트</t>
  </si>
  <si>
    <r>
      <rPr>
        <sz val="10"/>
        <color rgb="FF000000"/>
        <rFont val="맑은 고딕"/>
        <family val="0"/>
        <charset val="1"/>
      </rPr>
      <t xml:space="preserve">8 </t>
    </r>
    <r>
      <rPr>
        <sz val="10"/>
        <color rgb="FF000000"/>
        <rFont val="WenQuanYi Zen Hei"/>
        <family val="2"/>
      </rPr>
      <t xml:space="preserve">준거</t>
    </r>
    <r>
      <rPr>
        <sz val="10"/>
        <color rgb="FF000000"/>
        <rFont val="맑은 고딕"/>
        <family val="0"/>
        <charset val="1"/>
      </rPr>
      <t xml:space="preserve">·</t>
    </r>
    <r>
      <rPr>
        <sz val="10"/>
        <color rgb="FF000000"/>
        <rFont val="WenQuanYi Zen Hei"/>
        <family val="2"/>
      </rPr>
      <t xml:space="preserve">집단</t>
    </r>
  </si>
  <si>
    <r>
      <rPr>
        <sz val="10"/>
        <color rgb="FF000000"/>
        <rFont val="WenQuanYi Zen Hei"/>
        <family val="2"/>
      </rPr>
      <t xml:space="preserve">연결 품질 지수 </t>
    </r>
    <r>
      <rPr>
        <sz val="10"/>
        <color rgb="FF000000"/>
        <rFont val="맑은 고딕"/>
        <family val="0"/>
        <charset val="1"/>
      </rPr>
      <t xml:space="preserve">vs CR1~4, </t>
    </r>
    <r>
      <rPr>
        <sz val="10"/>
        <color rgb="FF000000"/>
        <rFont val="WenQuanYi Zen Hei"/>
        <family val="2"/>
      </rPr>
      <t xml:space="preserve">증거유형별</t>
    </r>
    <r>
      <rPr>
        <sz val="10"/>
        <color rgb="FF000000"/>
        <rFont val="맑은 고딕"/>
        <family val="0"/>
        <charset val="1"/>
      </rPr>
      <t xml:space="preserve">(E1/E2/E3) </t>
    </r>
    <r>
      <rPr>
        <sz val="10"/>
        <color rgb="FF000000"/>
        <rFont val="WenQuanYi Zen Hei"/>
        <family val="2"/>
      </rPr>
      <t xml:space="preserve">비교</t>
    </r>
    <r>
      <rPr>
        <sz val="10"/>
        <color rgb="FF000000"/>
        <rFont val="맑은 고딕"/>
        <family val="0"/>
        <charset val="1"/>
      </rPr>
      <t xml:space="preserve">, ISO 22301 </t>
    </r>
    <r>
      <rPr>
        <sz val="10"/>
        <color rgb="FF000000"/>
        <rFont val="WenQuanYi Zen Hei"/>
        <family val="2"/>
      </rPr>
      <t xml:space="preserve">인증</t>
    </r>
    <r>
      <rPr>
        <sz val="10"/>
        <color rgb="FF000000"/>
        <rFont val="맑은 고딕"/>
        <family val="0"/>
        <charset val="1"/>
      </rPr>
      <t xml:space="preserve">(A04) </t>
    </r>
    <r>
      <rPr>
        <sz val="10"/>
        <color rgb="FF000000"/>
        <rFont val="WenQuanYi Zen Hei"/>
        <family val="2"/>
      </rPr>
      <t xml:space="preserve">집단 비교</t>
    </r>
  </si>
  <si>
    <r>
      <rPr>
        <sz val="10"/>
        <color rgb="FF000000"/>
        <rFont val="WenQuanYi Zen Hei"/>
        <family val="2"/>
      </rPr>
      <t xml:space="preserve">점수요약 </t>
    </r>
    <r>
      <rPr>
        <sz val="10"/>
        <color rgb="FF000000"/>
        <rFont val="맑은 고딕"/>
        <family val="0"/>
        <charset val="1"/>
      </rPr>
      <t xml:space="preserve">/ </t>
    </r>
    <r>
      <rPr>
        <sz val="10"/>
        <color rgb="FF000000"/>
        <rFont val="WenQuanYi Zen Hei"/>
        <family val="2"/>
      </rPr>
      <t xml:space="preserve">통계 프로그램</t>
    </r>
  </si>
  <si>
    <r>
      <rPr>
        <sz val="10"/>
        <color rgb="FF000000"/>
        <rFont val="맑은 고딕"/>
        <family val="0"/>
        <charset val="1"/>
      </rPr>
      <t xml:space="preserve">9 </t>
    </r>
    <r>
      <rPr>
        <sz val="10"/>
        <color rgb="FF000000"/>
        <rFont val="WenQuanYi Zen Hei"/>
        <family val="2"/>
      </rPr>
      <t xml:space="preserve">활용 검증</t>
    </r>
  </si>
  <si>
    <r>
      <rPr>
        <sz val="10"/>
        <color rgb="FF000000"/>
        <rFont val="WenQuanYi Zen Hei"/>
        <family val="2"/>
      </rPr>
      <t xml:space="preserve">점수로 </t>
    </r>
    <r>
      <rPr>
        <sz val="10"/>
        <color rgb="FF000000"/>
        <rFont val="맑은 고딕"/>
        <family val="0"/>
        <charset val="1"/>
      </rPr>
      <t xml:space="preserve">"</t>
    </r>
    <r>
      <rPr>
        <sz val="10"/>
        <color rgb="FF000000"/>
        <rFont val="WenQuanYi Zen Hei"/>
        <family val="2"/>
      </rPr>
      <t xml:space="preserve">어느 연결의 어느 차원이 약한가</t>
    </r>
    <r>
      <rPr>
        <sz val="10"/>
        <color rgb="FF000000"/>
        <rFont val="맑은 고딕"/>
        <family val="0"/>
        <charset val="1"/>
      </rPr>
      <t xml:space="preserve">" </t>
    </r>
    <r>
      <rPr>
        <sz val="10"/>
        <color rgb="FF000000"/>
        <rFont val="WenQuanYi Zen Hei"/>
        <family val="2"/>
      </rPr>
      <t xml:space="preserve">진단이 되는지</t>
    </r>
    <r>
      <rPr>
        <sz val="10"/>
        <color rgb="FF000000"/>
        <rFont val="맑은 고딕"/>
        <family val="0"/>
        <charset val="1"/>
      </rPr>
      <t xml:space="preserve">(Białas B08 </t>
    </r>
    <r>
      <rPr>
        <sz val="10"/>
        <color rgb="FF000000"/>
        <rFont val="WenQuanYi Zen Hei"/>
        <family val="2"/>
      </rPr>
      <t xml:space="preserve">방식</t>
    </r>
    <r>
      <rPr>
        <sz val="10"/>
        <color rgb="FF000000"/>
        <rFont val="맑은 고딕"/>
        <family val="0"/>
        <charset val="1"/>
      </rPr>
      <t xml:space="preserve">)</t>
    </r>
  </si>
  <si>
    <t xml:space="preserve">점수요약</t>
  </si>
</sst>
</file>

<file path=xl/styles.xml><?xml version="1.0" encoding="utf-8"?>
<styleSheet xmlns="http://schemas.openxmlformats.org/spreadsheetml/2006/main">
  <numFmts count="3">
    <numFmt numFmtId="164" formatCode="General"/>
    <numFmt numFmtId="165" formatCode="General"/>
    <numFmt numFmtId="166" formatCode="0.00"/>
  </numFmts>
  <fonts count="26">
    <font>
      <sz val="11"/>
      <color theme="1"/>
      <name val="Calibri"/>
      <family val="2"/>
      <charset val="1"/>
    </font>
    <font>
      <sz val="10"/>
      <name val="Arial"/>
      <family val="0"/>
    </font>
    <font>
      <sz val="10"/>
      <name val="Arial"/>
      <family val="0"/>
    </font>
    <font>
      <sz val="10"/>
      <name val="Arial"/>
      <family val="0"/>
    </font>
    <font>
      <b val="true"/>
      <sz val="14"/>
      <color rgb="FF101828"/>
      <name val="맑은 고딕"/>
      <family val="0"/>
      <charset val="1"/>
    </font>
    <font>
      <b val="true"/>
      <sz val="14"/>
      <color rgb="FF101828"/>
      <name val="WenQuanYi Zen Hei"/>
      <family val="2"/>
    </font>
    <font>
      <i val="true"/>
      <sz val="10"/>
      <color rgb="FF475467"/>
      <name val="WenQuanYi Zen Hei"/>
      <family val="2"/>
    </font>
    <font>
      <i val="true"/>
      <sz val="10"/>
      <color rgb="FF475467"/>
      <name val="맑은 고딕"/>
      <family val="0"/>
      <charset val="1"/>
    </font>
    <font>
      <b val="true"/>
      <sz val="10"/>
      <color rgb="FF000000"/>
      <name val="맑은 고딕"/>
      <family val="0"/>
      <charset val="1"/>
    </font>
    <font>
      <b val="true"/>
      <sz val="10"/>
      <color rgb="FF000000"/>
      <name val="WenQuanYi Zen Hei"/>
      <family val="2"/>
    </font>
    <font>
      <sz val="10"/>
      <color rgb="FF000000"/>
      <name val="맑은 고딕"/>
      <family val="0"/>
      <charset val="1"/>
    </font>
    <font>
      <sz val="10"/>
      <color rgb="FF000000"/>
      <name val="WenQuanYi Zen Hei"/>
      <family val="2"/>
    </font>
    <font>
      <b val="true"/>
      <sz val="10"/>
      <color rgb="FFFFFFFF"/>
      <name val="맑은 고딕"/>
      <family val="0"/>
      <charset val="1"/>
    </font>
    <font>
      <b val="true"/>
      <sz val="10"/>
      <color rgb="FFFFFFFF"/>
      <name val="WenQuanYi Zen Hei"/>
      <family val="2"/>
    </font>
    <font>
      <b val="true"/>
      <sz val="10"/>
      <color rgb="FFB54708"/>
      <name val="WenQuanYi Zen Hei"/>
      <family val="2"/>
    </font>
    <font>
      <b val="true"/>
      <sz val="10"/>
      <color rgb="FFD64545"/>
      <name val="WenQuanYi Zen Hei"/>
      <family val="2"/>
    </font>
    <font>
      <b val="true"/>
      <sz val="10"/>
      <color rgb="FF2E9E6B"/>
      <name val="WenQuanYi Zen Hei"/>
      <family val="2"/>
    </font>
    <font>
      <sz val="10"/>
      <color rgb="FF0000FF"/>
      <name val="맑은 고딕"/>
      <family val="0"/>
      <charset val="1"/>
    </font>
    <font>
      <sz val="9"/>
      <color rgb="FFB42318"/>
      <name val="맑은 고딕"/>
      <family val="0"/>
      <charset val="1"/>
    </font>
    <font>
      <b val="true"/>
      <sz val="9"/>
      <color rgb="FF000000"/>
      <name val="맑은 고딕"/>
      <family val="0"/>
      <charset val="1"/>
    </font>
    <font>
      <i val="true"/>
      <sz val="9"/>
      <color rgb="FF000000"/>
      <name val="맑은 고딕"/>
      <family val="0"/>
      <charset val="1"/>
    </font>
    <font>
      <b val="true"/>
      <sz val="9"/>
      <color rgb="FF000000"/>
      <name val="WenQuanYi Zen Hei"/>
      <family val="2"/>
    </font>
    <font>
      <sz val="8"/>
      <color rgb="FF7F7F7F"/>
      <name val="맑은 고딕"/>
      <family val="0"/>
      <charset val="1"/>
    </font>
    <font>
      <i val="true"/>
      <sz val="10"/>
      <color rgb="FF7F7F7F"/>
      <name val="맑은 고딕"/>
      <family val="0"/>
      <charset val="1"/>
    </font>
    <font>
      <i val="true"/>
      <sz val="10"/>
      <color rgb="FF7F7F7F"/>
      <name val="WenQuanYi Zen Hei"/>
      <family val="2"/>
    </font>
    <font>
      <sz val="10"/>
      <color rgb="FF98A2B3"/>
      <name val="맑은 고딕"/>
      <family val="0"/>
      <charset val="1"/>
    </font>
  </fonts>
  <fills count="11">
    <fill>
      <patternFill patternType="none"/>
    </fill>
    <fill>
      <patternFill patternType="gray125"/>
    </fill>
    <fill>
      <patternFill patternType="solid">
        <fgColor rgb="FFF2F4F7"/>
        <bgColor rgb="FFEAF3FB"/>
      </patternFill>
    </fill>
    <fill>
      <patternFill patternType="solid">
        <fgColor rgb="FF1D4E89"/>
        <bgColor rgb="FF475467"/>
      </patternFill>
    </fill>
    <fill>
      <patternFill patternType="solid">
        <fgColor rgb="FFEAF3FB"/>
        <bgColor rgb="FFF2F4F7"/>
      </patternFill>
    </fill>
    <fill>
      <patternFill patternType="solid">
        <fgColor rgb="FFFDECEA"/>
        <bgColor rgb="FFFEE4E2"/>
      </patternFill>
    </fill>
    <fill>
      <patternFill patternType="solid">
        <fgColor rgb="FFFFF9DB"/>
        <bgColor rgb="FFFEF0C7"/>
      </patternFill>
    </fill>
    <fill>
      <patternFill patternType="solid">
        <fgColor rgb="FFD1FADF"/>
        <bgColor rgb="FFEAF3FB"/>
      </patternFill>
    </fill>
    <fill>
      <patternFill patternType="solid">
        <fgColor rgb="FFFEF0C7"/>
        <bgColor rgb="FFFFF9DB"/>
      </patternFill>
    </fill>
    <fill>
      <patternFill patternType="solid">
        <fgColor rgb="FFFEE4E2"/>
        <bgColor rgb="FFFDECEA"/>
      </patternFill>
    </fill>
    <fill>
      <patternFill patternType="solid">
        <fgColor rgb="FFD6E6F7"/>
        <bgColor rgb="FFEAF3FB"/>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8" fillId="10" borderId="1" xfId="0" applyFont="true" applyBorder="true" applyAlignment="true" applyProtection="false">
      <alignment horizontal="center" vertical="center" textRotation="0" wrapText="true" indent="0" shrinkToFit="false"/>
      <protection locked="true" hidden="false"/>
    </xf>
    <xf numFmtId="164" fontId="19" fillId="10" borderId="1" xfId="0" applyFont="true" applyBorder="true" applyAlignment="true" applyProtection="false">
      <alignment horizontal="center" vertical="center" textRotation="0" wrapText="true" indent="0" shrinkToFit="false"/>
      <protection locked="true" hidden="false"/>
    </xf>
    <xf numFmtId="164" fontId="20" fillId="10" borderId="1" xfId="0" applyFont="true" applyBorder="true" applyAlignment="true" applyProtection="false">
      <alignment horizontal="center" vertical="center" textRotation="0" wrapText="tru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23" fillId="2" borderId="1" xfId="0" applyFont="true" applyBorder="true" applyAlignment="true" applyProtection="false">
      <alignment horizontal="center" vertical="center" textRotation="0" wrapText="true" indent="0" shrinkToFit="false"/>
      <protection locked="true" hidden="false"/>
    </xf>
    <xf numFmtId="164" fontId="24" fillId="2"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D4E8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AF3FB"/>
          <bgColor rgb="FF000000"/>
        </patternFill>
      </fill>
    </dxf>
    <dxf>
      <fill>
        <patternFill patternType="solid">
          <fgColor rgb="FFD1FADF"/>
          <bgColor rgb="FF000000"/>
        </patternFill>
      </fill>
    </dxf>
    <dxf>
      <fill>
        <patternFill patternType="solid">
          <fgColor rgb="FFFEE4E2"/>
          <bgColor rgb="FF000000"/>
        </patternFill>
      </fill>
    </dxf>
    <dxf>
      <fill>
        <patternFill patternType="solid">
          <fgColor rgb="FFFEF0C7"/>
          <bgColor rgb="FF000000"/>
        </patternFill>
      </fill>
    </dxf>
    <dxf>
      <fill>
        <patternFill patternType="solid">
          <fgColor rgb="FFFDECEA"/>
          <bgColor rgb="FF000000"/>
        </patternFill>
      </fill>
    </dxf>
    <dxf>
      <fill>
        <patternFill patternType="solid">
          <fgColor rgb="FFFFF9DB"/>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ECEA"/>
      <rgbColor rgb="FF7F7F7F"/>
      <rgbColor rgb="FF9999FF"/>
      <rgbColor rgb="FFD64545"/>
      <rgbColor rgb="FFFFF9DB"/>
      <rgbColor rgb="FFEAF3FB"/>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D6E6F7"/>
      <rgbColor rgb="FFD1FADF"/>
      <rgbColor rgb="FFFEF0C7"/>
      <rgbColor rgb="FFF2F4F7"/>
      <rgbColor rgb="FFFF99CC"/>
      <rgbColor rgb="FFCC99FF"/>
      <rgbColor rgb="FFFEE4E2"/>
      <rgbColor rgb="FF3366FF"/>
      <rgbColor rgb="FF33CCCC"/>
      <rgbColor rgb="FF99CC00"/>
      <rgbColor rgb="FFFFCC00"/>
      <rgbColor rgb="FFFF9900"/>
      <rgbColor rgb="FFFF6600"/>
      <rgbColor rgb="FF475467"/>
      <rgbColor rgb="FF98A2B3"/>
      <rgbColor rgb="FF003366"/>
      <rgbColor rgb="FF2E9E6B"/>
      <rgbColor rgb="FF101828"/>
      <rgbColor rgb="FF333300"/>
      <rgbColor rgb="FFB42318"/>
      <rgbColor rgb="FFB54708"/>
      <rgbColor rgb="FF1D4E8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145440</xdr:rowOff>
    </xdr:from>
    <xdr:to>
      <xdr:col>23</xdr:col>
      <xdr:colOff>222840</xdr:colOff>
      <xdr:row>59</xdr:row>
      <xdr:rowOff>2520</xdr:rowOff>
    </xdr:to>
    <xdr:pic>
      <xdr:nvPicPr>
        <xdr:cNvPr id="0" name="Image 1" descr="Picture"/>
        <xdr:cNvPicPr/>
      </xdr:nvPicPr>
      <xdr:blipFill>
        <a:blip r:embed="rId1"/>
        <a:stretch/>
      </xdr:blipFill>
      <xdr:spPr>
        <a:xfrm>
          <a:off x="0" y="571680"/>
          <a:ext cx="14287320" cy="1071540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drawing" Target="../drawings/drawing3.xml"/>
</Relationships>
</file>

<file path=xl/worksheets/_rels/sheet13.xml.rels><?xml version="1.0" encoding="UTF-8"?>
<Relationships xmlns="http://schemas.openxmlformats.org/package/2006/relationships"><Relationship Id="rId1" Type="http://schemas.openxmlformats.org/officeDocument/2006/relationships/drawing" Target="../drawings/drawing4.xml"/>
</Relationships>
</file>

<file path=xl/worksheets/_rels/sheet14.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0"/>
  </cols>
  <sheetData>
    <row r="1" customFormat="false" ht="19.4" hidden="false" customHeight="false" outlineLevel="0" collapsed="false">
      <c r="A1" s="1" t="s">
        <v>0</v>
      </c>
    </row>
    <row r="2" customFormat="false" ht="15" hidden="false" customHeight="false" outlineLevel="0" collapsed="false">
      <c r="A2" s="2" t="s">
        <v>1</v>
      </c>
    </row>
    <row r="4" customFormat="false" ht="36" hidden="false" customHeight="true" outlineLevel="0" collapsed="false">
      <c r="A4" s="3" t="s">
        <v>2</v>
      </c>
      <c r="B4" s="4" t="s">
        <v>3</v>
      </c>
    </row>
    <row r="5" customFormat="false" ht="36" hidden="false" customHeight="true" outlineLevel="0" collapsed="false">
      <c r="A5" s="5" t="s">
        <v>4</v>
      </c>
      <c r="B5" s="6" t="s">
        <v>5</v>
      </c>
    </row>
    <row r="6" customFormat="false" ht="36" hidden="false" customHeight="true" outlineLevel="0" collapsed="false">
      <c r="A6" s="5" t="s">
        <v>6</v>
      </c>
      <c r="B6" s="6" t="s">
        <v>7</v>
      </c>
    </row>
    <row r="7" customFormat="false" ht="36" hidden="false" customHeight="true" outlineLevel="0" collapsed="false">
      <c r="A7" s="5" t="s">
        <v>8</v>
      </c>
      <c r="B7" s="6" t="s">
        <v>9</v>
      </c>
    </row>
    <row r="8" customFormat="false" ht="36" hidden="false" customHeight="true" outlineLevel="0" collapsed="false">
      <c r="A8" s="5" t="s">
        <v>10</v>
      </c>
      <c r="B8" s="6" t="s">
        <v>11</v>
      </c>
    </row>
    <row r="9" customFormat="false" ht="36" hidden="false" customHeight="true" outlineLevel="0" collapsed="false">
      <c r="A9" s="5" t="s">
        <v>12</v>
      </c>
      <c r="B9" s="6" t="s">
        <v>13</v>
      </c>
    </row>
    <row r="10" customFormat="false" ht="36" hidden="false" customHeight="true" outlineLevel="0" collapsed="false">
      <c r="A10" s="5" t="s">
        <v>14</v>
      </c>
      <c r="B10" s="6" t="s">
        <v>15</v>
      </c>
    </row>
    <row r="11" customFormat="false" ht="36" hidden="false" customHeight="true" outlineLevel="0" collapsed="false">
      <c r="A11" s="5" t="s">
        <v>16</v>
      </c>
      <c r="B11" s="4" t="s">
        <v>17</v>
      </c>
    </row>
    <row r="12" customFormat="false" ht="36" hidden="false" customHeight="true" outlineLevel="0" collapsed="false">
      <c r="A12" s="5" t="s">
        <v>18</v>
      </c>
      <c r="B12" s="6" t="s">
        <v>19</v>
      </c>
    </row>
    <row r="13" customFormat="false" ht="36" hidden="false" customHeight="true" outlineLevel="0" collapsed="false">
      <c r="A13" s="5" t="s">
        <v>20</v>
      </c>
      <c r="B13" s="6" t="s">
        <v>21</v>
      </c>
    </row>
    <row r="14" customFormat="false" ht="36" hidden="false" customHeight="true" outlineLevel="0" collapsed="false">
      <c r="A14" s="5" t="s">
        <v>22</v>
      </c>
      <c r="B14"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22"/>
    <col collapsed="false" customWidth="true" hidden="false" outlineLevel="0" max="4" min="4" style="0" width="70"/>
    <col collapsed="false" customWidth="true" hidden="false" outlineLevel="0" max="5" min="5" style="0" width="16"/>
    <col collapsed="false" customWidth="true" hidden="false" outlineLevel="0" max="7" min="6" style="0" width="60"/>
  </cols>
  <sheetData>
    <row r="1" customFormat="false" ht="19.4" hidden="false" customHeight="false" outlineLevel="0" collapsed="false">
      <c r="A1" s="7" t="s">
        <v>24</v>
      </c>
    </row>
    <row r="2" customFormat="false" ht="15" hidden="false" customHeight="false" outlineLevel="0" collapsed="false">
      <c r="A2" s="2" t="s">
        <v>25</v>
      </c>
    </row>
    <row r="4" customFormat="false" ht="15" hidden="false" customHeight="false" outlineLevel="0" collapsed="false">
      <c r="A4" s="8" t="s">
        <v>26</v>
      </c>
      <c r="B4" s="9" t="s">
        <v>27</v>
      </c>
      <c r="C4" s="9" t="s">
        <v>28</v>
      </c>
      <c r="D4" s="9" t="s">
        <v>29</v>
      </c>
      <c r="E4" s="9" t="s">
        <v>30</v>
      </c>
      <c r="F4" s="9" t="s">
        <v>31</v>
      </c>
      <c r="G4" s="9" t="s">
        <v>32</v>
      </c>
    </row>
    <row r="5" customFormat="false" ht="94.5" hidden="false" customHeight="true" outlineLevel="0" collapsed="false">
      <c r="A5" s="4" t="s">
        <v>33</v>
      </c>
      <c r="B5" s="10" t="s">
        <v>34</v>
      </c>
      <c r="C5" s="6" t="s">
        <v>35</v>
      </c>
      <c r="D5" s="6" t="s">
        <v>36</v>
      </c>
      <c r="E5" s="4" t="s">
        <v>37</v>
      </c>
      <c r="F5" s="11" t="str">
        <f aca="false">IFERROR(INDEX(인용근거!$E$5:$E$76,MATCH(LEFT(E5,3),인용근거!$A$5:$A$76,0)),"")</f>
        <v>In essence, a process represents a cohesive set of interrelated or interacting activities to transform inputs into outputs</v>
      </c>
      <c r="G5" s="6" t="s">
        <v>38</v>
      </c>
    </row>
    <row r="6" customFormat="false" ht="94.5" hidden="false" customHeight="true" outlineLevel="0" collapsed="false">
      <c r="A6" s="4" t="s">
        <v>39</v>
      </c>
      <c r="B6" s="10" t="s">
        <v>40</v>
      </c>
      <c r="C6" s="6" t="s">
        <v>41</v>
      </c>
      <c r="D6" s="4" t="s">
        <v>42</v>
      </c>
      <c r="E6" s="4" t="s">
        <v>43</v>
      </c>
      <c r="F6" s="11" t="str">
        <f aca="false">IFERROR(INDEX(인용근거!$E$5:$E$76,MATCH(LEFT(E6,3),인용근거!$A$5:$A$76,0)),"")</f>
        <v>The individuals with filled-in slots represent the key BCM artefacts, mostly documents, of the BCMO related knowledge base.</v>
      </c>
      <c r="G6" s="6" t="s">
        <v>44</v>
      </c>
    </row>
    <row r="7" customFormat="false" ht="94.5" hidden="false" customHeight="true" outlineLevel="0" collapsed="false">
      <c r="A7" s="4" t="s">
        <v>45</v>
      </c>
      <c r="B7" s="10" t="s">
        <v>46</v>
      </c>
      <c r="C7" s="12" t="s">
        <v>47</v>
      </c>
      <c r="D7" s="12" t="s">
        <v>48</v>
      </c>
      <c r="E7" s="4" t="s">
        <v>49</v>
      </c>
      <c r="F7" s="11" t="str">
        <f aca="false">IFERROR(INDEX(인용근거!$E$5:$E$76,MATCH(LEFT(E7,3),인용근거!$A$5:$A$76,0)),"")</f>
        <v>A process reference model should delineate the interconnections among the processes outlined within it.</v>
      </c>
      <c r="G7" s="6" t="s">
        <v>50</v>
      </c>
    </row>
    <row r="8" customFormat="false" ht="94.5" hidden="false" customHeight="true" outlineLevel="0" collapsed="false">
      <c r="A8" s="4" t="s">
        <v>51</v>
      </c>
      <c r="B8" s="10" t="s">
        <v>52</v>
      </c>
      <c r="C8" s="12" t="s">
        <v>53</v>
      </c>
      <c r="D8" s="12" t="s">
        <v>54</v>
      </c>
      <c r="E8" s="4" t="s">
        <v>55</v>
      </c>
      <c r="F8" s="11" t="str">
        <f aca="false">IFERROR(INDEX(인용근거!$E$5:$E$76,MATCH(LEFT(E8,3),인용근거!$A$5:$A$76,0)),"")</f>
        <v>Activities utilizing resources must be managed to convert inputs into outputs through a series of interconnected or interacting activities, also called processes</v>
      </c>
      <c r="G8" s="6" t="s">
        <v>56</v>
      </c>
    </row>
    <row r="9" customFormat="false" ht="94.5" hidden="false" customHeight="true" outlineLevel="0" collapsed="false">
      <c r="A9" s="4" t="s">
        <v>57</v>
      </c>
      <c r="B9" s="10" t="s">
        <v>58</v>
      </c>
      <c r="C9" s="12" t="s">
        <v>47</v>
      </c>
      <c r="D9" s="12" t="s">
        <v>59</v>
      </c>
      <c r="E9" s="4" t="s">
        <v>60</v>
      </c>
      <c r="F9" s="4" t="s">
        <v>61</v>
      </c>
      <c r="G9" s="6" t="s">
        <v>62</v>
      </c>
    </row>
    <row r="10" customFormat="false" ht="94.5" hidden="false" customHeight="true" outlineLevel="0" collapsed="false">
      <c r="A10" s="4" t="s">
        <v>63</v>
      </c>
      <c r="B10" s="13" t="s">
        <v>64</v>
      </c>
      <c r="C10" s="12" t="s">
        <v>65</v>
      </c>
      <c r="D10" s="12" t="s">
        <v>66</v>
      </c>
      <c r="E10" s="4" t="s">
        <v>67</v>
      </c>
      <c r="F10" s="11" t="str">
        <f aca="false">IFERROR(INDEX(인용근거!$E$5:$E$76,MATCH(LEFT(E10,3),인용근거!$A$5:$A$76,0)),"")</f>
        <v>i.e. relationships between an individual member of the given class (the object) and other individuals</v>
      </c>
      <c r="G10" s="4" t="s">
        <v>68</v>
      </c>
    </row>
    <row r="11" customFormat="false" ht="94.5" hidden="false" customHeight="true" outlineLevel="0" collapsed="false">
      <c r="A11" s="4" t="s">
        <v>69</v>
      </c>
      <c r="B11" s="10" t="s">
        <v>70</v>
      </c>
      <c r="C11" s="12" t="s">
        <v>47</v>
      </c>
      <c r="D11" s="12" t="s">
        <v>71</v>
      </c>
      <c r="E11" s="4" t="s">
        <v>72</v>
      </c>
      <c r="F11" s="11" t="str">
        <f aca="false">IFERROR(INDEX(인용근거!$E$5:$E$76,MATCH(LEFT(E11,3),인용근거!$A$5:$A$76,0)),"")</f>
        <v>These requirements inform processes such as business impact assessment and criticality analysis, risk assessment, internal audits, and supply chain management.</v>
      </c>
      <c r="G11" s="6" t="s">
        <v>73</v>
      </c>
    </row>
    <row r="12" customFormat="false" ht="94.5" hidden="false" customHeight="true" outlineLevel="0" collapsed="false">
      <c r="A12" s="4" t="s">
        <v>74</v>
      </c>
      <c r="B12" s="10" t="s">
        <v>75</v>
      </c>
      <c r="C12" s="12" t="s">
        <v>76</v>
      </c>
      <c r="D12" s="12" t="s">
        <v>77</v>
      </c>
      <c r="E12" s="4" t="s">
        <v>78</v>
      </c>
      <c r="F12" s="11" t="str">
        <f aca="false">IFERROR(INDEX(인용근거!$E$5:$E$76,MATCH(LEFT(E12,3),인용근거!$A$5:$A$76,0)),"")</f>
        <v>The business continuity governance process, in particular, ensures that the BCMS matches the goals and requirements of the stakeholders responsible for oversight.</v>
      </c>
      <c r="G12" s="6" t="s">
        <v>79</v>
      </c>
    </row>
    <row r="13" customFormat="false" ht="94.5" hidden="false" customHeight="true" outlineLevel="0" collapsed="false">
      <c r="A13" s="4" t="s">
        <v>80</v>
      </c>
      <c r="B13" s="10" t="s">
        <v>81</v>
      </c>
      <c r="C13" s="12" t="s">
        <v>76</v>
      </c>
      <c r="D13" s="12" t="s">
        <v>82</v>
      </c>
      <c r="E13" s="4" t="s">
        <v>60</v>
      </c>
      <c r="F13" s="4" t="s">
        <v>61</v>
      </c>
      <c r="G13" s="6" t="s">
        <v>83</v>
      </c>
    </row>
    <row r="14" customFormat="false" ht="94.5" hidden="false" customHeight="true" outlineLevel="0" collapsed="false">
      <c r="A14" s="4" t="s">
        <v>84</v>
      </c>
      <c r="B14" s="10" t="s">
        <v>85</v>
      </c>
      <c r="C14" s="12" t="s">
        <v>76</v>
      </c>
      <c r="D14" s="12" t="s">
        <v>86</v>
      </c>
      <c r="E14" s="4" t="s">
        <v>87</v>
      </c>
      <c r="F14" s="11" t="str">
        <f aca="false">IFERROR(INDEX(인용근거!$E$5:$E$76,MATCH(LEFT(E14,3),인용근거!$A$5:$A$76,0)),"")</f>
        <v>results and records (used as evidences during BCMS certification)</v>
      </c>
      <c r="G14" s="4" t="s">
        <v>88</v>
      </c>
    </row>
    <row r="15" customFormat="false" ht="94.5" hidden="false" customHeight="true" outlineLevel="0" collapsed="false">
      <c r="A15" s="4" t="s">
        <v>89</v>
      </c>
      <c r="B15" s="10" t="s">
        <v>90</v>
      </c>
      <c r="C15" s="12" t="s">
        <v>76</v>
      </c>
      <c r="D15" s="12" t="s">
        <v>91</v>
      </c>
      <c r="E15" s="4" t="s">
        <v>92</v>
      </c>
      <c r="F15" s="11" t="str">
        <f aca="false">IFERROR(INDEX(인용근거!$E$5:$E$76,MATCH(LEFT(E15,3),인용근거!$A$5:$A$76,0)),"")</f>
        <v>This means that the business continuity manager is accountable for the whole process.</v>
      </c>
      <c r="G15" s="4" t="s">
        <v>93</v>
      </c>
    </row>
    <row r="16" customFormat="false" ht="94.5" hidden="false" customHeight="true" outlineLevel="0" collapsed="false">
      <c r="A16" s="4" t="s">
        <v>94</v>
      </c>
      <c r="B16" s="10" t="s">
        <v>95</v>
      </c>
      <c r="C16" s="12" t="s">
        <v>76</v>
      </c>
      <c r="D16" s="12" t="s">
        <v>96</v>
      </c>
      <c r="E16" s="4" t="s">
        <v>97</v>
      </c>
      <c r="F16" s="11" t="str">
        <f aca="false">IFERROR(INDEX(인용근거!$E$5:$E$76,MATCH(LEFT(E16,3),인용근거!$A$5:$A$76,0)),"")</f>
        <v>The process of controlling documented information involves identifying, creating, updating, and controlling information essential for the effectiveness of the BCMS.</v>
      </c>
      <c r="G16" s="4" t="s">
        <v>98</v>
      </c>
    </row>
    <row r="17" customFormat="false" ht="94.5" hidden="false" customHeight="true" outlineLevel="0" collapsed="false">
      <c r="A17" s="4" t="s">
        <v>99</v>
      </c>
      <c r="B17" s="10" t="s">
        <v>100</v>
      </c>
      <c r="C17" s="12" t="s">
        <v>76</v>
      </c>
      <c r="D17" s="12" t="s">
        <v>101</v>
      </c>
      <c r="E17" s="4" t="s">
        <v>102</v>
      </c>
      <c r="F17" s="11" t="str">
        <f aca="false">IFERROR(INDEX(인용근거!$E$5:$E$76,MATCH(LEFT(E17,3),인용근거!$A$5:$A$76,0)),"")</f>
        <v>The process of exercising BC plans and procedures ensures that BC strategies and solutions and their corresponding BC plans and procedures, including warning and communication procedures, are tested regularly to validate their effectiveness and prompt any necessary adjustments or enhancements.</v>
      </c>
      <c r="G17" s="6" t="s">
        <v>103</v>
      </c>
    </row>
    <row r="18" customFormat="false" ht="94.5" hidden="false" customHeight="true" outlineLevel="0" collapsed="false">
      <c r="A18" s="4" t="s">
        <v>104</v>
      </c>
      <c r="B18" s="10" t="s">
        <v>105</v>
      </c>
      <c r="C18" s="12" t="s">
        <v>47</v>
      </c>
      <c r="D18" s="14" t="s">
        <v>106</v>
      </c>
      <c r="E18" s="4" t="s">
        <v>60</v>
      </c>
      <c r="F18" s="4" t="s">
        <v>61</v>
      </c>
      <c r="G18" s="6" t="s">
        <v>107</v>
      </c>
    </row>
    <row r="19" customFormat="false" ht="94.5" hidden="false" customHeight="true" outlineLevel="0" collapsed="false">
      <c r="A19" s="4" t="s">
        <v>108</v>
      </c>
      <c r="B19" s="10" t="s">
        <v>109</v>
      </c>
      <c r="C19" s="12" t="s">
        <v>47</v>
      </c>
      <c r="D19" s="14" t="s">
        <v>110</v>
      </c>
      <c r="E19" s="4" t="s">
        <v>60</v>
      </c>
      <c r="F19" s="4" t="s">
        <v>61</v>
      </c>
      <c r="G19" s="6" t="s">
        <v>111</v>
      </c>
    </row>
    <row r="20" customFormat="false" ht="94.5" hidden="false" customHeight="true" outlineLevel="0" collapsed="false">
      <c r="A20" s="4" t="s">
        <v>112</v>
      </c>
      <c r="B20" s="10" t="s">
        <v>113</v>
      </c>
      <c r="C20" s="12" t="s">
        <v>114</v>
      </c>
      <c r="D20" s="12" t="s">
        <v>115</v>
      </c>
      <c r="E20" s="4" t="s">
        <v>60</v>
      </c>
      <c r="F20" s="4" t="s">
        <v>61</v>
      </c>
      <c r="G20" s="4" t="s">
        <v>116</v>
      </c>
    </row>
    <row r="21" customFormat="false" ht="94.5" hidden="false" customHeight="true" outlineLevel="0" collapsed="false">
      <c r="A21" s="4" t="s">
        <v>117</v>
      </c>
      <c r="B21" s="10" t="s">
        <v>118</v>
      </c>
      <c r="C21" s="12" t="s">
        <v>47</v>
      </c>
      <c r="D21" s="14" t="s">
        <v>119</v>
      </c>
      <c r="E21" s="4" t="s">
        <v>120</v>
      </c>
      <c r="F21" s="11" t="str">
        <f aca="false">IFERROR(INDEX(인용근거!$E$5:$E$76,MATCH(LEFT(E21,3),인용근거!$A$5:$A$76,0)),"")</f>
        <v>The outcomes of nearly all BCMS processes are communicated centrally to stakeholders external to the BCMS as part of the consultation and communication process.</v>
      </c>
      <c r="G21" s="6" t="s">
        <v>121</v>
      </c>
    </row>
    <row r="22" customFormat="false" ht="94.5" hidden="false" customHeight="true" outlineLevel="0" collapsed="false">
      <c r="A22" s="4" t="s">
        <v>122</v>
      </c>
      <c r="B22" s="13" t="s">
        <v>123</v>
      </c>
      <c r="C22" s="6" t="s">
        <v>124</v>
      </c>
      <c r="D22" s="6" t="s">
        <v>125</v>
      </c>
      <c r="E22" s="4" t="s">
        <v>126</v>
      </c>
      <c r="F22" s="11" t="str">
        <f aca="false">IFERROR(INDEX(인용근거!$E$5:$E$76,MATCH(LEFT(E22,3),인용근거!$A$5:$A$76,0)),"")</f>
        <v>The ontology domain questions that the ontology related knowledge base is able to answer are called competency questions</v>
      </c>
      <c r="G22" s="6" t="s">
        <v>127</v>
      </c>
    </row>
    <row r="23" customFormat="false" ht="94.5" hidden="false" customHeight="true" outlineLevel="0" collapsed="false">
      <c r="A23" s="4" t="s">
        <v>128</v>
      </c>
      <c r="B23" s="13" t="s">
        <v>129</v>
      </c>
      <c r="C23" s="12" t="s">
        <v>130</v>
      </c>
      <c r="D23" s="12" t="s">
        <v>131</v>
      </c>
      <c r="E23" s="4" t="s">
        <v>132</v>
      </c>
      <c r="F23" s="11" t="str">
        <f aca="false">IFERROR(INDEX(인용근거!$E$5:$E$76,MATCH(LEFT(E23,3),인용근거!$A$5:$A$76,0)),"")</f>
        <v>i.e. relationships between an individual member of the given class (the object) and other individuals</v>
      </c>
      <c r="G23" s="4" t="s">
        <v>133</v>
      </c>
    </row>
    <row r="24" customFormat="false" ht="94.5" hidden="false" customHeight="true" outlineLevel="0" collapsed="false">
      <c r="A24" s="4" t="s">
        <v>134</v>
      </c>
      <c r="B24" s="10" t="s">
        <v>135</v>
      </c>
      <c r="C24" s="12" t="s">
        <v>130</v>
      </c>
      <c r="D24" s="12" t="s">
        <v>136</v>
      </c>
      <c r="E24" s="4" t="s">
        <v>60</v>
      </c>
      <c r="F24" s="4" t="s">
        <v>61</v>
      </c>
      <c r="G24" s="6" t="s">
        <v>137</v>
      </c>
    </row>
    <row r="25" customFormat="false" ht="94.5" hidden="false" customHeight="true" outlineLevel="0" collapsed="false">
      <c r="A25" s="4" t="s">
        <v>138</v>
      </c>
      <c r="B25" s="10" t="s">
        <v>139</v>
      </c>
      <c r="C25" s="12" t="s">
        <v>47</v>
      </c>
      <c r="D25" s="12" t="s">
        <v>140</v>
      </c>
      <c r="E25" s="4" t="s">
        <v>60</v>
      </c>
      <c r="F25" s="4" t="s">
        <v>61</v>
      </c>
      <c r="G25" s="4"/>
    </row>
    <row r="26" customFormat="false" ht="94.5" hidden="false" customHeight="true" outlineLevel="0" collapsed="false">
      <c r="A26" s="4" t="s">
        <v>141</v>
      </c>
      <c r="B26" s="10" t="s">
        <v>142</v>
      </c>
      <c r="C26" s="6" t="s">
        <v>143</v>
      </c>
      <c r="D26" s="6" t="s">
        <v>144</v>
      </c>
      <c r="E26" s="4" t="s">
        <v>145</v>
      </c>
      <c r="F26" s="11" t="str">
        <f aca="false">IFERROR(INDEX(인용근거!$E$5:$E$76,MATCH(LEFT(E26,3),인용근거!$A$5:$A$76,0)),"")</f>
        <v>According to [32,33], the 80% threshold for consensus is commonly used and generally perceived as fair.</v>
      </c>
      <c r="G26" s="4" t="s">
        <v>146</v>
      </c>
    </row>
    <row r="27" customFormat="false" ht="94.5" hidden="false" customHeight="true" outlineLevel="0" collapsed="false">
      <c r="A27" s="4" t="s">
        <v>147</v>
      </c>
      <c r="B27" s="13" t="s">
        <v>148</v>
      </c>
      <c r="C27" s="12" t="s">
        <v>149</v>
      </c>
      <c r="D27" s="12" t="s">
        <v>150</v>
      </c>
      <c r="E27" s="4" t="s">
        <v>60</v>
      </c>
      <c r="F27" s="4" t="s">
        <v>61</v>
      </c>
      <c r="G27" s="6" t="s">
        <v>151</v>
      </c>
    </row>
    <row r="28" customFormat="false" ht="94.5" hidden="false" customHeight="true" outlineLevel="0" collapsed="false">
      <c r="A28" s="4" t="s">
        <v>152</v>
      </c>
      <c r="B28" s="13" t="s">
        <v>153</v>
      </c>
      <c r="C28" s="12" t="s">
        <v>47</v>
      </c>
      <c r="D28" s="12" t="s">
        <v>154</v>
      </c>
      <c r="E28" s="4" t="s">
        <v>155</v>
      </c>
      <c r="F28" s="11" t="str">
        <f aca="false">IFERROR(INDEX(인용근거!$E$5:$E$76,MATCH(LEFT(E28,3),인용근거!$A$5:$A$76,0)),"")</f>
        <v>compliant with the BS 25999 standard</v>
      </c>
      <c r="G28"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2"/>
    <col collapsed="false" customWidth="true" hidden="false" outlineLevel="0" max="4" min="4" style="0" width="16"/>
    <col collapsed="false" customWidth="true" hidden="false" outlineLevel="0" max="5" min="5" style="0" width="36"/>
    <col collapsed="false" customWidth="true" hidden="false" outlineLevel="0" max="6" min="6" style="0" width="44"/>
    <col collapsed="false" customWidth="true" hidden="false" outlineLevel="0" max="7" min="7" style="0" width="46"/>
    <col collapsed="false" customWidth="true" hidden="false" outlineLevel="0" max="8" min="8" style="0" width="9"/>
    <col collapsed="false" customWidth="true" hidden="false" outlineLevel="0" max="9" min="9" style="0" width="18"/>
    <col collapsed="false" customWidth="true" hidden="false" outlineLevel="0" max="10" min="10" style="0" width="60"/>
    <col collapsed="false" customWidth="true" hidden="false" outlineLevel="0" max="11" min="11" style="0" width="9"/>
    <col collapsed="false" customWidth="true" hidden="false" outlineLevel="0" max="12" min="12" style="0" width="60"/>
    <col collapsed="false" customWidth="true" hidden="false" outlineLevel="0" max="13" min="13" style="0" width="16"/>
    <col collapsed="false" customWidth="true" hidden="false" outlineLevel="0" max="14" min="14" style="0" width="50"/>
    <col collapsed="false" customWidth="true" hidden="false" outlineLevel="0" max="15" min="15" style="0" width="40"/>
  </cols>
  <sheetData>
    <row r="1" customFormat="false" ht="19.4" hidden="false" customHeight="false" outlineLevel="0" collapsed="false">
      <c r="A1" s="7" t="s">
        <v>156</v>
      </c>
    </row>
    <row r="2" customFormat="false" ht="15" hidden="false" customHeight="false" outlineLevel="0" collapsed="false">
      <c r="A2" s="2" t="s">
        <v>157</v>
      </c>
    </row>
    <row r="4" customFormat="false" ht="26.85" hidden="false" customHeight="false" outlineLevel="0" collapsed="false">
      <c r="A4" s="9" t="s">
        <v>158</v>
      </c>
      <c r="B4" s="9" t="s">
        <v>159</v>
      </c>
      <c r="C4" s="9" t="s">
        <v>160</v>
      </c>
      <c r="D4" s="9" t="s">
        <v>161</v>
      </c>
      <c r="E4" s="9" t="s">
        <v>162</v>
      </c>
      <c r="F4" s="9" t="s">
        <v>163</v>
      </c>
      <c r="G4" s="9" t="s">
        <v>164</v>
      </c>
      <c r="H4" s="9" t="s">
        <v>165</v>
      </c>
      <c r="I4" s="8" t="s">
        <v>166</v>
      </c>
      <c r="J4" s="8" t="s">
        <v>167</v>
      </c>
      <c r="K4" s="8" t="s">
        <v>168</v>
      </c>
      <c r="L4" s="8" t="s">
        <v>169</v>
      </c>
      <c r="M4" s="8" t="s">
        <v>170</v>
      </c>
      <c r="N4" s="8" t="s">
        <v>171</v>
      </c>
      <c r="O4" s="9" t="s">
        <v>172</v>
      </c>
    </row>
    <row r="5" customFormat="false" ht="150" hidden="false" customHeight="true" outlineLevel="0" collapsed="false">
      <c r="A5" s="4" t="n">
        <v>1</v>
      </c>
      <c r="B5" s="4" t="s">
        <v>173</v>
      </c>
      <c r="C5" s="10" t="s">
        <v>75</v>
      </c>
      <c r="D5" s="4" t="s">
        <v>174</v>
      </c>
      <c r="E5" s="6" t="s">
        <v>175</v>
      </c>
      <c r="F5" s="12" t="s">
        <v>176</v>
      </c>
      <c r="G5" s="14" t="s">
        <v>177</v>
      </c>
      <c r="H5" s="15" t="n">
        <f aca="false">SUM(적용매트릭스!B5:B35)</f>
        <v>31</v>
      </c>
      <c r="I5" s="4" t="s">
        <v>78</v>
      </c>
      <c r="J5" s="11" t="str">
        <f aca="false">IFERROR(INDEX(인용근거!$E$5:$E$76,MATCH("A33",인용근거!$A$5:$A$76,0)),"두 논문에 직접 근거 없음")</f>
        <v>The business continuity governance process, in particular, ensures that the BCMS matches the goals and requirements of the stakeholders responsible for oversight.</v>
      </c>
      <c r="K5" s="16" t="s">
        <v>178</v>
      </c>
      <c r="L5" s="17" t="s">
        <v>179</v>
      </c>
      <c r="M5" s="4" t="s">
        <v>180</v>
      </c>
      <c r="N5" s="6" t="s">
        <v>181</v>
      </c>
      <c r="O5" s="12" t="s">
        <v>182</v>
      </c>
    </row>
    <row r="6" customFormat="false" ht="150" hidden="false" customHeight="true" outlineLevel="0" collapsed="false">
      <c r="A6" s="4" t="n">
        <v>2</v>
      </c>
      <c r="B6" s="4" t="s">
        <v>183</v>
      </c>
      <c r="C6" s="10" t="s">
        <v>81</v>
      </c>
      <c r="D6" s="4" t="s">
        <v>184</v>
      </c>
      <c r="E6" s="6" t="s">
        <v>185</v>
      </c>
      <c r="F6" s="12" t="s">
        <v>186</v>
      </c>
      <c r="G6" s="14" t="s">
        <v>187</v>
      </c>
      <c r="H6" s="15" t="n">
        <f aca="false">SUM(적용매트릭스!C5:C35)</f>
        <v>31</v>
      </c>
      <c r="I6" s="4" t="s">
        <v>188</v>
      </c>
      <c r="J6" s="11" t="str">
        <f aca="false">IFERROR(INDEX(인용근거!$E$5:$E$76,MATCH("A13",인용근거!$A$5:$A$76,0)),"두 논문에 직접 근거 없음")</f>
        <v>The final result is a documented statement accompanied by a rationale outlining the organization's business continuity requirements.</v>
      </c>
      <c r="K6" s="18" t="s">
        <v>189</v>
      </c>
      <c r="L6" s="17" t="s">
        <v>190</v>
      </c>
      <c r="M6" s="4" t="s">
        <v>191</v>
      </c>
      <c r="N6" s="6" t="s">
        <v>192</v>
      </c>
      <c r="O6" s="12" t="s">
        <v>193</v>
      </c>
    </row>
    <row r="7" customFormat="false" ht="150" hidden="false" customHeight="true" outlineLevel="0" collapsed="false">
      <c r="A7" s="4" t="n">
        <v>3</v>
      </c>
      <c r="B7" s="4" t="s">
        <v>194</v>
      </c>
      <c r="C7" s="10" t="s">
        <v>85</v>
      </c>
      <c r="D7" s="4" t="s">
        <v>195</v>
      </c>
      <c r="E7" s="6" t="s">
        <v>196</v>
      </c>
      <c r="F7" s="12" t="s">
        <v>197</v>
      </c>
      <c r="G7" s="14" t="s">
        <v>198</v>
      </c>
      <c r="H7" s="15" t="n">
        <f aca="false">SUM(적용매트릭스!D5:D35)</f>
        <v>31</v>
      </c>
      <c r="I7" s="4" t="s">
        <v>87</v>
      </c>
      <c r="J7" s="11" t="str">
        <f aca="false">IFERROR(INDEX(인용근거!$E$5:$E$76,MATCH("B17",인용근거!$A$5:$A$76,0)),"두 논문에 직접 근거 없음")</f>
        <v>results and records (used as evidences during BCMS certification)</v>
      </c>
      <c r="K7" s="16" t="s">
        <v>178</v>
      </c>
      <c r="L7" s="11" t="s">
        <v>199</v>
      </c>
      <c r="M7" s="4" t="s">
        <v>200</v>
      </c>
      <c r="N7" s="6" t="s">
        <v>201</v>
      </c>
      <c r="O7" s="12" t="s">
        <v>202</v>
      </c>
    </row>
    <row r="8" customFormat="false" ht="150" hidden="false" customHeight="true" outlineLevel="0" collapsed="false">
      <c r="A8" s="4" t="n">
        <v>4</v>
      </c>
      <c r="B8" s="4" t="s">
        <v>203</v>
      </c>
      <c r="C8" s="10" t="s">
        <v>90</v>
      </c>
      <c r="D8" s="4" t="s">
        <v>204</v>
      </c>
      <c r="E8" s="6" t="s">
        <v>205</v>
      </c>
      <c r="F8" s="12" t="s">
        <v>206</v>
      </c>
      <c r="G8" s="14" t="s">
        <v>207</v>
      </c>
      <c r="H8" s="15" t="n">
        <f aca="false">SUM(적용매트릭스!E5:E35)</f>
        <v>31</v>
      </c>
      <c r="I8" s="4" t="s">
        <v>92</v>
      </c>
      <c r="J8" s="11" t="str">
        <f aca="false">IFERROR(INDEX(인용근거!$E$5:$E$76,MATCH("A49",인용근거!$A$5:$A$76,0)),"두 논문에 직접 근거 없음")</f>
        <v>This means that the business continuity manager is accountable for the whole process.</v>
      </c>
      <c r="K8" s="16" t="s">
        <v>178</v>
      </c>
      <c r="L8" s="11" t="s">
        <v>208</v>
      </c>
      <c r="M8" s="4" t="s">
        <v>209</v>
      </c>
      <c r="N8" s="6" t="s">
        <v>210</v>
      </c>
      <c r="O8" s="12" t="s">
        <v>211</v>
      </c>
    </row>
    <row r="9" customFormat="false" ht="150" hidden="false" customHeight="true" outlineLevel="0" collapsed="false">
      <c r="A9" s="4" t="n">
        <v>5</v>
      </c>
      <c r="B9" s="4" t="s">
        <v>212</v>
      </c>
      <c r="C9" s="10" t="s">
        <v>95</v>
      </c>
      <c r="D9" s="4" t="s">
        <v>213</v>
      </c>
      <c r="E9" s="6" t="s">
        <v>214</v>
      </c>
      <c r="F9" s="12" t="s">
        <v>215</v>
      </c>
      <c r="G9" s="14" t="s">
        <v>216</v>
      </c>
      <c r="H9" s="15" t="n">
        <f aca="false">SUM(적용매트릭스!F5:F35)</f>
        <v>31</v>
      </c>
      <c r="I9" s="4" t="s">
        <v>97</v>
      </c>
      <c r="J9" s="11" t="str">
        <f aca="false">IFERROR(INDEX(인용근거!$E$5:$E$76,MATCH("A41",인용근거!$A$5:$A$76,0)),"두 논문에 직접 근거 없음")</f>
        <v>The process of controlling documented information involves identifying, creating, updating, and controlling information essential for the effectiveness of the BCMS.</v>
      </c>
      <c r="K9" s="16" t="s">
        <v>178</v>
      </c>
      <c r="L9" s="11" t="s">
        <v>217</v>
      </c>
      <c r="M9" s="4" t="s">
        <v>218</v>
      </c>
      <c r="N9" s="6" t="s">
        <v>219</v>
      </c>
      <c r="O9" s="14" t="s">
        <v>220</v>
      </c>
    </row>
    <row r="10" customFormat="false" ht="150" hidden="false" customHeight="true" outlineLevel="0" collapsed="false">
      <c r="A10" s="4" t="n">
        <v>6</v>
      </c>
      <c r="B10" s="4" t="s">
        <v>221</v>
      </c>
      <c r="C10" s="10" t="s">
        <v>100</v>
      </c>
      <c r="D10" s="4" t="s">
        <v>222</v>
      </c>
      <c r="E10" s="6" t="s">
        <v>223</v>
      </c>
      <c r="F10" s="12" t="s">
        <v>224</v>
      </c>
      <c r="G10" s="14" t="s">
        <v>225</v>
      </c>
      <c r="H10" s="15" t="n">
        <f aca="false">SUM(적용매트릭스!G5:G35)</f>
        <v>8</v>
      </c>
      <c r="I10" s="4" t="s">
        <v>102</v>
      </c>
      <c r="J10" s="11" t="str">
        <f aca="false">IFERROR(INDEX(인용근거!$E$5:$E$76,MATCH("A23",인용근거!$A$5:$A$76,0)),"두 논문에 직접 근거 없음")</f>
        <v>The process of exercising BC plans and procedures ensures that BC strategies and solutions and their corresponding BC plans and procedures, including warning and communication procedures, are tested regularly to validate their effectiveness and prompt any necessary adjustments or enhancements.</v>
      </c>
      <c r="K10" s="19" t="s">
        <v>226</v>
      </c>
      <c r="L10" s="17" t="s">
        <v>227</v>
      </c>
      <c r="M10" s="4" t="s">
        <v>228</v>
      </c>
      <c r="N10" s="6" t="s">
        <v>229</v>
      </c>
      <c r="O10" s="12"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70"/>
    <col collapsed="false" customWidth="true" hidden="false" outlineLevel="0" max="4" min="4" style="0" width="7"/>
    <col collapsed="false" customWidth="true" hidden="false" outlineLevel="0" max="5" min="5" style="0" width="16"/>
    <col collapsed="false" customWidth="true" hidden="false" outlineLevel="0" max="6" min="6" style="0" width="60"/>
    <col collapsed="false" customWidth="true" hidden="false" outlineLevel="0" max="7" min="7" style="0" width="22"/>
    <col collapsed="false" customWidth="true" hidden="false" outlineLevel="0" max="8" min="8" style="0" width="34"/>
    <col collapsed="false" customWidth="true" hidden="false" outlineLevel="0" max="9" min="9" style="0" width="36"/>
    <col collapsed="false" customWidth="true" hidden="false" outlineLevel="0" max="10" min="10" style="0" width="14"/>
    <col collapsed="false" customWidth="true" hidden="false" outlineLevel="0" max="11" min="11" style="0" width="60"/>
    <col collapsed="false" customWidth="true" hidden="false" outlineLevel="0" max="12" min="12" style="0" width="12"/>
  </cols>
  <sheetData>
    <row r="1" customFormat="false" ht="19.4" hidden="false" customHeight="false" outlineLevel="0" collapsed="false">
      <c r="A1" s="7" t="s">
        <v>231</v>
      </c>
    </row>
    <row r="2" customFormat="false" ht="15" hidden="false" customHeight="false" outlineLevel="0" collapsed="false">
      <c r="A2" s="2" t="s">
        <v>232</v>
      </c>
    </row>
    <row r="4" customFormat="false" ht="26.85" hidden="false" customHeight="false" outlineLevel="0" collapsed="false">
      <c r="A4" s="8" t="s">
        <v>26</v>
      </c>
      <c r="B4" s="9" t="s">
        <v>28</v>
      </c>
      <c r="C4" s="9" t="s">
        <v>233</v>
      </c>
      <c r="D4" s="9" t="s">
        <v>234</v>
      </c>
      <c r="E4" s="9" t="s">
        <v>235</v>
      </c>
      <c r="F4" s="9" t="s">
        <v>236</v>
      </c>
      <c r="G4" s="9" t="s">
        <v>237</v>
      </c>
      <c r="H4" s="9" t="s">
        <v>238</v>
      </c>
      <c r="I4" s="8" t="s">
        <v>239</v>
      </c>
      <c r="J4" s="9" t="s">
        <v>240</v>
      </c>
      <c r="K4" s="9" t="s">
        <v>241</v>
      </c>
      <c r="L4" s="9" t="s">
        <v>242</v>
      </c>
    </row>
    <row r="5" customFormat="false" ht="78" hidden="false" customHeight="true" outlineLevel="0" collapsed="false">
      <c r="A5" s="13" t="s">
        <v>243</v>
      </c>
      <c r="B5" s="6" t="s">
        <v>244</v>
      </c>
      <c r="C5" s="4" t="s">
        <v>245</v>
      </c>
      <c r="D5" s="4" t="n">
        <v>1994</v>
      </c>
      <c r="E5" s="6" t="s">
        <v>81</v>
      </c>
      <c r="F5" s="6" t="s">
        <v>246</v>
      </c>
      <c r="G5" s="6" t="s">
        <v>247</v>
      </c>
      <c r="H5" s="6" t="s">
        <v>248</v>
      </c>
      <c r="I5" s="4" t="s">
        <v>249</v>
      </c>
      <c r="J5" s="20"/>
      <c r="K5" s="21"/>
      <c r="L5" s="20"/>
    </row>
    <row r="6" customFormat="false" ht="78" hidden="false" customHeight="true" outlineLevel="0" collapsed="false">
      <c r="A6" s="13" t="s">
        <v>250</v>
      </c>
      <c r="B6" s="6" t="s">
        <v>244</v>
      </c>
      <c r="C6" s="4" t="s">
        <v>251</v>
      </c>
      <c r="D6" s="4" t="n">
        <v>2014</v>
      </c>
      <c r="E6" s="6" t="s">
        <v>81</v>
      </c>
      <c r="F6" s="6" t="s">
        <v>252</v>
      </c>
      <c r="G6" s="6" t="s">
        <v>247</v>
      </c>
      <c r="H6" s="6" t="s">
        <v>248</v>
      </c>
      <c r="I6" s="4" t="s">
        <v>253</v>
      </c>
      <c r="J6" s="20"/>
      <c r="K6" s="21"/>
      <c r="L6" s="20"/>
    </row>
    <row r="7" customFormat="false" ht="78" hidden="false" customHeight="true" outlineLevel="0" collapsed="false">
      <c r="A7" s="13" t="s">
        <v>254</v>
      </c>
      <c r="B7" s="6" t="s">
        <v>255</v>
      </c>
      <c r="C7" s="4" t="s">
        <v>256</v>
      </c>
      <c r="D7" s="4" t="n">
        <v>1996</v>
      </c>
      <c r="E7" s="6" t="s">
        <v>257</v>
      </c>
      <c r="F7" s="6" t="s">
        <v>258</v>
      </c>
      <c r="G7" s="6" t="s">
        <v>247</v>
      </c>
      <c r="H7" s="6" t="s">
        <v>248</v>
      </c>
      <c r="I7" s="4" t="s">
        <v>259</v>
      </c>
      <c r="J7" s="20"/>
      <c r="K7" s="21"/>
      <c r="L7" s="20"/>
    </row>
    <row r="8" customFormat="false" ht="78" hidden="false" customHeight="true" outlineLevel="0" collapsed="false">
      <c r="A8" s="13" t="s">
        <v>260</v>
      </c>
      <c r="B8" s="6" t="s">
        <v>255</v>
      </c>
      <c r="C8" s="4" t="s">
        <v>261</v>
      </c>
      <c r="D8" s="4" t="n">
        <v>2002</v>
      </c>
      <c r="E8" s="6" t="s">
        <v>257</v>
      </c>
      <c r="F8" s="6" t="s">
        <v>262</v>
      </c>
      <c r="G8" s="6" t="s">
        <v>247</v>
      </c>
      <c r="H8" s="6" t="s">
        <v>248</v>
      </c>
      <c r="I8" s="4" t="s">
        <v>263</v>
      </c>
      <c r="J8" s="20"/>
      <c r="K8" s="21"/>
      <c r="L8" s="20"/>
    </row>
    <row r="9" customFormat="false" ht="78" hidden="false" customHeight="true" outlineLevel="0" collapsed="false">
      <c r="A9" s="13" t="s">
        <v>264</v>
      </c>
      <c r="B9" s="6" t="s">
        <v>265</v>
      </c>
      <c r="C9" s="4" t="s">
        <v>266</v>
      </c>
      <c r="D9" s="4" t="n">
        <v>2009</v>
      </c>
      <c r="E9" s="6" t="s">
        <v>257</v>
      </c>
      <c r="F9" s="6" t="s">
        <v>267</v>
      </c>
      <c r="G9" s="6" t="s">
        <v>247</v>
      </c>
      <c r="H9" s="6" t="s">
        <v>248</v>
      </c>
      <c r="I9" s="4" t="s">
        <v>268</v>
      </c>
      <c r="J9" s="20"/>
      <c r="K9" s="21"/>
      <c r="L9" s="20"/>
    </row>
    <row r="10" customFormat="false" ht="78" hidden="false" customHeight="true" outlineLevel="0" collapsed="false">
      <c r="A10" s="13" t="s">
        <v>269</v>
      </c>
      <c r="B10" s="6" t="s">
        <v>255</v>
      </c>
      <c r="C10" s="4" t="s">
        <v>270</v>
      </c>
      <c r="D10" s="4" t="n">
        <v>2003</v>
      </c>
      <c r="E10" s="6" t="s">
        <v>75</v>
      </c>
      <c r="F10" s="6" t="s">
        <v>271</v>
      </c>
      <c r="G10" s="6" t="s">
        <v>247</v>
      </c>
      <c r="H10" s="6" t="s">
        <v>248</v>
      </c>
      <c r="I10" s="4" t="s">
        <v>272</v>
      </c>
      <c r="J10" s="20"/>
      <c r="K10" s="21"/>
      <c r="L10" s="20"/>
    </row>
    <row r="11" customFormat="false" ht="78" hidden="false" customHeight="true" outlineLevel="0" collapsed="false">
      <c r="A11" s="13" t="s">
        <v>273</v>
      </c>
      <c r="B11" s="6" t="s">
        <v>255</v>
      </c>
      <c r="C11" s="4" t="s">
        <v>274</v>
      </c>
      <c r="D11" s="4" t="n">
        <v>2007</v>
      </c>
      <c r="E11" s="6" t="s">
        <v>90</v>
      </c>
      <c r="F11" s="6" t="s">
        <v>275</v>
      </c>
      <c r="G11" s="6" t="s">
        <v>247</v>
      </c>
      <c r="H11" s="6" t="s">
        <v>248</v>
      </c>
      <c r="I11" s="4" t="s">
        <v>276</v>
      </c>
      <c r="J11" s="20"/>
      <c r="K11" s="21"/>
      <c r="L11" s="20"/>
    </row>
    <row r="12" customFormat="false" ht="78" hidden="false" customHeight="true" outlineLevel="0" collapsed="false">
      <c r="A12" s="13" t="s">
        <v>228</v>
      </c>
      <c r="B12" s="6" t="s">
        <v>277</v>
      </c>
      <c r="C12" s="4" t="s">
        <v>278</v>
      </c>
      <c r="D12" s="4" t="n">
        <v>1977</v>
      </c>
      <c r="E12" s="6" t="s">
        <v>100</v>
      </c>
      <c r="F12" s="6" t="s">
        <v>279</v>
      </c>
      <c r="G12" s="6" t="s">
        <v>247</v>
      </c>
      <c r="H12" s="6" t="s">
        <v>248</v>
      </c>
      <c r="I12" s="4" t="s">
        <v>268</v>
      </c>
      <c r="J12" s="20"/>
      <c r="K12" s="21"/>
      <c r="L12" s="20"/>
    </row>
    <row r="13" customFormat="false" ht="78" hidden="false" customHeight="true" outlineLevel="0" collapsed="false">
      <c r="A13" s="13" t="s">
        <v>280</v>
      </c>
      <c r="B13" s="6" t="s">
        <v>281</v>
      </c>
      <c r="C13" s="4" t="s">
        <v>282</v>
      </c>
      <c r="D13" s="4" t="n">
        <v>2001</v>
      </c>
      <c r="E13" s="6" t="s">
        <v>283</v>
      </c>
      <c r="F13" s="6" t="s">
        <v>284</v>
      </c>
      <c r="G13" s="6" t="s">
        <v>247</v>
      </c>
      <c r="H13" s="6" t="s">
        <v>248</v>
      </c>
      <c r="I13" s="4" t="s">
        <v>285</v>
      </c>
      <c r="J13" s="20"/>
      <c r="K13" s="21"/>
      <c r="L13" s="20"/>
    </row>
    <row r="14" customFormat="false" ht="78" hidden="false" customHeight="true" outlineLevel="0" collapsed="false">
      <c r="A14" s="13" t="s">
        <v>286</v>
      </c>
      <c r="B14" s="6" t="s">
        <v>281</v>
      </c>
      <c r="C14" s="4" t="s">
        <v>287</v>
      </c>
      <c r="D14" s="4" t="n">
        <v>2011</v>
      </c>
      <c r="E14" s="6" t="s">
        <v>283</v>
      </c>
      <c r="F14" s="6" t="s">
        <v>288</v>
      </c>
      <c r="G14" s="6" t="s">
        <v>247</v>
      </c>
      <c r="H14" s="6" t="s">
        <v>248</v>
      </c>
      <c r="I14" s="4" t="s">
        <v>268</v>
      </c>
      <c r="J14" s="20"/>
      <c r="K14" s="21"/>
      <c r="L14" s="20"/>
    </row>
    <row r="15" customFormat="false" ht="78" hidden="false" customHeight="true" outlineLevel="0" collapsed="false">
      <c r="A15" s="13" t="s">
        <v>289</v>
      </c>
      <c r="B15" s="6" t="s">
        <v>290</v>
      </c>
      <c r="C15" s="4" t="s">
        <v>291</v>
      </c>
      <c r="D15" s="4" t="n">
        <v>2018</v>
      </c>
      <c r="E15" s="6" t="s">
        <v>85</v>
      </c>
      <c r="F15" s="4" t="s">
        <v>292</v>
      </c>
      <c r="G15" s="6" t="s">
        <v>247</v>
      </c>
      <c r="H15" s="6" t="s">
        <v>248</v>
      </c>
      <c r="I15" s="4" t="s">
        <v>268</v>
      </c>
      <c r="J15" s="20"/>
      <c r="K15" s="21"/>
      <c r="L15" s="20"/>
    </row>
    <row r="16" customFormat="false" ht="78" hidden="false" customHeight="true" outlineLevel="0" collapsed="false">
      <c r="A16" s="13" t="s">
        <v>293</v>
      </c>
      <c r="B16" s="6" t="s">
        <v>290</v>
      </c>
      <c r="C16" s="4" t="s">
        <v>294</v>
      </c>
      <c r="D16" s="4" t="n">
        <v>2019</v>
      </c>
      <c r="E16" s="6" t="s">
        <v>295</v>
      </c>
      <c r="F16" s="4" t="s">
        <v>296</v>
      </c>
      <c r="G16" s="6" t="s">
        <v>247</v>
      </c>
      <c r="H16" s="6" t="s">
        <v>248</v>
      </c>
      <c r="I16" s="4" t="s">
        <v>268</v>
      </c>
      <c r="J16" s="20"/>
      <c r="K16" s="21"/>
      <c r="L16"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8"/>
    <col collapsed="false" customWidth="true" hidden="false" outlineLevel="0" max="4" min="4" style="0" width="22"/>
    <col collapsed="false" customWidth="true" hidden="false" outlineLevel="0" max="5" min="5" style="0" width="80"/>
    <col collapsed="false" customWidth="true" hidden="false" outlineLevel="0" max="6" min="6" style="0" width="60"/>
    <col collapsed="false" customWidth="true" hidden="false" outlineLevel="0" max="7" min="7" style="0" width="40"/>
    <col collapsed="false" customWidth="true" hidden="false" outlineLevel="0" max="8" min="8" style="0" width="18"/>
  </cols>
  <sheetData>
    <row r="1" customFormat="false" ht="19.4" hidden="false" customHeight="false" outlineLevel="0" collapsed="false">
      <c r="A1" s="7" t="s">
        <v>297</v>
      </c>
    </row>
    <row r="2" customFormat="false" ht="15" hidden="false" customHeight="false" outlineLevel="0" collapsed="false">
      <c r="A2" s="2" t="s">
        <v>298</v>
      </c>
    </row>
    <row r="4" customFormat="false" ht="26.1" hidden="false" customHeight="false" outlineLevel="0" collapsed="false">
      <c r="A4" s="9" t="s">
        <v>299</v>
      </c>
      <c r="B4" s="9" t="s">
        <v>300</v>
      </c>
      <c r="C4" s="8" t="s">
        <v>301</v>
      </c>
      <c r="D4" s="9" t="s">
        <v>302</v>
      </c>
      <c r="E4" s="9" t="s">
        <v>303</v>
      </c>
      <c r="F4" s="9" t="s">
        <v>304</v>
      </c>
      <c r="G4" s="9" t="s">
        <v>305</v>
      </c>
      <c r="H4" s="9" t="s">
        <v>306</v>
      </c>
    </row>
    <row r="5" customFormat="false" ht="61.5" hidden="false" customHeight="true" outlineLevel="0" collapsed="false">
      <c r="A5" s="13" t="s">
        <v>307</v>
      </c>
      <c r="B5" s="4" t="s">
        <v>308</v>
      </c>
      <c r="C5" s="4" t="s">
        <v>309</v>
      </c>
      <c r="D5" s="4" t="s">
        <v>310</v>
      </c>
      <c r="E5" s="11" t="s">
        <v>311</v>
      </c>
      <c r="F5" s="6" t="s">
        <v>312</v>
      </c>
      <c r="G5" s="6" t="s">
        <v>313</v>
      </c>
      <c r="H5" s="6" t="s">
        <v>314</v>
      </c>
    </row>
    <row r="6" customFormat="false" ht="61.5" hidden="false" customHeight="true" outlineLevel="0" collapsed="false">
      <c r="A6" s="13" t="s">
        <v>315</v>
      </c>
      <c r="B6" s="4" t="s">
        <v>308</v>
      </c>
      <c r="C6" s="4" t="s">
        <v>316</v>
      </c>
      <c r="D6" s="4" t="s">
        <v>317</v>
      </c>
      <c r="E6" s="11" t="s">
        <v>318</v>
      </c>
      <c r="F6" s="6" t="s">
        <v>319</v>
      </c>
      <c r="G6" s="6" t="s">
        <v>320</v>
      </c>
      <c r="H6" s="6" t="s">
        <v>314</v>
      </c>
    </row>
    <row r="7" customFormat="false" ht="61.5" hidden="false" customHeight="true" outlineLevel="0" collapsed="false">
      <c r="A7" s="13" t="s">
        <v>321</v>
      </c>
      <c r="B7" s="4" t="s">
        <v>308</v>
      </c>
      <c r="C7" s="4" t="s">
        <v>322</v>
      </c>
      <c r="D7" s="4" t="s">
        <v>323</v>
      </c>
      <c r="E7" s="11" t="s">
        <v>324</v>
      </c>
      <c r="F7" s="4" t="s">
        <v>325</v>
      </c>
      <c r="G7" s="6" t="s">
        <v>326</v>
      </c>
      <c r="H7" s="6" t="s">
        <v>314</v>
      </c>
    </row>
    <row r="8" customFormat="false" ht="61.5" hidden="false" customHeight="true" outlineLevel="0" collapsed="false">
      <c r="A8" s="13" t="s">
        <v>327</v>
      </c>
      <c r="B8" s="4" t="s">
        <v>308</v>
      </c>
      <c r="C8" s="4" t="s">
        <v>328</v>
      </c>
      <c r="D8" s="4" t="s">
        <v>329</v>
      </c>
      <c r="E8" s="11" t="s">
        <v>330</v>
      </c>
      <c r="F8" s="4" t="s">
        <v>331</v>
      </c>
      <c r="G8" s="6" t="s">
        <v>332</v>
      </c>
      <c r="H8" s="6" t="s">
        <v>314</v>
      </c>
    </row>
    <row r="9" customFormat="false" ht="61.5" hidden="false" customHeight="true" outlineLevel="0" collapsed="false">
      <c r="A9" s="13" t="s">
        <v>333</v>
      </c>
      <c r="B9" s="4" t="s">
        <v>308</v>
      </c>
      <c r="C9" s="4" t="s">
        <v>334</v>
      </c>
      <c r="D9" s="4" t="s">
        <v>323</v>
      </c>
      <c r="E9" s="11" t="s">
        <v>335</v>
      </c>
      <c r="F9" s="6" t="s">
        <v>336</v>
      </c>
      <c r="G9" s="6" t="s">
        <v>337</v>
      </c>
      <c r="H9" s="6" t="s">
        <v>314</v>
      </c>
    </row>
    <row r="10" customFormat="false" ht="61.5" hidden="false" customHeight="true" outlineLevel="0" collapsed="false">
      <c r="A10" s="13" t="s">
        <v>338</v>
      </c>
      <c r="B10" s="4" t="s">
        <v>308</v>
      </c>
      <c r="C10" s="4" t="s">
        <v>339</v>
      </c>
      <c r="D10" s="4" t="s">
        <v>323</v>
      </c>
      <c r="E10" s="11" t="s">
        <v>340</v>
      </c>
      <c r="F10" s="4" t="s">
        <v>341</v>
      </c>
      <c r="G10" s="6" t="s">
        <v>342</v>
      </c>
      <c r="H10" s="6" t="s">
        <v>314</v>
      </c>
    </row>
    <row r="11" customFormat="false" ht="61.5" hidden="false" customHeight="true" outlineLevel="0" collapsed="false">
      <c r="A11" s="13" t="s">
        <v>343</v>
      </c>
      <c r="B11" s="4" t="s">
        <v>308</v>
      </c>
      <c r="C11" s="4" t="s">
        <v>344</v>
      </c>
      <c r="D11" s="4" t="s">
        <v>345</v>
      </c>
      <c r="E11" s="11" t="s">
        <v>346</v>
      </c>
      <c r="F11" s="6" t="s">
        <v>347</v>
      </c>
      <c r="G11" s="6" t="s">
        <v>348</v>
      </c>
      <c r="H11" s="6" t="s">
        <v>314</v>
      </c>
    </row>
    <row r="12" customFormat="false" ht="61.5" hidden="false" customHeight="true" outlineLevel="0" collapsed="false">
      <c r="A12" s="13" t="s">
        <v>349</v>
      </c>
      <c r="B12" s="4" t="s">
        <v>308</v>
      </c>
      <c r="C12" s="4" t="s">
        <v>350</v>
      </c>
      <c r="D12" s="4" t="s">
        <v>345</v>
      </c>
      <c r="E12" s="11" t="s">
        <v>351</v>
      </c>
      <c r="F12" s="4" t="s">
        <v>352</v>
      </c>
      <c r="G12" s="6" t="s">
        <v>353</v>
      </c>
      <c r="H12" s="6" t="s">
        <v>314</v>
      </c>
    </row>
    <row r="13" customFormat="false" ht="61.5" hidden="false" customHeight="true" outlineLevel="0" collapsed="false">
      <c r="A13" s="13" t="s">
        <v>354</v>
      </c>
      <c r="B13" s="4" t="s">
        <v>308</v>
      </c>
      <c r="C13" s="4" t="s">
        <v>355</v>
      </c>
      <c r="D13" s="4" t="s">
        <v>356</v>
      </c>
      <c r="E13" s="11" t="s">
        <v>357</v>
      </c>
      <c r="F13" s="6" t="s">
        <v>358</v>
      </c>
      <c r="G13" s="6" t="s">
        <v>359</v>
      </c>
      <c r="H13" s="6" t="s">
        <v>314</v>
      </c>
    </row>
    <row r="14" customFormat="false" ht="61.5" hidden="false" customHeight="true" outlineLevel="0" collapsed="false">
      <c r="A14" s="13" t="s">
        <v>360</v>
      </c>
      <c r="B14" s="4" t="s">
        <v>308</v>
      </c>
      <c r="C14" s="4" t="s">
        <v>355</v>
      </c>
      <c r="D14" s="4" t="s">
        <v>356</v>
      </c>
      <c r="E14" s="11" t="s">
        <v>361</v>
      </c>
      <c r="F14" s="6" t="s">
        <v>362</v>
      </c>
      <c r="G14" s="6" t="s">
        <v>363</v>
      </c>
      <c r="H14" s="6" t="s">
        <v>314</v>
      </c>
    </row>
    <row r="15" customFormat="false" ht="61.5" hidden="false" customHeight="true" outlineLevel="0" collapsed="false">
      <c r="A15" s="13" t="s">
        <v>364</v>
      </c>
      <c r="B15" s="4" t="s">
        <v>308</v>
      </c>
      <c r="C15" s="4" t="s">
        <v>365</v>
      </c>
      <c r="D15" s="4" t="s">
        <v>366</v>
      </c>
      <c r="E15" s="11" t="s">
        <v>367</v>
      </c>
      <c r="F15" s="6" t="s">
        <v>368</v>
      </c>
      <c r="G15" s="4" t="s">
        <v>369</v>
      </c>
      <c r="H15" s="6" t="s">
        <v>314</v>
      </c>
    </row>
    <row r="16" customFormat="false" ht="61.5" hidden="false" customHeight="true" outlineLevel="0" collapsed="false">
      <c r="A16" s="13" t="s">
        <v>370</v>
      </c>
      <c r="B16" s="4" t="s">
        <v>308</v>
      </c>
      <c r="C16" s="4" t="s">
        <v>365</v>
      </c>
      <c r="D16" s="4" t="s">
        <v>366</v>
      </c>
      <c r="E16" s="11" t="s">
        <v>371</v>
      </c>
      <c r="F16" s="6" t="s">
        <v>372</v>
      </c>
      <c r="G16" s="4" t="s">
        <v>373</v>
      </c>
      <c r="H16" s="6" t="s">
        <v>314</v>
      </c>
    </row>
    <row r="17" customFormat="false" ht="61.5" hidden="false" customHeight="true" outlineLevel="0" collapsed="false">
      <c r="A17" s="13" t="s">
        <v>374</v>
      </c>
      <c r="B17" s="4" t="s">
        <v>308</v>
      </c>
      <c r="C17" s="4" t="s">
        <v>365</v>
      </c>
      <c r="D17" s="4" t="s">
        <v>366</v>
      </c>
      <c r="E17" s="11" t="s">
        <v>375</v>
      </c>
      <c r="F17" s="6" t="s">
        <v>376</v>
      </c>
      <c r="G17" s="4" t="s">
        <v>377</v>
      </c>
      <c r="H17" s="6" t="s">
        <v>314</v>
      </c>
    </row>
    <row r="18" customFormat="false" ht="61.5" hidden="false" customHeight="true" outlineLevel="0" collapsed="false">
      <c r="A18" s="13" t="s">
        <v>378</v>
      </c>
      <c r="B18" s="4" t="s">
        <v>308</v>
      </c>
      <c r="C18" s="4" t="s">
        <v>365</v>
      </c>
      <c r="D18" s="4" t="s">
        <v>366</v>
      </c>
      <c r="E18" s="11" t="s">
        <v>379</v>
      </c>
      <c r="F18" s="4" t="s">
        <v>380</v>
      </c>
      <c r="G18" s="4" t="s">
        <v>381</v>
      </c>
      <c r="H18" s="6" t="s">
        <v>314</v>
      </c>
    </row>
    <row r="19" customFormat="false" ht="61.5" hidden="false" customHeight="true" outlineLevel="0" collapsed="false">
      <c r="A19" s="13" t="s">
        <v>382</v>
      </c>
      <c r="B19" s="4" t="s">
        <v>308</v>
      </c>
      <c r="C19" s="4" t="s">
        <v>365</v>
      </c>
      <c r="D19" s="4" t="s">
        <v>366</v>
      </c>
      <c r="E19" s="11" t="s">
        <v>383</v>
      </c>
      <c r="F19" s="6" t="s">
        <v>384</v>
      </c>
      <c r="G19" s="4" t="s">
        <v>385</v>
      </c>
      <c r="H19" s="6" t="s">
        <v>314</v>
      </c>
    </row>
    <row r="20" customFormat="false" ht="61.5" hidden="false" customHeight="true" outlineLevel="0" collapsed="false">
      <c r="A20" s="13" t="s">
        <v>386</v>
      </c>
      <c r="B20" s="4" t="s">
        <v>308</v>
      </c>
      <c r="C20" s="4" t="s">
        <v>365</v>
      </c>
      <c r="D20" s="4" t="s">
        <v>366</v>
      </c>
      <c r="E20" s="11" t="s">
        <v>387</v>
      </c>
      <c r="F20" s="6" t="s">
        <v>388</v>
      </c>
      <c r="G20" s="4" t="s">
        <v>389</v>
      </c>
      <c r="H20" s="6" t="s">
        <v>314</v>
      </c>
    </row>
    <row r="21" customFormat="false" ht="61.5" hidden="false" customHeight="true" outlineLevel="0" collapsed="false">
      <c r="A21" s="13" t="s">
        <v>390</v>
      </c>
      <c r="B21" s="4" t="s">
        <v>308</v>
      </c>
      <c r="C21" s="4" t="s">
        <v>365</v>
      </c>
      <c r="D21" s="4" t="s">
        <v>366</v>
      </c>
      <c r="E21" s="11" t="s">
        <v>391</v>
      </c>
      <c r="F21" s="6" t="s">
        <v>392</v>
      </c>
      <c r="G21" s="4" t="s">
        <v>393</v>
      </c>
      <c r="H21" s="6" t="s">
        <v>314</v>
      </c>
    </row>
    <row r="22" customFormat="false" ht="61.5" hidden="false" customHeight="true" outlineLevel="0" collapsed="false">
      <c r="A22" s="13" t="s">
        <v>394</v>
      </c>
      <c r="B22" s="4" t="s">
        <v>308</v>
      </c>
      <c r="C22" s="4" t="s">
        <v>395</v>
      </c>
      <c r="D22" s="4" t="s">
        <v>366</v>
      </c>
      <c r="E22" s="11" t="s">
        <v>396</v>
      </c>
      <c r="F22" s="6" t="s">
        <v>397</v>
      </c>
      <c r="G22" s="4" t="s">
        <v>398</v>
      </c>
      <c r="H22" s="6" t="s">
        <v>314</v>
      </c>
    </row>
    <row r="23" customFormat="false" ht="61.5" hidden="false" customHeight="true" outlineLevel="0" collapsed="false">
      <c r="A23" s="13" t="s">
        <v>399</v>
      </c>
      <c r="B23" s="4" t="s">
        <v>308</v>
      </c>
      <c r="C23" s="4" t="s">
        <v>365</v>
      </c>
      <c r="D23" s="4" t="s">
        <v>366</v>
      </c>
      <c r="E23" s="11" t="s">
        <v>400</v>
      </c>
      <c r="F23" s="6" t="s">
        <v>401</v>
      </c>
      <c r="G23" s="4" t="s">
        <v>402</v>
      </c>
      <c r="H23" s="6" t="s">
        <v>314</v>
      </c>
    </row>
    <row r="24" customFormat="false" ht="61.5" hidden="false" customHeight="true" outlineLevel="0" collapsed="false">
      <c r="A24" s="13" t="s">
        <v>403</v>
      </c>
      <c r="B24" s="4" t="s">
        <v>308</v>
      </c>
      <c r="C24" s="4" t="s">
        <v>365</v>
      </c>
      <c r="D24" s="4" t="s">
        <v>366</v>
      </c>
      <c r="E24" s="11" t="s">
        <v>404</v>
      </c>
      <c r="F24" s="4" t="s">
        <v>405</v>
      </c>
      <c r="G24" s="4" t="s">
        <v>406</v>
      </c>
      <c r="H24" s="6" t="s">
        <v>314</v>
      </c>
    </row>
    <row r="25" customFormat="false" ht="61.5" hidden="false" customHeight="true" outlineLevel="0" collapsed="false">
      <c r="A25" s="13" t="s">
        <v>407</v>
      </c>
      <c r="B25" s="4" t="s">
        <v>308</v>
      </c>
      <c r="C25" s="4" t="s">
        <v>365</v>
      </c>
      <c r="D25" s="4" t="s">
        <v>366</v>
      </c>
      <c r="E25" s="11" t="s">
        <v>408</v>
      </c>
      <c r="F25" s="4" t="s">
        <v>409</v>
      </c>
      <c r="G25" s="4" t="s">
        <v>410</v>
      </c>
      <c r="H25" s="6" t="s">
        <v>314</v>
      </c>
    </row>
    <row r="26" customFormat="false" ht="61.5" hidden="false" customHeight="true" outlineLevel="0" collapsed="false">
      <c r="A26" s="13" t="s">
        <v>411</v>
      </c>
      <c r="B26" s="4" t="s">
        <v>308</v>
      </c>
      <c r="C26" s="4" t="s">
        <v>365</v>
      </c>
      <c r="D26" s="4" t="s">
        <v>366</v>
      </c>
      <c r="E26" s="11" t="s">
        <v>412</v>
      </c>
      <c r="F26" s="6" t="s">
        <v>413</v>
      </c>
      <c r="G26" s="4" t="s">
        <v>414</v>
      </c>
      <c r="H26" s="6" t="s">
        <v>314</v>
      </c>
    </row>
    <row r="27" customFormat="false" ht="61.5" hidden="false" customHeight="true" outlineLevel="0" collapsed="false">
      <c r="A27" s="13" t="s">
        <v>415</v>
      </c>
      <c r="B27" s="4" t="s">
        <v>308</v>
      </c>
      <c r="C27" s="4" t="s">
        <v>365</v>
      </c>
      <c r="D27" s="4" t="s">
        <v>366</v>
      </c>
      <c r="E27" s="11" t="s">
        <v>416</v>
      </c>
      <c r="F27" s="4" t="s">
        <v>417</v>
      </c>
      <c r="G27" s="4" t="s">
        <v>418</v>
      </c>
      <c r="H27" s="6" t="s">
        <v>314</v>
      </c>
    </row>
    <row r="28" customFormat="false" ht="61.5" hidden="false" customHeight="true" outlineLevel="0" collapsed="false">
      <c r="A28" s="13" t="s">
        <v>419</v>
      </c>
      <c r="B28" s="4" t="s">
        <v>308</v>
      </c>
      <c r="C28" s="4" t="s">
        <v>365</v>
      </c>
      <c r="D28" s="4" t="s">
        <v>366</v>
      </c>
      <c r="E28" s="11" t="s">
        <v>420</v>
      </c>
      <c r="F28" s="6" t="s">
        <v>421</v>
      </c>
      <c r="G28" s="4" t="s">
        <v>422</v>
      </c>
      <c r="H28" s="6" t="s">
        <v>314</v>
      </c>
    </row>
    <row r="29" customFormat="false" ht="61.5" hidden="false" customHeight="true" outlineLevel="0" collapsed="false">
      <c r="A29" s="13" t="s">
        <v>423</v>
      </c>
      <c r="B29" s="4" t="s">
        <v>308</v>
      </c>
      <c r="C29" s="4" t="s">
        <v>395</v>
      </c>
      <c r="D29" s="4" t="s">
        <v>366</v>
      </c>
      <c r="E29" s="11" t="s">
        <v>424</v>
      </c>
      <c r="F29" s="6" t="s">
        <v>425</v>
      </c>
      <c r="G29" s="4" t="s">
        <v>426</v>
      </c>
      <c r="H29" s="6" t="s">
        <v>314</v>
      </c>
    </row>
    <row r="30" customFormat="false" ht="61.5" hidden="false" customHeight="true" outlineLevel="0" collapsed="false">
      <c r="A30" s="13" t="s">
        <v>427</v>
      </c>
      <c r="B30" s="4" t="s">
        <v>308</v>
      </c>
      <c r="C30" s="4" t="s">
        <v>395</v>
      </c>
      <c r="D30" s="4" t="s">
        <v>428</v>
      </c>
      <c r="E30" s="11" t="s">
        <v>429</v>
      </c>
      <c r="F30" s="6" t="s">
        <v>430</v>
      </c>
      <c r="G30" s="4" t="s">
        <v>431</v>
      </c>
      <c r="H30" s="6" t="s">
        <v>314</v>
      </c>
    </row>
    <row r="31" customFormat="false" ht="61.5" hidden="false" customHeight="true" outlineLevel="0" collapsed="false">
      <c r="A31" s="13" t="s">
        <v>432</v>
      </c>
      <c r="B31" s="4" t="s">
        <v>308</v>
      </c>
      <c r="C31" s="4" t="s">
        <v>395</v>
      </c>
      <c r="D31" s="4" t="s">
        <v>433</v>
      </c>
      <c r="E31" s="11" t="s">
        <v>434</v>
      </c>
      <c r="F31" s="6" t="s">
        <v>435</v>
      </c>
      <c r="G31" s="4" t="s">
        <v>431</v>
      </c>
      <c r="H31" s="6" t="s">
        <v>314</v>
      </c>
    </row>
    <row r="32" customFormat="false" ht="61.5" hidden="false" customHeight="true" outlineLevel="0" collapsed="false">
      <c r="A32" s="13" t="s">
        <v>436</v>
      </c>
      <c r="B32" s="4" t="s">
        <v>308</v>
      </c>
      <c r="C32" s="4" t="s">
        <v>395</v>
      </c>
      <c r="D32" s="4" t="s">
        <v>437</v>
      </c>
      <c r="E32" s="11" t="s">
        <v>438</v>
      </c>
      <c r="F32" s="6" t="s">
        <v>439</v>
      </c>
      <c r="G32" s="4" t="s">
        <v>440</v>
      </c>
      <c r="H32" s="6" t="s">
        <v>314</v>
      </c>
    </row>
    <row r="33" customFormat="false" ht="61.5" hidden="false" customHeight="true" outlineLevel="0" collapsed="false">
      <c r="A33" s="13" t="s">
        <v>441</v>
      </c>
      <c r="B33" s="4" t="s">
        <v>308</v>
      </c>
      <c r="C33" s="4" t="s">
        <v>395</v>
      </c>
      <c r="D33" s="4" t="s">
        <v>442</v>
      </c>
      <c r="E33" s="11" t="s">
        <v>443</v>
      </c>
      <c r="F33" s="6" t="s">
        <v>444</v>
      </c>
      <c r="G33" s="4" t="s">
        <v>445</v>
      </c>
      <c r="H33" s="6" t="s">
        <v>314</v>
      </c>
    </row>
    <row r="34" customFormat="false" ht="61.5" hidden="false" customHeight="true" outlineLevel="0" collapsed="false">
      <c r="A34" s="13" t="s">
        <v>446</v>
      </c>
      <c r="B34" s="4" t="s">
        <v>308</v>
      </c>
      <c r="C34" s="4" t="s">
        <v>395</v>
      </c>
      <c r="D34" s="4" t="s">
        <v>366</v>
      </c>
      <c r="E34" s="11" t="s">
        <v>447</v>
      </c>
      <c r="F34" s="6" t="s">
        <v>448</v>
      </c>
      <c r="G34" s="4" t="s">
        <v>449</v>
      </c>
      <c r="H34" s="6" t="s">
        <v>314</v>
      </c>
    </row>
    <row r="35" customFormat="false" ht="61.5" hidden="false" customHeight="true" outlineLevel="0" collapsed="false">
      <c r="A35" s="13" t="s">
        <v>450</v>
      </c>
      <c r="B35" s="4" t="s">
        <v>308</v>
      </c>
      <c r="C35" s="4" t="s">
        <v>395</v>
      </c>
      <c r="D35" s="4" t="s">
        <v>366</v>
      </c>
      <c r="E35" s="11" t="s">
        <v>451</v>
      </c>
      <c r="F35" s="6" t="s">
        <v>452</v>
      </c>
      <c r="G35" s="4" t="s">
        <v>453</v>
      </c>
      <c r="H35" s="6" t="s">
        <v>314</v>
      </c>
    </row>
    <row r="36" customFormat="false" ht="61.5" hidden="false" customHeight="true" outlineLevel="0" collapsed="false">
      <c r="A36" s="13" t="s">
        <v>454</v>
      </c>
      <c r="B36" s="4" t="s">
        <v>308</v>
      </c>
      <c r="C36" s="4" t="s">
        <v>395</v>
      </c>
      <c r="D36" s="4" t="s">
        <v>366</v>
      </c>
      <c r="E36" s="11" t="s">
        <v>455</v>
      </c>
      <c r="F36" s="6" t="s">
        <v>456</v>
      </c>
      <c r="G36" s="4" t="s">
        <v>457</v>
      </c>
      <c r="H36" s="6" t="s">
        <v>314</v>
      </c>
    </row>
    <row r="37" customFormat="false" ht="61.5" hidden="false" customHeight="true" outlineLevel="0" collapsed="false">
      <c r="A37" s="13" t="s">
        <v>458</v>
      </c>
      <c r="B37" s="4" t="s">
        <v>308</v>
      </c>
      <c r="C37" s="4" t="s">
        <v>459</v>
      </c>
      <c r="D37" s="4" t="s">
        <v>366</v>
      </c>
      <c r="E37" s="11" t="s">
        <v>460</v>
      </c>
      <c r="F37" s="4" t="s">
        <v>461</v>
      </c>
      <c r="G37" s="4" t="s">
        <v>462</v>
      </c>
      <c r="H37" s="6" t="s">
        <v>314</v>
      </c>
    </row>
    <row r="38" customFormat="false" ht="61.5" hidden="false" customHeight="true" outlineLevel="0" collapsed="false">
      <c r="A38" s="13" t="s">
        <v>463</v>
      </c>
      <c r="B38" s="4" t="s">
        <v>308</v>
      </c>
      <c r="C38" s="4" t="s">
        <v>459</v>
      </c>
      <c r="D38" s="4" t="s">
        <v>366</v>
      </c>
      <c r="E38" s="11" t="s">
        <v>464</v>
      </c>
      <c r="F38" s="4" t="s">
        <v>465</v>
      </c>
      <c r="G38" s="4" t="s">
        <v>462</v>
      </c>
      <c r="H38" s="6" t="s">
        <v>314</v>
      </c>
    </row>
    <row r="39" customFormat="false" ht="61.5" hidden="false" customHeight="true" outlineLevel="0" collapsed="false">
      <c r="A39" s="13" t="s">
        <v>466</v>
      </c>
      <c r="B39" s="4" t="s">
        <v>308</v>
      </c>
      <c r="C39" s="4" t="s">
        <v>365</v>
      </c>
      <c r="D39" s="4" t="s">
        <v>366</v>
      </c>
      <c r="E39" s="11" t="s">
        <v>467</v>
      </c>
      <c r="F39" s="6" t="s">
        <v>468</v>
      </c>
      <c r="G39" s="4" t="s">
        <v>462</v>
      </c>
      <c r="H39" s="6" t="s">
        <v>314</v>
      </c>
    </row>
    <row r="40" customFormat="false" ht="61.5" hidden="false" customHeight="true" outlineLevel="0" collapsed="false">
      <c r="A40" s="13" t="s">
        <v>469</v>
      </c>
      <c r="B40" s="4" t="s">
        <v>308</v>
      </c>
      <c r="C40" s="4" t="s">
        <v>365</v>
      </c>
      <c r="D40" s="4" t="s">
        <v>366</v>
      </c>
      <c r="E40" s="11" t="s">
        <v>470</v>
      </c>
      <c r="F40" s="6" t="s">
        <v>471</v>
      </c>
      <c r="G40" s="4" t="s">
        <v>472</v>
      </c>
      <c r="H40" s="6" t="s">
        <v>314</v>
      </c>
    </row>
    <row r="41" customFormat="false" ht="61.5" hidden="false" customHeight="true" outlineLevel="0" collapsed="false">
      <c r="A41" s="13" t="s">
        <v>473</v>
      </c>
      <c r="B41" s="4" t="s">
        <v>308</v>
      </c>
      <c r="C41" s="4" t="s">
        <v>365</v>
      </c>
      <c r="D41" s="4" t="s">
        <v>366</v>
      </c>
      <c r="E41" s="11" t="s">
        <v>474</v>
      </c>
      <c r="F41" s="6" t="s">
        <v>475</v>
      </c>
      <c r="G41" s="4" t="s">
        <v>476</v>
      </c>
      <c r="H41" s="6" t="s">
        <v>314</v>
      </c>
    </row>
    <row r="42" customFormat="false" ht="61.5" hidden="false" customHeight="true" outlineLevel="0" collapsed="false">
      <c r="A42" s="13" t="s">
        <v>477</v>
      </c>
      <c r="B42" s="4" t="s">
        <v>308</v>
      </c>
      <c r="C42" s="4" t="s">
        <v>395</v>
      </c>
      <c r="D42" s="4" t="s">
        <v>366</v>
      </c>
      <c r="E42" s="11" t="s">
        <v>478</v>
      </c>
      <c r="F42" s="6" t="s">
        <v>479</v>
      </c>
      <c r="G42" s="4" t="s">
        <v>480</v>
      </c>
      <c r="H42" s="6" t="s">
        <v>314</v>
      </c>
    </row>
    <row r="43" customFormat="false" ht="61.5" hidden="false" customHeight="true" outlineLevel="0" collapsed="false">
      <c r="A43" s="13" t="s">
        <v>481</v>
      </c>
      <c r="B43" s="4" t="s">
        <v>308</v>
      </c>
      <c r="C43" s="4" t="s">
        <v>395</v>
      </c>
      <c r="D43" s="4" t="s">
        <v>366</v>
      </c>
      <c r="E43" s="11" t="s">
        <v>482</v>
      </c>
      <c r="F43" s="6" t="s">
        <v>483</v>
      </c>
      <c r="G43" s="4" t="s">
        <v>484</v>
      </c>
      <c r="H43" s="6" t="s">
        <v>314</v>
      </c>
    </row>
    <row r="44" customFormat="false" ht="61.5" hidden="false" customHeight="true" outlineLevel="0" collapsed="false">
      <c r="A44" s="13" t="s">
        <v>485</v>
      </c>
      <c r="B44" s="4" t="s">
        <v>308</v>
      </c>
      <c r="C44" s="4" t="s">
        <v>395</v>
      </c>
      <c r="D44" s="4" t="s">
        <v>366</v>
      </c>
      <c r="E44" s="11" t="s">
        <v>486</v>
      </c>
      <c r="F44" s="6" t="s">
        <v>487</v>
      </c>
      <c r="G44" s="4" t="s">
        <v>449</v>
      </c>
      <c r="H44" s="6" t="s">
        <v>314</v>
      </c>
    </row>
    <row r="45" customFormat="false" ht="61.5" hidden="false" customHeight="true" outlineLevel="0" collapsed="false">
      <c r="A45" s="13" t="s">
        <v>488</v>
      </c>
      <c r="B45" s="4" t="s">
        <v>308</v>
      </c>
      <c r="C45" s="4" t="s">
        <v>395</v>
      </c>
      <c r="D45" s="4" t="s">
        <v>366</v>
      </c>
      <c r="E45" s="11" t="s">
        <v>489</v>
      </c>
      <c r="F45" s="6" t="s">
        <v>490</v>
      </c>
      <c r="G45" s="4" t="s">
        <v>491</v>
      </c>
      <c r="H45" s="6" t="s">
        <v>314</v>
      </c>
    </row>
    <row r="46" customFormat="false" ht="61.5" hidden="false" customHeight="true" outlineLevel="0" collapsed="false">
      <c r="A46" s="13" t="s">
        <v>492</v>
      </c>
      <c r="B46" s="4" t="s">
        <v>308</v>
      </c>
      <c r="C46" s="4" t="s">
        <v>309</v>
      </c>
      <c r="D46" s="4" t="s">
        <v>310</v>
      </c>
      <c r="E46" s="11" t="s">
        <v>493</v>
      </c>
      <c r="F46" s="6" t="s">
        <v>494</v>
      </c>
      <c r="G46" s="4" t="s">
        <v>495</v>
      </c>
      <c r="H46" s="6" t="s">
        <v>314</v>
      </c>
    </row>
    <row r="47" customFormat="false" ht="61.5" hidden="false" customHeight="true" outlineLevel="0" collapsed="false">
      <c r="A47" s="13" t="s">
        <v>496</v>
      </c>
      <c r="B47" s="4" t="s">
        <v>308</v>
      </c>
      <c r="C47" s="4" t="s">
        <v>497</v>
      </c>
      <c r="D47" s="4" t="s">
        <v>498</v>
      </c>
      <c r="E47" s="11" t="s">
        <v>499</v>
      </c>
      <c r="F47" s="4" t="s">
        <v>500</v>
      </c>
      <c r="G47" s="6" t="s">
        <v>501</v>
      </c>
      <c r="H47" s="6" t="s">
        <v>314</v>
      </c>
    </row>
    <row r="48" customFormat="false" ht="61.5" hidden="false" customHeight="true" outlineLevel="0" collapsed="false">
      <c r="A48" s="13" t="s">
        <v>502</v>
      </c>
      <c r="B48" s="4" t="s">
        <v>308</v>
      </c>
      <c r="C48" s="4" t="s">
        <v>497</v>
      </c>
      <c r="D48" s="4" t="s">
        <v>498</v>
      </c>
      <c r="E48" s="11" t="s">
        <v>503</v>
      </c>
      <c r="F48" s="6" t="s">
        <v>504</v>
      </c>
      <c r="G48" s="6" t="s">
        <v>505</v>
      </c>
      <c r="H48" s="6" t="s">
        <v>314</v>
      </c>
    </row>
    <row r="49" customFormat="false" ht="61.5" hidden="false" customHeight="true" outlineLevel="0" collapsed="false">
      <c r="A49" s="13" t="s">
        <v>506</v>
      </c>
      <c r="B49" s="4" t="s">
        <v>308</v>
      </c>
      <c r="C49" s="4" t="s">
        <v>507</v>
      </c>
      <c r="D49" s="4" t="s">
        <v>498</v>
      </c>
      <c r="E49" s="11" t="s">
        <v>508</v>
      </c>
      <c r="F49" s="6" t="s">
        <v>509</v>
      </c>
      <c r="G49" s="6" t="s">
        <v>510</v>
      </c>
      <c r="H49" s="6" t="s">
        <v>314</v>
      </c>
    </row>
    <row r="50" customFormat="false" ht="61.5" hidden="false" customHeight="true" outlineLevel="0" collapsed="false">
      <c r="A50" s="13" t="s">
        <v>511</v>
      </c>
      <c r="B50" s="4" t="s">
        <v>308</v>
      </c>
      <c r="C50" s="4" t="s">
        <v>395</v>
      </c>
      <c r="D50" s="4" t="s">
        <v>366</v>
      </c>
      <c r="E50" s="11" t="s">
        <v>512</v>
      </c>
      <c r="F50" s="6" t="s">
        <v>513</v>
      </c>
      <c r="G50" s="4" t="s">
        <v>514</v>
      </c>
      <c r="H50" s="6" t="s">
        <v>314</v>
      </c>
    </row>
    <row r="51" customFormat="false" ht="61.5" hidden="false" customHeight="true" outlineLevel="0" collapsed="false">
      <c r="A51" s="13" t="s">
        <v>515</v>
      </c>
      <c r="B51" s="4" t="s">
        <v>308</v>
      </c>
      <c r="C51" s="4" t="s">
        <v>395</v>
      </c>
      <c r="D51" s="4" t="s">
        <v>366</v>
      </c>
      <c r="E51" s="11" t="s">
        <v>516</v>
      </c>
      <c r="F51" s="4" t="s">
        <v>517</v>
      </c>
      <c r="G51" s="4" t="s">
        <v>518</v>
      </c>
      <c r="H51" s="6" t="s">
        <v>314</v>
      </c>
    </row>
    <row r="52" customFormat="false" ht="61.5" hidden="false" customHeight="true" outlineLevel="0" collapsed="false">
      <c r="A52" s="13" t="s">
        <v>519</v>
      </c>
      <c r="B52" s="4" t="s">
        <v>308</v>
      </c>
      <c r="C52" s="4" t="s">
        <v>355</v>
      </c>
      <c r="D52" s="4" t="s">
        <v>520</v>
      </c>
      <c r="E52" s="11" t="s">
        <v>521</v>
      </c>
      <c r="F52" s="6" t="s">
        <v>522</v>
      </c>
      <c r="G52" s="6" t="s">
        <v>523</v>
      </c>
      <c r="H52" s="6" t="s">
        <v>314</v>
      </c>
    </row>
    <row r="53" customFormat="false" ht="61.5" hidden="false" customHeight="true" outlineLevel="0" collapsed="false">
      <c r="A53" s="13" t="s">
        <v>524</v>
      </c>
      <c r="B53" s="4" t="s">
        <v>525</v>
      </c>
      <c r="C53" s="4" t="s">
        <v>526</v>
      </c>
      <c r="D53" s="4" t="s">
        <v>323</v>
      </c>
      <c r="E53" s="11" t="s">
        <v>527</v>
      </c>
      <c r="F53" s="4" t="s">
        <v>528</v>
      </c>
      <c r="G53" s="6" t="s">
        <v>529</v>
      </c>
      <c r="H53" s="6" t="s">
        <v>314</v>
      </c>
    </row>
    <row r="54" customFormat="false" ht="61.5" hidden="false" customHeight="true" outlineLevel="0" collapsed="false">
      <c r="A54" s="13" t="s">
        <v>530</v>
      </c>
      <c r="B54" s="4" t="s">
        <v>525</v>
      </c>
      <c r="C54" s="4" t="s">
        <v>334</v>
      </c>
      <c r="D54" s="4" t="s">
        <v>310</v>
      </c>
      <c r="E54" s="11" t="s">
        <v>531</v>
      </c>
      <c r="F54" s="6" t="s">
        <v>532</v>
      </c>
      <c r="G54" s="4" t="s">
        <v>533</v>
      </c>
      <c r="H54" s="6" t="s">
        <v>314</v>
      </c>
    </row>
    <row r="55" customFormat="false" ht="61.5" hidden="false" customHeight="true" outlineLevel="0" collapsed="false">
      <c r="A55" s="13" t="s">
        <v>534</v>
      </c>
      <c r="B55" s="4" t="s">
        <v>525</v>
      </c>
      <c r="C55" s="4" t="s">
        <v>334</v>
      </c>
      <c r="D55" s="4" t="s">
        <v>310</v>
      </c>
      <c r="E55" s="11" t="s">
        <v>535</v>
      </c>
      <c r="F55" s="6" t="s">
        <v>536</v>
      </c>
      <c r="G55" s="4" t="s">
        <v>537</v>
      </c>
      <c r="H55" s="6" t="s">
        <v>314</v>
      </c>
    </row>
    <row r="56" customFormat="false" ht="61.5" hidden="false" customHeight="true" outlineLevel="0" collapsed="false">
      <c r="A56" s="13" t="s">
        <v>538</v>
      </c>
      <c r="B56" s="4" t="s">
        <v>525</v>
      </c>
      <c r="C56" s="4" t="s">
        <v>322</v>
      </c>
      <c r="D56" s="4" t="s">
        <v>539</v>
      </c>
      <c r="E56" s="11" t="s">
        <v>540</v>
      </c>
      <c r="F56" s="6" t="s">
        <v>541</v>
      </c>
      <c r="G56" s="4" t="s">
        <v>542</v>
      </c>
      <c r="H56" s="6" t="s">
        <v>314</v>
      </c>
    </row>
    <row r="57" customFormat="false" ht="61.5" hidden="false" customHeight="true" outlineLevel="0" collapsed="false">
      <c r="A57" s="13" t="s">
        <v>543</v>
      </c>
      <c r="B57" s="4" t="s">
        <v>525</v>
      </c>
      <c r="C57" s="4" t="s">
        <v>322</v>
      </c>
      <c r="D57" s="4" t="s">
        <v>539</v>
      </c>
      <c r="E57" s="11" t="s">
        <v>544</v>
      </c>
      <c r="F57" s="4" t="s">
        <v>545</v>
      </c>
      <c r="G57" s="6" t="s">
        <v>546</v>
      </c>
      <c r="H57" s="6" t="s">
        <v>314</v>
      </c>
    </row>
    <row r="58" customFormat="false" ht="61.5" hidden="false" customHeight="true" outlineLevel="0" collapsed="false">
      <c r="A58" s="13" t="s">
        <v>547</v>
      </c>
      <c r="B58" s="4" t="s">
        <v>525</v>
      </c>
      <c r="C58" s="4" t="s">
        <v>322</v>
      </c>
      <c r="D58" s="4" t="s">
        <v>539</v>
      </c>
      <c r="E58" s="11" t="s">
        <v>548</v>
      </c>
      <c r="F58" s="6" t="s">
        <v>549</v>
      </c>
      <c r="G58" s="4" t="s">
        <v>550</v>
      </c>
      <c r="H58" s="6" t="s">
        <v>314</v>
      </c>
    </row>
    <row r="59" customFormat="false" ht="61.5" hidden="false" customHeight="true" outlineLevel="0" collapsed="false">
      <c r="A59" s="13" t="s">
        <v>43</v>
      </c>
      <c r="B59" s="4" t="s">
        <v>525</v>
      </c>
      <c r="C59" s="4" t="s">
        <v>322</v>
      </c>
      <c r="D59" s="4" t="s">
        <v>551</v>
      </c>
      <c r="E59" s="11" t="s">
        <v>552</v>
      </c>
      <c r="F59" s="4" t="s">
        <v>553</v>
      </c>
      <c r="G59" s="6" t="s">
        <v>554</v>
      </c>
      <c r="H59" s="6" t="s">
        <v>314</v>
      </c>
    </row>
    <row r="60" customFormat="false" ht="61.5" hidden="false" customHeight="true" outlineLevel="0" collapsed="false">
      <c r="A60" s="13" t="s">
        <v>555</v>
      </c>
      <c r="B60" s="4" t="s">
        <v>525</v>
      </c>
      <c r="C60" s="4" t="s">
        <v>322</v>
      </c>
      <c r="D60" s="4" t="s">
        <v>556</v>
      </c>
      <c r="E60" s="11" t="s">
        <v>557</v>
      </c>
      <c r="F60" s="6" t="s">
        <v>558</v>
      </c>
      <c r="G60" s="6" t="s">
        <v>559</v>
      </c>
      <c r="H60" s="6" t="s">
        <v>314</v>
      </c>
    </row>
    <row r="61" customFormat="false" ht="61.5" hidden="false" customHeight="true" outlineLevel="0" collapsed="false">
      <c r="A61" s="13" t="s">
        <v>560</v>
      </c>
      <c r="B61" s="4" t="s">
        <v>525</v>
      </c>
      <c r="C61" s="4" t="s">
        <v>334</v>
      </c>
      <c r="D61" s="4" t="s">
        <v>561</v>
      </c>
      <c r="E61" s="11" t="s">
        <v>562</v>
      </c>
      <c r="F61" s="6" t="s">
        <v>563</v>
      </c>
      <c r="G61" s="4" t="s">
        <v>564</v>
      </c>
      <c r="H61" s="6" t="s">
        <v>314</v>
      </c>
    </row>
    <row r="62" customFormat="false" ht="61.5" hidden="false" customHeight="true" outlineLevel="0" collapsed="false">
      <c r="A62" s="13" t="s">
        <v>565</v>
      </c>
      <c r="B62" s="4" t="s">
        <v>525</v>
      </c>
      <c r="C62" s="4" t="s">
        <v>328</v>
      </c>
      <c r="D62" s="4" t="s">
        <v>566</v>
      </c>
      <c r="E62" s="11" t="s">
        <v>567</v>
      </c>
      <c r="F62" s="6" t="s">
        <v>568</v>
      </c>
      <c r="G62" s="4" t="s">
        <v>569</v>
      </c>
      <c r="H62" s="6" t="s">
        <v>314</v>
      </c>
    </row>
    <row r="63" customFormat="false" ht="61.5" hidden="false" customHeight="true" outlineLevel="0" collapsed="false">
      <c r="A63" s="13" t="s">
        <v>570</v>
      </c>
      <c r="B63" s="4" t="s">
        <v>525</v>
      </c>
      <c r="C63" s="4" t="s">
        <v>328</v>
      </c>
      <c r="D63" s="4" t="s">
        <v>566</v>
      </c>
      <c r="E63" s="11" t="s">
        <v>571</v>
      </c>
      <c r="F63" s="4" t="s">
        <v>572</v>
      </c>
      <c r="G63" s="4" t="s">
        <v>573</v>
      </c>
      <c r="H63" s="6" t="s">
        <v>314</v>
      </c>
    </row>
    <row r="64" customFormat="false" ht="61.5" hidden="false" customHeight="true" outlineLevel="0" collapsed="false">
      <c r="A64" s="13" t="s">
        <v>574</v>
      </c>
      <c r="B64" s="4" t="s">
        <v>525</v>
      </c>
      <c r="C64" s="4" t="s">
        <v>316</v>
      </c>
      <c r="D64" s="4" t="s">
        <v>575</v>
      </c>
      <c r="E64" s="11" t="s">
        <v>576</v>
      </c>
      <c r="F64" s="6" t="s">
        <v>577</v>
      </c>
      <c r="G64" s="4" t="s">
        <v>578</v>
      </c>
      <c r="H64" s="6" t="s">
        <v>314</v>
      </c>
    </row>
    <row r="65" customFormat="false" ht="61.5" hidden="false" customHeight="true" outlineLevel="0" collapsed="false">
      <c r="A65" s="13" t="s">
        <v>579</v>
      </c>
      <c r="B65" s="4" t="s">
        <v>525</v>
      </c>
      <c r="C65" s="4" t="s">
        <v>580</v>
      </c>
      <c r="D65" s="4" t="s">
        <v>581</v>
      </c>
      <c r="E65" s="11" t="s">
        <v>582</v>
      </c>
      <c r="F65" s="4" t="s">
        <v>583</v>
      </c>
      <c r="G65" s="4" t="s">
        <v>584</v>
      </c>
      <c r="H65" s="6" t="s">
        <v>314</v>
      </c>
    </row>
    <row r="66" customFormat="false" ht="61.5" hidden="false" customHeight="true" outlineLevel="0" collapsed="false">
      <c r="A66" s="13" t="s">
        <v>585</v>
      </c>
      <c r="B66" s="4" t="s">
        <v>525</v>
      </c>
      <c r="C66" s="4" t="s">
        <v>328</v>
      </c>
      <c r="D66" s="4" t="s">
        <v>586</v>
      </c>
      <c r="E66" s="11" t="s">
        <v>587</v>
      </c>
      <c r="F66" s="4" t="s">
        <v>588</v>
      </c>
      <c r="G66" s="4" t="s">
        <v>589</v>
      </c>
      <c r="H66" s="6" t="s">
        <v>314</v>
      </c>
    </row>
    <row r="67" customFormat="false" ht="61.5" hidden="false" customHeight="true" outlineLevel="0" collapsed="false">
      <c r="A67" s="13" t="s">
        <v>590</v>
      </c>
      <c r="B67" s="4" t="s">
        <v>525</v>
      </c>
      <c r="C67" s="4" t="s">
        <v>526</v>
      </c>
      <c r="D67" s="6" t="s">
        <v>591</v>
      </c>
      <c r="E67" s="11" t="s">
        <v>592</v>
      </c>
      <c r="F67" s="4" t="s">
        <v>593</v>
      </c>
      <c r="G67" s="4" t="s">
        <v>594</v>
      </c>
      <c r="H67" s="6" t="s">
        <v>314</v>
      </c>
    </row>
    <row r="68" customFormat="false" ht="61.5" hidden="false" customHeight="true" outlineLevel="0" collapsed="false">
      <c r="A68" s="13" t="s">
        <v>595</v>
      </c>
      <c r="B68" s="4" t="s">
        <v>525</v>
      </c>
      <c r="C68" s="4" t="s">
        <v>309</v>
      </c>
      <c r="D68" s="4" t="s">
        <v>596</v>
      </c>
      <c r="E68" s="11" t="s">
        <v>597</v>
      </c>
      <c r="F68" s="4" t="s">
        <v>598</v>
      </c>
      <c r="G68" s="4" t="s">
        <v>599</v>
      </c>
      <c r="H68" s="6" t="s">
        <v>314</v>
      </c>
    </row>
    <row r="69" customFormat="false" ht="61.5" hidden="false" customHeight="true" outlineLevel="0" collapsed="false">
      <c r="A69" s="13" t="s">
        <v>600</v>
      </c>
      <c r="B69" s="4" t="s">
        <v>308</v>
      </c>
      <c r="C69" s="4" t="s">
        <v>601</v>
      </c>
      <c r="D69" s="4" t="s">
        <v>520</v>
      </c>
      <c r="E69" s="11" t="s">
        <v>602</v>
      </c>
      <c r="F69" s="6" t="s">
        <v>603</v>
      </c>
      <c r="G69" s="6" t="s">
        <v>604</v>
      </c>
      <c r="H69" s="6" t="s">
        <v>314</v>
      </c>
    </row>
    <row r="70" customFormat="false" ht="61.5" hidden="false" customHeight="true" outlineLevel="0" collapsed="false">
      <c r="A70" s="13" t="s">
        <v>605</v>
      </c>
      <c r="B70" s="4" t="s">
        <v>308</v>
      </c>
      <c r="C70" s="4" t="s">
        <v>601</v>
      </c>
      <c r="D70" s="4" t="s">
        <v>520</v>
      </c>
      <c r="E70" s="11" t="s">
        <v>606</v>
      </c>
      <c r="F70" s="6" t="s">
        <v>607</v>
      </c>
      <c r="G70" s="6" t="s">
        <v>608</v>
      </c>
      <c r="H70" s="6" t="s">
        <v>314</v>
      </c>
    </row>
    <row r="71" customFormat="false" ht="61.5" hidden="false" customHeight="true" outlineLevel="0" collapsed="false">
      <c r="A71" s="13" t="s">
        <v>609</v>
      </c>
      <c r="B71" s="4" t="s">
        <v>308</v>
      </c>
      <c r="C71" s="4" t="s">
        <v>610</v>
      </c>
      <c r="D71" s="4" t="s">
        <v>366</v>
      </c>
      <c r="E71" s="11" t="s">
        <v>611</v>
      </c>
      <c r="F71" s="6" t="s">
        <v>612</v>
      </c>
      <c r="G71" s="6" t="s">
        <v>613</v>
      </c>
      <c r="H71" s="6" t="s">
        <v>314</v>
      </c>
    </row>
    <row r="72" customFormat="false" ht="61.5" hidden="false" customHeight="true" outlineLevel="0" collapsed="false">
      <c r="A72" s="13" t="s">
        <v>614</v>
      </c>
      <c r="B72" s="4" t="s">
        <v>308</v>
      </c>
      <c r="C72" s="4" t="s">
        <v>350</v>
      </c>
      <c r="D72" s="4" t="s">
        <v>366</v>
      </c>
      <c r="E72" s="11" t="s">
        <v>615</v>
      </c>
      <c r="F72" s="6" t="s">
        <v>616</v>
      </c>
      <c r="G72" s="6" t="s">
        <v>617</v>
      </c>
      <c r="H72" s="6" t="s">
        <v>314</v>
      </c>
    </row>
    <row r="73" customFormat="false" ht="61.5" hidden="false" customHeight="true" outlineLevel="0" collapsed="false">
      <c r="A73" s="13" t="s">
        <v>618</v>
      </c>
      <c r="B73" s="4" t="s">
        <v>308</v>
      </c>
      <c r="C73" s="4" t="s">
        <v>344</v>
      </c>
      <c r="D73" s="4" t="s">
        <v>345</v>
      </c>
      <c r="E73" s="11" t="s">
        <v>619</v>
      </c>
      <c r="F73" s="4" t="s">
        <v>620</v>
      </c>
      <c r="G73" s="6" t="s">
        <v>621</v>
      </c>
      <c r="H73" s="6" t="s">
        <v>314</v>
      </c>
    </row>
    <row r="74" customFormat="false" ht="61.5" hidden="false" customHeight="true" outlineLevel="0" collapsed="false">
      <c r="A74" s="13" t="s">
        <v>622</v>
      </c>
      <c r="B74" s="4" t="s">
        <v>308</v>
      </c>
      <c r="C74" s="4" t="s">
        <v>344</v>
      </c>
      <c r="D74" s="4" t="s">
        <v>345</v>
      </c>
      <c r="E74" s="11" t="s">
        <v>623</v>
      </c>
      <c r="F74" s="4" t="s">
        <v>624</v>
      </c>
      <c r="G74" s="6" t="s">
        <v>625</v>
      </c>
      <c r="H74" s="6" t="s">
        <v>314</v>
      </c>
    </row>
    <row r="75" customFormat="false" ht="61.5" hidden="false" customHeight="true" outlineLevel="0" collapsed="false">
      <c r="A75" s="13" t="s">
        <v>626</v>
      </c>
      <c r="B75" s="4" t="s">
        <v>525</v>
      </c>
      <c r="C75" s="4" t="s">
        <v>316</v>
      </c>
      <c r="D75" s="4" t="s">
        <v>575</v>
      </c>
      <c r="E75" s="11" t="s">
        <v>627</v>
      </c>
      <c r="F75" s="6" t="s">
        <v>628</v>
      </c>
      <c r="G75" s="6" t="s">
        <v>629</v>
      </c>
      <c r="H75" s="6" t="s">
        <v>314</v>
      </c>
    </row>
    <row r="76" customFormat="false" ht="61.5" hidden="false" customHeight="true" outlineLevel="0" collapsed="false">
      <c r="A76" s="13" t="s">
        <v>630</v>
      </c>
      <c r="B76" s="4" t="s">
        <v>525</v>
      </c>
      <c r="C76" s="4" t="s">
        <v>309</v>
      </c>
      <c r="D76" s="4" t="s">
        <v>596</v>
      </c>
      <c r="E76" s="11" t="s">
        <v>631</v>
      </c>
      <c r="F76" s="4" t="s">
        <v>632</v>
      </c>
      <c r="G76" s="6" t="s">
        <v>633</v>
      </c>
      <c r="H76" s="6" t="s">
        <v>314</v>
      </c>
    </row>
  </sheetData>
  <autoFilter ref="A4:H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6"/>
    <col collapsed="false" customWidth="true" hidden="false" outlineLevel="0" max="6" min="4" style="0" width="8"/>
    <col collapsed="false" customWidth="true" hidden="false" outlineLevel="0" max="7" min="7" style="0" width="14"/>
    <col collapsed="false" customWidth="true" hidden="false" outlineLevel="0" max="8" min="8" style="0" width="9"/>
    <col collapsed="false" customWidth="true" hidden="false" outlineLevel="0" max="9" min="9" style="0" width="6"/>
    <col collapsed="false" customWidth="true" hidden="false" outlineLevel="0" max="10" min="10" style="0" width="8"/>
    <col collapsed="false" customWidth="true" hidden="false" outlineLevel="0" max="11" min="11" style="0" width="10"/>
    <col collapsed="false" customWidth="true" hidden="false" outlineLevel="0" max="12" min="12" style="0" width="70"/>
    <col collapsed="false" customWidth="true" hidden="false" outlineLevel="0" max="13" min="13" style="0" width="14"/>
    <col collapsed="false" customWidth="true" hidden="false" outlineLevel="0" max="14" min="14" style="0" width="55"/>
    <col collapsed="false" customWidth="true" hidden="false" outlineLevel="0" max="15" min="15" style="0" width="60"/>
    <col collapsed="false" customWidth="true" hidden="false" outlineLevel="0" max="16" min="16" style="0" width="36"/>
    <col collapsed="false" customWidth="true" hidden="false" outlineLevel="0" max="18" min="17" style="0" width="35"/>
    <col collapsed="false" customWidth="true" hidden="false" outlineLevel="0" max="21" min="19" style="0" width="8"/>
  </cols>
  <sheetData>
    <row r="1" customFormat="false" ht="19.4" hidden="false" customHeight="false" outlineLevel="0" collapsed="false">
      <c r="A1" s="7" t="s">
        <v>634</v>
      </c>
    </row>
    <row r="2" customFormat="false" ht="15" hidden="false" customHeight="false" outlineLevel="0" collapsed="false">
      <c r="A2" s="22" t="s">
        <v>635</v>
      </c>
    </row>
    <row r="4" customFormat="false" ht="39.55" hidden="false" customHeight="false" outlineLevel="0" collapsed="false">
      <c r="A4" s="8" t="s">
        <v>26</v>
      </c>
      <c r="B4" s="9" t="s">
        <v>636</v>
      </c>
      <c r="C4" s="9" t="s">
        <v>637</v>
      </c>
      <c r="D4" s="9" t="s">
        <v>638</v>
      </c>
      <c r="E4" s="9" t="s">
        <v>639</v>
      </c>
      <c r="F4" s="9" t="s">
        <v>640</v>
      </c>
      <c r="G4" s="9" t="s">
        <v>70</v>
      </c>
      <c r="H4" s="9" t="s">
        <v>8</v>
      </c>
      <c r="I4" s="9" t="s">
        <v>641</v>
      </c>
      <c r="J4" s="9" t="s">
        <v>642</v>
      </c>
      <c r="K4" s="9" t="s">
        <v>643</v>
      </c>
      <c r="L4" s="9" t="s">
        <v>644</v>
      </c>
      <c r="M4" s="9" t="s">
        <v>645</v>
      </c>
      <c r="N4" s="9" t="s">
        <v>646</v>
      </c>
      <c r="O4" s="9" t="s">
        <v>647</v>
      </c>
      <c r="P4" s="9" t="s">
        <v>648</v>
      </c>
      <c r="Q4" s="8" t="s">
        <v>649</v>
      </c>
      <c r="R4" s="9" t="s">
        <v>650</v>
      </c>
      <c r="S4" s="9" t="s">
        <v>18</v>
      </c>
      <c r="T4" s="9" t="s">
        <v>651</v>
      </c>
      <c r="U4" s="9" t="s">
        <v>652</v>
      </c>
    </row>
    <row r="5" customFormat="false" ht="150" hidden="false" customHeight="true" outlineLevel="0" collapsed="false">
      <c r="A5" s="23" t="s">
        <v>653</v>
      </c>
      <c r="B5" s="6" t="s">
        <v>654</v>
      </c>
      <c r="C5" s="4" t="s">
        <v>655</v>
      </c>
      <c r="D5" s="15" t="s">
        <v>656</v>
      </c>
      <c r="E5" s="15" t="s">
        <v>657</v>
      </c>
      <c r="F5" s="15" t="s">
        <v>658</v>
      </c>
      <c r="G5" s="4" t="str">
        <f aca="false">IFERROR(INDEX(관계동사!$B$5:$B$15,MATCH(F5,관계동사!$A$5:$A$15,0)),"")</f>
        <v>입력된다·활용된다</v>
      </c>
      <c r="H5" s="24" t="s">
        <v>659</v>
      </c>
      <c r="I5" s="15"/>
      <c r="J5" s="15"/>
      <c r="K5" s="4" t="s">
        <v>364</v>
      </c>
      <c r="L5" s="11" t="str">
        <f aca="false">IFERROR(INDEX(인용근거!$E$5:$E$76,MATCH(LEFT(K5,3),인용근거!$A$5:$A$76,0)),"원문에 S→T 연결 서술 없음")</f>
        <v>These requirements inform processes such as business impact assessment and criticality analysis, risk assessment, internal audits, and supply chain management.</v>
      </c>
      <c r="M5" s="4" t="s">
        <v>60</v>
      </c>
      <c r="N5" s="17" t="s">
        <v>660</v>
      </c>
      <c r="O5" s="14" t="s">
        <v>661</v>
      </c>
      <c r="P5" s="14" t="s">
        <v>662</v>
      </c>
      <c r="Q5" s="6" t="s">
        <v>663</v>
      </c>
      <c r="R5" s="6" t="s">
        <v>664</v>
      </c>
      <c r="S5" s="15" t="n">
        <f aca="false">COUNTIF(문항!$D$5:$D$183,A5)</f>
        <v>5</v>
      </c>
      <c r="T5" s="15" t="n">
        <f aca="false">SUM(적용매트릭스!B5:G5)</f>
        <v>5</v>
      </c>
      <c r="U5" s="23" t="str">
        <f aca="false">IF(S5=T5,"OK","확인")</f>
        <v>OK</v>
      </c>
    </row>
    <row r="6" customFormat="false" ht="150" hidden="false" customHeight="true" outlineLevel="0" collapsed="false">
      <c r="A6" s="23" t="s">
        <v>665</v>
      </c>
      <c r="B6" s="6" t="s">
        <v>654</v>
      </c>
      <c r="C6" s="4" t="s">
        <v>666</v>
      </c>
      <c r="D6" s="15" t="s">
        <v>656</v>
      </c>
      <c r="E6" s="15" t="s">
        <v>667</v>
      </c>
      <c r="F6" s="15" t="s">
        <v>658</v>
      </c>
      <c r="G6" s="4" t="str">
        <f aca="false">IFERROR(INDEX(관계동사!$B$5:$B$15,MATCH(F6,관계동사!$A$5:$A$15,0)),"")</f>
        <v>입력된다·활용된다</v>
      </c>
      <c r="H6" s="24" t="s">
        <v>659</v>
      </c>
      <c r="I6" s="15"/>
      <c r="J6" s="15"/>
      <c r="K6" s="4" t="s">
        <v>364</v>
      </c>
      <c r="L6" s="11" t="str">
        <f aca="false">IFERROR(INDEX(인용근거!$E$5:$E$76,MATCH(LEFT(K6,3),인용근거!$A$5:$A$76,0)),"원문에 S→T 연결 서술 없음")</f>
        <v>These requirements inform processes such as business impact assessment and criticality analysis, risk assessment, internal audits, and supply chain management.</v>
      </c>
      <c r="M6" s="4" t="s">
        <v>60</v>
      </c>
      <c r="N6" s="17" t="s">
        <v>668</v>
      </c>
      <c r="O6" s="12" t="s">
        <v>669</v>
      </c>
      <c r="P6" s="14" t="s">
        <v>662</v>
      </c>
      <c r="Q6" s="6" t="s">
        <v>663</v>
      </c>
      <c r="R6" s="6" t="s">
        <v>670</v>
      </c>
      <c r="S6" s="15" t="n">
        <f aca="false">COUNTIF(문항!$D$5:$D$183,A6)</f>
        <v>5</v>
      </c>
      <c r="T6" s="15" t="n">
        <f aca="false">SUM(적용매트릭스!B6:G6)</f>
        <v>5</v>
      </c>
      <c r="U6" s="23" t="str">
        <f aca="false">IF(S6=T6,"OK","확인")</f>
        <v>OK</v>
      </c>
    </row>
    <row r="7" customFormat="false" ht="150" hidden="false" customHeight="true" outlineLevel="0" collapsed="false">
      <c r="A7" s="23" t="s">
        <v>373</v>
      </c>
      <c r="B7" s="6" t="s">
        <v>654</v>
      </c>
      <c r="C7" s="4" t="s">
        <v>671</v>
      </c>
      <c r="D7" s="15" t="s">
        <v>657</v>
      </c>
      <c r="E7" s="15" t="s">
        <v>667</v>
      </c>
      <c r="F7" s="15" t="s">
        <v>672</v>
      </c>
      <c r="G7" s="4" t="str">
        <f aca="false">IFERROR(INDEX(관계동사!$B$5:$B$15,MATCH(F7,관계동사!$A$5:$A$15,0)),"")</f>
        <v>근거가 된다</v>
      </c>
      <c r="H7" s="24" t="s">
        <v>659</v>
      </c>
      <c r="I7" s="15"/>
      <c r="J7" s="15"/>
      <c r="K7" s="4" t="s">
        <v>370</v>
      </c>
      <c r="L7" s="11" t="str">
        <f aca="false">IFERROR(INDEX(인용근거!$E$5:$E$76,MATCH(LEFT(K7,3),인용근거!$A$5:$A$76,0)),"원문에 S→T 연결 서술 없음")</f>
        <v>The risk assessment process, which focuses on identifying potential disruptions, relies on the outcomes of the business impact assessment and criticality analysis as its foundation.</v>
      </c>
      <c r="M7" s="4" t="s">
        <v>374</v>
      </c>
      <c r="N7" s="17" t="s">
        <v>673</v>
      </c>
      <c r="O7" s="14" t="s">
        <v>674</v>
      </c>
      <c r="P7" s="14" t="s">
        <v>662</v>
      </c>
      <c r="Q7" s="6" t="s">
        <v>663</v>
      </c>
      <c r="R7" s="6" t="s">
        <v>670</v>
      </c>
      <c r="S7" s="15" t="n">
        <f aca="false">COUNTIF(문항!$D$5:$D$183,A7)</f>
        <v>5</v>
      </c>
      <c r="T7" s="15" t="n">
        <f aca="false">SUM(적용매트릭스!B7:G7)</f>
        <v>5</v>
      </c>
      <c r="U7" s="23" t="str">
        <f aca="false">IF(S7=T7,"OK","확인")</f>
        <v>OK</v>
      </c>
    </row>
    <row r="8" customFormat="false" ht="150" hidden="false" customHeight="true" outlineLevel="0" collapsed="false">
      <c r="A8" s="23" t="s">
        <v>675</v>
      </c>
      <c r="B8" s="6" t="s">
        <v>654</v>
      </c>
      <c r="C8" s="4" t="s">
        <v>676</v>
      </c>
      <c r="D8" s="15" t="s">
        <v>656</v>
      </c>
      <c r="E8" s="15" t="s">
        <v>677</v>
      </c>
      <c r="F8" s="15" t="s">
        <v>658</v>
      </c>
      <c r="G8" s="4" t="str">
        <f aca="false">IFERROR(INDEX(관계동사!$B$5:$B$15,MATCH(F8,관계동사!$A$5:$A$15,0)),"")</f>
        <v>입력된다·활용된다</v>
      </c>
      <c r="H8" s="24" t="s">
        <v>659</v>
      </c>
      <c r="I8" s="15"/>
      <c r="J8" s="15"/>
      <c r="K8" s="4" t="s">
        <v>364</v>
      </c>
      <c r="L8" s="11" t="str">
        <f aca="false">IFERROR(INDEX(인용근거!$E$5:$E$76,MATCH(LEFT(K8,3),인용근거!$A$5:$A$76,0)),"원문에 S→T 연결 서술 없음")</f>
        <v>These requirements inform processes such as business impact assessment and criticality analysis, risk assessment, internal audits, and supply chain management.</v>
      </c>
      <c r="M8" s="4" t="s">
        <v>60</v>
      </c>
      <c r="N8" s="17" t="s">
        <v>678</v>
      </c>
      <c r="O8" s="12" t="s">
        <v>679</v>
      </c>
      <c r="P8" s="14" t="s">
        <v>662</v>
      </c>
      <c r="Q8" s="6" t="s">
        <v>663</v>
      </c>
      <c r="R8" s="6" t="s">
        <v>670</v>
      </c>
      <c r="S8" s="15" t="n">
        <f aca="false">COUNTIF(문항!$D$5:$D$183,A8)</f>
        <v>5</v>
      </c>
      <c r="T8" s="15" t="n">
        <f aca="false">SUM(적용매트릭스!B8:G8)</f>
        <v>5</v>
      </c>
      <c r="U8" s="23" t="str">
        <f aca="false">IF(S8=T8,"OK","확인")</f>
        <v>OK</v>
      </c>
    </row>
    <row r="9" customFormat="false" ht="150" hidden="false" customHeight="true" outlineLevel="0" collapsed="false">
      <c r="A9" s="23" t="s">
        <v>680</v>
      </c>
      <c r="B9" s="6" t="s">
        <v>654</v>
      </c>
      <c r="C9" s="4" t="s">
        <v>681</v>
      </c>
      <c r="D9" s="15" t="s">
        <v>656</v>
      </c>
      <c r="E9" s="15" t="s">
        <v>682</v>
      </c>
      <c r="F9" s="15" t="s">
        <v>658</v>
      </c>
      <c r="G9" s="4" t="str">
        <f aca="false">IFERROR(INDEX(관계동사!$B$5:$B$15,MATCH(F9,관계동사!$A$5:$A$15,0)),"")</f>
        <v>입력된다·활용된다</v>
      </c>
      <c r="H9" s="24" t="s">
        <v>659</v>
      </c>
      <c r="I9" s="15"/>
      <c r="J9" s="15"/>
      <c r="K9" s="4" t="s">
        <v>364</v>
      </c>
      <c r="L9" s="11" t="str">
        <f aca="false">IFERROR(INDEX(인용근거!$E$5:$E$76,MATCH(LEFT(K9,3),인용근거!$A$5:$A$76,0)),"원문에 S→T 연결 서술 없음")</f>
        <v>These requirements inform processes such as business impact assessment and criticality analysis, risk assessment, internal audits, and supply chain management.</v>
      </c>
      <c r="M9" s="4" t="s">
        <v>481</v>
      </c>
      <c r="N9" s="17" t="s">
        <v>683</v>
      </c>
      <c r="O9" s="12" t="s">
        <v>684</v>
      </c>
      <c r="P9" s="14" t="s">
        <v>662</v>
      </c>
      <c r="Q9" s="6" t="s">
        <v>663</v>
      </c>
      <c r="R9" s="6" t="s">
        <v>670</v>
      </c>
      <c r="S9" s="15" t="n">
        <f aca="false">COUNTIF(문항!$D$5:$D$183,A9)</f>
        <v>5</v>
      </c>
      <c r="T9" s="15" t="n">
        <f aca="false">SUM(적용매트릭스!B9:G9)</f>
        <v>5</v>
      </c>
      <c r="U9" s="23" t="str">
        <f aca="false">IF(S9=T9,"OK","확인")</f>
        <v>OK</v>
      </c>
    </row>
    <row r="10" customFormat="false" ht="150" hidden="false" customHeight="true" outlineLevel="0" collapsed="false">
      <c r="A10" s="23" t="s">
        <v>381</v>
      </c>
      <c r="B10" s="6" t="s">
        <v>685</v>
      </c>
      <c r="C10" s="4" t="s">
        <v>686</v>
      </c>
      <c r="D10" s="15" t="s">
        <v>657</v>
      </c>
      <c r="E10" s="15" t="s">
        <v>687</v>
      </c>
      <c r="F10" s="15" t="s">
        <v>672</v>
      </c>
      <c r="G10" s="4" t="str">
        <f aca="false">IFERROR(INDEX(관계동사!$B$5:$B$15,MATCH(F10,관계동사!$A$5:$A$15,0)),"")</f>
        <v>근거가 된다</v>
      </c>
      <c r="H10" s="24" t="s">
        <v>659</v>
      </c>
      <c r="I10" s="15"/>
      <c r="J10" s="15"/>
      <c r="K10" s="4" t="s">
        <v>378</v>
      </c>
      <c r="L10" s="11" t="str">
        <f aca="false">IFERROR(INDEX(인용근거!$E$5:$E$76,MATCH(LEFT(K10,3),인용근거!$A$5:$A$76,0)),"원문에 S→T 연결 서술 없음")</f>
        <v>After the completion of the business impact assessment and criticality analysis process, the approved business continuity requirements guide the determination and selection of suitable BC strategies and solutions</v>
      </c>
      <c r="M10" s="4" t="s">
        <v>688</v>
      </c>
      <c r="N10" s="11" t="s">
        <v>689</v>
      </c>
      <c r="O10" s="14" t="s">
        <v>690</v>
      </c>
      <c r="P10" s="14" t="s">
        <v>662</v>
      </c>
      <c r="Q10" s="6" t="s">
        <v>663</v>
      </c>
      <c r="R10" s="6" t="s">
        <v>670</v>
      </c>
      <c r="S10" s="15" t="n">
        <f aca="false">COUNTIF(문항!$D$5:$D$183,A10)</f>
        <v>5</v>
      </c>
      <c r="T10" s="15" t="n">
        <f aca="false">SUM(적용매트릭스!B10:G10)</f>
        <v>5</v>
      </c>
      <c r="U10" s="23" t="str">
        <f aca="false">IF(S10=T10,"OK","확인")</f>
        <v>OK</v>
      </c>
    </row>
    <row r="11" customFormat="false" ht="150" hidden="false" customHeight="true" outlineLevel="0" collapsed="false">
      <c r="A11" s="23" t="s">
        <v>385</v>
      </c>
      <c r="B11" s="6" t="s">
        <v>685</v>
      </c>
      <c r="C11" s="4" t="s">
        <v>691</v>
      </c>
      <c r="D11" s="15" t="s">
        <v>687</v>
      </c>
      <c r="E11" s="15" t="s">
        <v>692</v>
      </c>
      <c r="F11" s="15" t="s">
        <v>693</v>
      </c>
      <c r="G11" s="4" t="str">
        <f aca="false">IFERROR(INDEX(관계동사!$B$5:$B$15,MATCH(F11,관계동사!$A$5:$A$15,0)),"")</f>
        <v>도출·이행된다</v>
      </c>
      <c r="H11" s="24" t="s">
        <v>659</v>
      </c>
      <c r="I11" s="15"/>
      <c r="J11" s="15"/>
      <c r="K11" s="4" t="s">
        <v>382</v>
      </c>
      <c r="L11" s="11" t="str">
        <f aca="false">IFERROR(INDEX(인용근거!$E$5:$E$76,MATCH(LEFT(K11,3),인용근거!$A$5:$A$76,0)),"원문에 S→T 연결 서술 없음")</f>
        <v>This process ensures that the BC strategies, solutions, and necessary changes are executed as planned.</v>
      </c>
      <c r="M11" s="4" t="s">
        <v>469</v>
      </c>
      <c r="N11" s="17" t="s">
        <v>694</v>
      </c>
      <c r="O11" s="12" t="s">
        <v>695</v>
      </c>
      <c r="P11" s="14" t="s">
        <v>662</v>
      </c>
      <c r="Q11" s="6" t="s">
        <v>663</v>
      </c>
      <c r="R11" s="6" t="s">
        <v>670</v>
      </c>
      <c r="S11" s="15" t="n">
        <f aca="false">COUNTIF(문항!$D$5:$D$183,A11)</f>
        <v>5</v>
      </c>
      <c r="T11" s="15" t="n">
        <f aca="false">SUM(적용매트릭스!B11:G11)</f>
        <v>5</v>
      </c>
      <c r="U11" s="23" t="str">
        <f aca="false">IF(S11=T11,"OK","확인")</f>
        <v>OK</v>
      </c>
    </row>
    <row r="12" customFormat="false" ht="150" hidden="false" customHeight="true" outlineLevel="0" collapsed="false">
      <c r="A12" s="23" t="s">
        <v>389</v>
      </c>
      <c r="B12" s="6" t="s">
        <v>685</v>
      </c>
      <c r="C12" s="4" t="s">
        <v>696</v>
      </c>
      <c r="D12" s="15" t="s">
        <v>687</v>
      </c>
      <c r="E12" s="15" t="s">
        <v>697</v>
      </c>
      <c r="F12" s="15" t="s">
        <v>693</v>
      </c>
      <c r="G12" s="4" t="str">
        <f aca="false">IFERROR(INDEX(관계동사!$B$5:$B$15,MATCH(F12,관계동사!$A$5:$A$15,0)),"")</f>
        <v>도출·이행된다</v>
      </c>
      <c r="H12" s="24" t="s">
        <v>659</v>
      </c>
      <c r="I12" s="15"/>
      <c r="J12" s="15"/>
      <c r="K12" s="4" t="s">
        <v>386</v>
      </c>
      <c r="L12" s="11" t="str">
        <f aca="false">IFERROR(INDEX(인용근거!$E$5:$E$76,MATCH(LEFT(K12,3),인용근거!$A$5:$A$76,0)),"원문에 S→T 연결 서술 없음")</f>
        <v>Corresponding BC plans and procedures, derived from the identified BC strategies and solutions, are developed within the process of developing BC plans and procedures.</v>
      </c>
      <c r="M12" s="4" t="s">
        <v>60</v>
      </c>
      <c r="N12" s="11" t="s">
        <v>698</v>
      </c>
      <c r="O12" s="14" t="s">
        <v>699</v>
      </c>
      <c r="P12" s="14" t="s">
        <v>662</v>
      </c>
      <c r="Q12" s="6" t="s">
        <v>663</v>
      </c>
      <c r="R12" s="6" t="s">
        <v>670</v>
      </c>
      <c r="S12" s="15" t="n">
        <f aca="false">COUNTIF(문항!$D$5:$D$183,A12)</f>
        <v>5</v>
      </c>
      <c r="T12" s="15" t="n">
        <f aca="false">SUM(적용매트릭스!B12:G12)</f>
        <v>5</v>
      </c>
      <c r="U12" s="23" t="str">
        <f aca="false">IF(S12=T12,"OK","확인")</f>
        <v>OK</v>
      </c>
    </row>
    <row r="13" customFormat="false" ht="150" hidden="false" customHeight="true" outlineLevel="0" collapsed="false">
      <c r="A13" s="23" t="s">
        <v>393</v>
      </c>
      <c r="B13" s="6" t="s">
        <v>685</v>
      </c>
      <c r="C13" s="4" t="s">
        <v>700</v>
      </c>
      <c r="D13" s="15" t="s">
        <v>667</v>
      </c>
      <c r="E13" s="15" t="s">
        <v>697</v>
      </c>
      <c r="F13" s="15" t="s">
        <v>658</v>
      </c>
      <c r="G13" s="4" t="str">
        <f aca="false">IFERROR(INDEX(관계동사!$B$5:$B$15,MATCH(F13,관계동사!$A$5:$A$15,0)),"")</f>
        <v>입력된다·활용된다</v>
      </c>
      <c r="H13" s="24" t="s">
        <v>659</v>
      </c>
      <c r="I13" s="15"/>
      <c r="J13" s="15"/>
      <c r="K13" s="4" t="s">
        <v>390</v>
      </c>
      <c r="L13" s="11" t="str">
        <f aca="false">IFERROR(INDEX(인용근거!$E$5:$E$76,MATCH(LEFT(K13,3),인용근거!$A$5:$A$76,0)),"원문에 S→T 연결 서술 없음")</f>
        <v>Furthermore, it includes risks associated with proposed changes, providing essential input for both communication activities and the development of business continuity plans and procedures.</v>
      </c>
      <c r="M13" s="4" t="s">
        <v>60</v>
      </c>
      <c r="N13" s="17" t="s">
        <v>701</v>
      </c>
      <c r="O13" s="14" t="s">
        <v>702</v>
      </c>
      <c r="P13" s="14" t="s">
        <v>662</v>
      </c>
      <c r="Q13" s="6" t="s">
        <v>663</v>
      </c>
      <c r="R13" s="6" t="s">
        <v>670</v>
      </c>
      <c r="S13" s="15" t="n">
        <f aca="false">COUNTIF(문항!$D$5:$D$183,A13)</f>
        <v>5</v>
      </c>
      <c r="T13" s="15" t="n">
        <f aca="false">SUM(적용매트릭스!B13:G13)</f>
        <v>5</v>
      </c>
      <c r="U13" s="23" t="str">
        <f aca="false">IF(S13=T13,"OK","확인")</f>
        <v>OK</v>
      </c>
    </row>
    <row r="14" customFormat="false" ht="150" hidden="false" customHeight="true" outlineLevel="0" collapsed="false">
      <c r="A14" s="23" t="s">
        <v>703</v>
      </c>
      <c r="B14" s="6" t="s">
        <v>685</v>
      </c>
      <c r="C14" s="4" t="s">
        <v>704</v>
      </c>
      <c r="D14" s="15" t="s">
        <v>705</v>
      </c>
      <c r="E14" s="15" t="s">
        <v>692</v>
      </c>
      <c r="F14" s="15" t="s">
        <v>706</v>
      </c>
      <c r="G14" s="4" t="str">
        <f aca="false">IFERROR(INDEX(관계동사!$B$5:$B$15,MATCH(F14,관계동사!$A$5:$A$15,0)),"")</f>
        <v>제공한다</v>
      </c>
      <c r="H14" s="25" t="s">
        <v>707</v>
      </c>
      <c r="I14" s="15"/>
      <c r="J14" s="15"/>
      <c r="K14" s="4" t="s">
        <v>394</v>
      </c>
      <c r="L14" s="11" t="str">
        <f aca="false">IFERROR(INDEX(인용근거!$E$5:$E$76,MATCH(LEFT(K14,3),인용근거!$A$5:$A$76,0)),"원문에 S→T 연결 서술 없음")</f>
        <v>Outputs from this process include documented resources for implementing and running selected strategies, as well as resources for operating core BCMS processes, along with reports on resource utilization for BCMS core processes and the customer relationship management process</v>
      </c>
      <c r="M14" s="4" t="s">
        <v>708</v>
      </c>
      <c r="N14" s="17" t="s">
        <v>709</v>
      </c>
      <c r="O14" s="14" t="s">
        <v>710</v>
      </c>
      <c r="P14" s="14" t="s">
        <v>662</v>
      </c>
      <c r="Q14" s="4" t="s">
        <v>711</v>
      </c>
      <c r="R14" s="6" t="s">
        <v>712</v>
      </c>
      <c r="S14" s="15" t="n">
        <f aca="false">COUNTIF(문항!$D$5:$D$183,A14)</f>
        <v>5</v>
      </c>
      <c r="T14" s="15" t="n">
        <f aca="false">SUM(적용매트릭스!B14:G14)</f>
        <v>5</v>
      </c>
      <c r="U14" s="23" t="str">
        <f aca="false">IF(S14=T14,"OK","확인")</f>
        <v>OK</v>
      </c>
    </row>
    <row r="15" customFormat="false" ht="150" hidden="false" customHeight="true" outlineLevel="0" collapsed="false">
      <c r="A15" s="23" t="s">
        <v>573</v>
      </c>
      <c r="B15" s="6" t="s">
        <v>685</v>
      </c>
      <c r="C15" s="4" t="s">
        <v>713</v>
      </c>
      <c r="D15" s="15" t="s">
        <v>657</v>
      </c>
      <c r="E15" s="15" t="s">
        <v>705</v>
      </c>
      <c r="F15" s="15" t="s">
        <v>658</v>
      </c>
      <c r="G15" s="4" t="str">
        <f aca="false">IFERROR(INDEX(관계동사!$B$5:$B$15,MATCH(F15,관계동사!$A$5:$A$15,0)),"")</f>
        <v>입력된다·활용된다</v>
      </c>
      <c r="H15" s="26" t="s">
        <v>714</v>
      </c>
      <c r="I15" s="15"/>
      <c r="J15" s="15"/>
      <c r="K15" s="4" t="s">
        <v>60</v>
      </c>
      <c r="L15" s="11" t="str">
        <f aca="false">IFERROR(INDEX(인용근거!$E$5:$E$76,MATCH(LEFT(K15,3),인용근거!$A$5:$A$76,0)),"원문에 S→T 연결 서술 없음")</f>
        <v>원문에 S→T 연결 서술 없음</v>
      </c>
      <c r="M15" s="4" t="s">
        <v>715</v>
      </c>
      <c r="N15" s="11" t="s">
        <v>716</v>
      </c>
      <c r="O15" s="14" t="s">
        <v>717</v>
      </c>
      <c r="P15" s="14" t="s">
        <v>662</v>
      </c>
      <c r="Q15" s="4" t="s">
        <v>718</v>
      </c>
      <c r="R15" s="6" t="s">
        <v>719</v>
      </c>
      <c r="S15" s="15" t="n">
        <f aca="false">COUNTIF(문항!$D$5:$D$183,A15)</f>
        <v>5</v>
      </c>
      <c r="T15" s="15" t="n">
        <f aca="false">SUM(적용매트릭스!B15:G15)</f>
        <v>5</v>
      </c>
      <c r="U15" s="23" t="str">
        <f aca="false">IF(S15=T15,"OK","확인")</f>
        <v>OK</v>
      </c>
    </row>
    <row r="16" customFormat="false" ht="150" hidden="false" customHeight="true" outlineLevel="0" collapsed="false">
      <c r="A16" s="23" t="s">
        <v>402</v>
      </c>
      <c r="B16" s="6" t="s">
        <v>720</v>
      </c>
      <c r="C16" s="4" t="s">
        <v>721</v>
      </c>
      <c r="D16" s="15" t="s">
        <v>697</v>
      </c>
      <c r="E16" s="15" t="s">
        <v>722</v>
      </c>
      <c r="F16" s="15" t="s">
        <v>693</v>
      </c>
      <c r="G16" s="4" t="str">
        <f aca="false">IFERROR(INDEX(관계동사!$B$5:$B$15,MATCH(F16,관계동사!$A$5:$A$15,0)),"")</f>
        <v>도출·이행된다</v>
      </c>
      <c r="H16" s="25" t="s">
        <v>707</v>
      </c>
      <c r="I16" s="15"/>
      <c r="J16" s="15"/>
      <c r="K16" s="4" t="s">
        <v>399</v>
      </c>
      <c r="L16" s="11" t="str">
        <f aca="false">IFERROR(INDEX(인용근거!$E$5:$E$76,MATCH(LEFT(K16,3),인용근거!$A$5:$A$76,0)),"원문에 S→T 연결 서술 없음")</f>
        <v>The activation of certain BC strategies and solutions is triggered when required, typically in response to a disruptive event, through the execution of BC plans and procedures.</v>
      </c>
      <c r="M16" s="4" t="s">
        <v>403</v>
      </c>
      <c r="N16" s="11" t="s">
        <v>723</v>
      </c>
      <c r="O16" s="14" t="s">
        <v>724</v>
      </c>
      <c r="P16" s="14" t="s">
        <v>662</v>
      </c>
      <c r="Q16" s="6" t="s">
        <v>663</v>
      </c>
      <c r="R16" s="6" t="s">
        <v>670</v>
      </c>
      <c r="S16" s="15" t="n">
        <f aca="false">COUNTIF(문항!$D$5:$D$183,A16)</f>
        <v>5</v>
      </c>
      <c r="T16" s="15" t="n">
        <f aca="false">SUM(적용매트릭스!B16:G16)</f>
        <v>5</v>
      </c>
      <c r="U16" s="23" t="str">
        <f aca="false">IF(S16=T16,"OK","확인")</f>
        <v>OK</v>
      </c>
    </row>
    <row r="17" customFormat="false" ht="150" hidden="false" customHeight="true" outlineLevel="0" collapsed="false">
      <c r="A17" s="23" t="s">
        <v>725</v>
      </c>
      <c r="B17" s="6" t="s">
        <v>720</v>
      </c>
      <c r="C17" s="4" t="s">
        <v>726</v>
      </c>
      <c r="D17" s="15" t="s">
        <v>722</v>
      </c>
      <c r="E17" s="15" t="s">
        <v>727</v>
      </c>
      <c r="F17" s="15" t="s">
        <v>728</v>
      </c>
      <c r="G17" s="4" t="str">
        <f aca="false">IFERROR(INDEX(관계동사!$B$5:$B$15,MATCH(F17,관계동사!$A$5:$A$15,0)),"")</f>
        <v>포함한다</v>
      </c>
      <c r="H17" s="24" t="s">
        <v>659</v>
      </c>
      <c r="I17" s="15"/>
      <c r="J17" s="15"/>
      <c r="K17" s="4" t="s">
        <v>407</v>
      </c>
      <c r="L17" s="11" t="str">
        <f aca="false">IFERROR(INDEX(인용근거!$E$5:$E$76,MATCH(LEFT(K17,3),인용근거!$A$5:$A$76,0)),"원문에 S→T 연결 서술 없음")</f>
        <v>It includes two primary subprocesses: the warning and communication process and the recovery process.</v>
      </c>
      <c r="M17" s="4" t="s">
        <v>403</v>
      </c>
      <c r="N17" s="17" t="s">
        <v>729</v>
      </c>
      <c r="O17" s="14" t="s">
        <v>730</v>
      </c>
      <c r="P17" s="14" t="s">
        <v>662</v>
      </c>
      <c r="Q17" s="6" t="s">
        <v>663</v>
      </c>
      <c r="R17" s="6" t="s">
        <v>731</v>
      </c>
      <c r="S17" s="15" t="n">
        <f aca="false">COUNTIF(문항!$D$5:$D$183,A17)</f>
        <v>5</v>
      </c>
      <c r="T17" s="15" t="n">
        <f aca="false">SUM(적용매트릭스!B17:G17)</f>
        <v>5</v>
      </c>
      <c r="U17" s="23" t="str">
        <f aca="false">IF(S17=T17,"OK","확인")</f>
        <v>OK</v>
      </c>
    </row>
    <row r="18" customFormat="false" ht="150" hidden="false" customHeight="true" outlineLevel="0" collapsed="false">
      <c r="A18" s="23" t="s">
        <v>414</v>
      </c>
      <c r="B18" s="6" t="s">
        <v>720</v>
      </c>
      <c r="C18" s="4" t="s">
        <v>732</v>
      </c>
      <c r="D18" s="15" t="s">
        <v>722</v>
      </c>
      <c r="E18" s="15" t="s">
        <v>733</v>
      </c>
      <c r="F18" s="15" t="s">
        <v>728</v>
      </c>
      <c r="G18" s="4" t="str">
        <f aca="false">IFERROR(INDEX(관계동사!$B$5:$B$15,MATCH(F18,관계동사!$A$5:$A$15,0)),"")</f>
        <v>포함한다</v>
      </c>
      <c r="H18" s="24" t="s">
        <v>659</v>
      </c>
      <c r="I18" s="15"/>
      <c r="J18" s="15"/>
      <c r="K18" s="4" t="s">
        <v>407</v>
      </c>
      <c r="L18" s="11" t="str">
        <f aca="false">IFERROR(INDEX(인용근거!$E$5:$E$76,MATCH(LEFT(K18,3),인용근거!$A$5:$A$76,0)),"원문에 S→T 연결 서술 없음")</f>
        <v>It includes two primary subprocesses: the warning and communication process and the recovery process.</v>
      </c>
      <c r="M18" s="4" t="s">
        <v>411</v>
      </c>
      <c r="N18" s="17" t="s">
        <v>734</v>
      </c>
      <c r="O18" s="14" t="s">
        <v>735</v>
      </c>
      <c r="P18" s="14" t="s">
        <v>662</v>
      </c>
      <c r="Q18" s="6" t="s">
        <v>663</v>
      </c>
      <c r="R18" s="6" t="s">
        <v>736</v>
      </c>
      <c r="S18" s="15" t="n">
        <f aca="false">COUNTIF(문항!$D$5:$D$183,A18)</f>
        <v>5</v>
      </c>
      <c r="T18" s="15" t="n">
        <f aca="false">SUM(적용매트릭스!B18:G18)</f>
        <v>5</v>
      </c>
      <c r="U18" s="23" t="str">
        <f aca="false">IF(S18=T18,"OK","확인")</f>
        <v>OK</v>
      </c>
    </row>
    <row r="19" customFormat="false" ht="150" hidden="false" customHeight="true" outlineLevel="0" collapsed="false">
      <c r="A19" s="23" t="s">
        <v>737</v>
      </c>
      <c r="B19" s="6" t="s">
        <v>720</v>
      </c>
      <c r="C19" s="4" t="s">
        <v>738</v>
      </c>
      <c r="D19" s="15" t="s">
        <v>697</v>
      </c>
      <c r="E19" s="15" t="s">
        <v>739</v>
      </c>
      <c r="F19" s="15" t="s">
        <v>740</v>
      </c>
      <c r="G19" s="4" t="str">
        <f aca="false">IFERROR(INDEX(관계동사!$B$5:$B$15,MATCH(F19,관계동사!$A$5:$A$15,0)),"")</f>
        <v>시험·검증된다</v>
      </c>
      <c r="H19" s="24" t="s">
        <v>659</v>
      </c>
      <c r="I19" s="15"/>
      <c r="J19" s="15"/>
      <c r="K19" s="4" t="s">
        <v>415</v>
      </c>
      <c r="L19" s="11" t="str">
        <f aca="false">IFERROR(INDEX(인용근거!$E$5:$E$76,MATCH(LEFT(K19,3),인용근거!$A$5:$A$76,0)),"원문에 S→T 연결 서술 없음")</f>
        <v>The process of exercising BC plans and procedures ensures that BC strategies and solutions and their corresponding BC plans and procedures, including warning and communication procedures, are tested regularly to validate their effectiveness and prompt any necessary adjustments or enhancements.</v>
      </c>
      <c r="M19" s="4" t="s">
        <v>60</v>
      </c>
      <c r="N19" s="11" t="s">
        <v>741</v>
      </c>
      <c r="O19" s="14" t="s">
        <v>742</v>
      </c>
      <c r="P19" s="14" t="s">
        <v>662</v>
      </c>
      <c r="Q19" s="6" t="s">
        <v>663</v>
      </c>
      <c r="R19" s="6" t="s">
        <v>670</v>
      </c>
      <c r="S19" s="15" t="n">
        <f aca="false">COUNTIF(문항!$D$5:$D$183,A19)</f>
        <v>5</v>
      </c>
      <c r="T19" s="15" t="n">
        <f aca="false">SUM(적용매트릭스!B19:G19)</f>
        <v>5</v>
      </c>
      <c r="U19" s="23" t="str">
        <f aca="false">IF(S19=T19,"OK","확인")</f>
        <v>OK</v>
      </c>
    </row>
    <row r="20" customFormat="false" ht="150" hidden="false" customHeight="true" outlineLevel="0" collapsed="false">
      <c r="A20" s="23" t="s">
        <v>743</v>
      </c>
      <c r="B20" s="6" t="s">
        <v>720</v>
      </c>
      <c r="C20" s="4" t="s">
        <v>744</v>
      </c>
      <c r="D20" s="15" t="s">
        <v>739</v>
      </c>
      <c r="E20" s="15" t="s">
        <v>697</v>
      </c>
      <c r="F20" s="15" t="s">
        <v>745</v>
      </c>
      <c r="G20" s="4" t="str">
        <f aca="false">IFERROR(INDEX(관계동사!$B$5:$B$15,MATCH(F20,관계동사!$A$5:$A$15,0)),"")</f>
        <v>개정·갱신한다</v>
      </c>
      <c r="H20" s="24" t="s">
        <v>659</v>
      </c>
      <c r="I20" s="15"/>
      <c r="J20" s="15" t="s">
        <v>746</v>
      </c>
      <c r="K20" s="4" t="s">
        <v>415</v>
      </c>
      <c r="L20" s="11" t="str">
        <f aca="false">IFERROR(INDEX(인용근거!$E$5:$E$76,MATCH(LEFT(K20,3),인용근거!$A$5:$A$76,0)),"원문에 S→T 연결 서술 없음")</f>
        <v>The process of exercising BC plans and procedures ensures that BC strategies and solutions and their corresponding BC plans and procedures, including warning and communication procedures, are tested regularly to validate their effectiveness and prompt any necessary adjustments or enhancements.</v>
      </c>
      <c r="M20" s="4" t="s">
        <v>60</v>
      </c>
      <c r="N20" s="17" t="s">
        <v>747</v>
      </c>
      <c r="O20" s="12" t="s">
        <v>748</v>
      </c>
      <c r="P20" s="12" t="s">
        <v>749</v>
      </c>
      <c r="Q20" s="6" t="s">
        <v>663</v>
      </c>
      <c r="R20" s="6" t="s">
        <v>670</v>
      </c>
      <c r="S20" s="15" t="n">
        <f aca="false">COUNTIF(문항!$D$5:$D$183,A20)</f>
        <v>6</v>
      </c>
      <c r="T20" s="15" t="n">
        <f aca="false">SUM(적용매트릭스!B20:G20)</f>
        <v>6</v>
      </c>
      <c r="U20" s="23" t="str">
        <f aca="false">IF(S20=T20,"OK","확인")</f>
        <v>OK</v>
      </c>
    </row>
    <row r="21" customFormat="false" ht="150" hidden="false" customHeight="true" outlineLevel="0" collapsed="false">
      <c r="A21" s="23" t="s">
        <v>750</v>
      </c>
      <c r="B21" s="6" t="s">
        <v>720</v>
      </c>
      <c r="C21" s="4" t="s">
        <v>751</v>
      </c>
      <c r="D21" s="15" t="s">
        <v>697</v>
      </c>
      <c r="E21" s="15" t="s">
        <v>752</v>
      </c>
      <c r="F21" s="15" t="s">
        <v>658</v>
      </c>
      <c r="G21" s="4" t="str">
        <f aca="false">IFERROR(INDEX(관계동사!$B$5:$B$15,MATCH(F21,관계동사!$A$5:$A$15,0)),"")</f>
        <v>입력된다·활용된다</v>
      </c>
      <c r="H21" s="26" t="s">
        <v>714</v>
      </c>
      <c r="I21" s="15"/>
      <c r="J21" s="15"/>
      <c r="K21" s="4" t="s">
        <v>60</v>
      </c>
      <c r="L21" s="11" t="str">
        <f aca="false">IFERROR(INDEX(인용근거!$E$5:$E$76,MATCH(LEFT(K21,3),인용근거!$A$5:$A$76,0)),"원문에 S→T 연결 서술 없음")</f>
        <v>원문에 S→T 연결 서술 없음</v>
      </c>
      <c r="M21" s="4" t="s">
        <v>753</v>
      </c>
      <c r="N21" s="11" t="s">
        <v>754</v>
      </c>
      <c r="O21" s="14" t="s">
        <v>755</v>
      </c>
      <c r="P21" s="14" t="s">
        <v>662</v>
      </c>
      <c r="Q21" s="4" t="s">
        <v>756</v>
      </c>
      <c r="R21" s="6" t="s">
        <v>757</v>
      </c>
      <c r="S21" s="15" t="n">
        <f aca="false">COUNTIF(문항!$D$5:$D$183,A21)</f>
        <v>5</v>
      </c>
      <c r="T21" s="15" t="n">
        <f aca="false">SUM(적용매트릭스!B21:G21)</f>
        <v>5</v>
      </c>
      <c r="U21" s="23" t="str">
        <f aca="false">IF(S21=T21,"OK","확인")</f>
        <v>OK</v>
      </c>
    </row>
    <row r="22" customFormat="false" ht="150" hidden="false" customHeight="true" outlineLevel="0" collapsed="false">
      <c r="A22" s="23" t="s">
        <v>758</v>
      </c>
      <c r="B22" s="6" t="s">
        <v>759</v>
      </c>
      <c r="C22" s="4" t="s">
        <v>760</v>
      </c>
      <c r="D22" s="15" t="s">
        <v>761</v>
      </c>
      <c r="E22" s="15" t="s">
        <v>762</v>
      </c>
      <c r="F22" s="15" t="s">
        <v>763</v>
      </c>
      <c r="G22" s="4" t="str">
        <f aca="false">IFERROR(INDEX(관계동사!$B$5:$B$15,MATCH(F22,관계동사!$A$5:$A$15,0)),"")</f>
        <v>환류된다</v>
      </c>
      <c r="H22" s="24" t="s">
        <v>659</v>
      </c>
      <c r="I22" s="15"/>
      <c r="J22" s="15" t="s">
        <v>746</v>
      </c>
      <c r="K22" s="4" t="s">
        <v>423</v>
      </c>
      <c r="L22" s="11" t="str">
        <f aca="false">IFERROR(INDEX(인용근거!$E$5:$E$76,MATCH(LEFT(K22,3),인용근거!$A$5:$A$76,0)),"원문에 S→T 연결 서술 없음")</f>
        <v>Results from the performance evaluation process, the internal audit process, and the supply chain management process are used to improve the effectiveness, efficiency, suitability, and adequacy of the BCMS and the strategies, solutions, plans, and procedures.</v>
      </c>
      <c r="M22" s="4" t="s">
        <v>511</v>
      </c>
      <c r="N22" s="17" t="s">
        <v>764</v>
      </c>
      <c r="O22" s="14" t="s">
        <v>765</v>
      </c>
      <c r="P22" s="12" t="s">
        <v>749</v>
      </c>
      <c r="Q22" s="6" t="s">
        <v>663</v>
      </c>
      <c r="R22" s="6" t="s">
        <v>670</v>
      </c>
      <c r="S22" s="15" t="n">
        <f aca="false">COUNTIF(문항!$D$5:$D$183,A22)</f>
        <v>6</v>
      </c>
      <c r="T22" s="15" t="n">
        <f aca="false">SUM(적용매트릭스!B22:G22)</f>
        <v>6</v>
      </c>
      <c r="U22" s="23" t="str">
        <f aca="false">IF(S22=T22,"OK","확인")</f>
        <v>OK</v>
      </c>
    </row>
    <row r="23" customFormat="false" ht="150" hidden="false" customHeight="true" outlineLevel="0" collapsed="false">
      <c r="A23" s="23" t="s">
        <v>766</v>
      </c>
      <c r="B23" s="6" t="s">
        <v>759</v>
      </c>
      <c r="C23" s="4" t="s">
        <v>767</v>
      </c>
      <c r="D23" s="15" t="s">
        <v>677</v>
      </c>
      <c r="E23" s="15" t="s">
        <v>762</v>
      </c>
      <c r="F23" s="15" t="s">
        <v>763</v>
      </c>
      <c r="G23" s="4" t="str">
        <f aca="false">IFERROR(INDEX(관계동사!$B$5:$B$15,MATCH(F23,관계동사!$A$5:$A$15,0)),"")</f>
        <v>환류된다</v>
      </c>
      <c r="H23" s="24" t="s">
        <v>659</v>
      </c>
      <c r="I23" s="15"/>
      <c r="J23" s="15" t="s">
        <v>746</v>
      </c>
      <c r="K23" s="4" t="s">
        <v>423</v>
      </c>
      <c r="L23" s="11" t="str">
        <f aca="false">IFERROR(INDEX(인용근거!$E$5:$E$76,MATCH(LEFT(K23,3),인용근거!$A$5:$A$76,0)),"원문에 S→T 연결 서술 없음")</f>
        <v>Results from the performance evaluation process, the internal audit process, and the supply chain management process are used to improve the effectiveness, efficiency, suitability, and adequacy of the BCMS and the strategies, solutions, plans, and procedures.</v>
      </c>
      <c r="M23" s="4" t="s">
        <v>511</v>
      </c>
      <c r="N23" s="17" t="s">
        <v>768</v>
      </c>
      <c r="O23" s="12" t="s">
        <v>769</v>
      </c>
      <c r="P23" s="12" t="s">
        <v>749</v>
      </c>
      <c r="Q23" s="6" t="s">
        <v>663</v>
      </c>
      <c r="R23" s="6" t="s">
        <v>670</v>
      </c>
      <c r="S23" s="15" t="n">
        <f aca="false">COUNTIF(문항!$D$5:$D$183,A23)</f>
        <v>6</v>
      </c>
      <c r="T23" s="15" t="n">
        <f aca="false">SUM(적용매트릭스!B23:G23)</f>
        <v>6</v>
      </c>
      <c r="U23" s="23" t="str">
        <f aca="false">IF(S23=T23,"OK","확인")</f>
        <v>OK</v>
      </c>
    </row>
    <row r="24" customFormat="false" ht="150" hidden="false" customHeight="true" outlineLevel="0" collapsed="false">
      <c r="A24" s="23" t="s">
        <v>770</v>
      </c>
      <c r="B24" s="6" t="s">
        <v>759</v>
      </c>
      <c r="C24" s="4" t="s">
        <v>771</v>
      </c>
      <c r="D24" s="15" t="s">
        <v>682</v>
      </c>
      <c r="E24" s="15" t="s">
        <v>762</v>
      </c>
      <c r="F24" s="15" t="s">
        <v>763</v>
      </c>
      <c r="G24" s="4" t="str">
        <f aca="false">IFERROR(INDEX(관계동사!$B$5:$B$15,MATCH(F24,관계동사!$A$5:$A$15,0)),"")</f>
        <v>환류된다</v>
      </c>
      <c r="H24" s="24" t="s">
        <v>659</v>
      </c>
      <c r="I24" s="15"/>
      <c r="J24" s="15" t="s">
        <v>746</v>
      </c>
      <c r="K24" s="4" t="s">
        <v>423</v>
      </c>
      <c r="L24" s="11" t="str">
        <f aca="false">IFERROR(INDEX(인용근거!$E$5:$E$76,MATCH(LEFT(K24,3),인용근거!$A$5:$A$76,0)),"원문에 S→T 연결 서술 없음")</f>
        <v>Results from the performance evaluation process, the internal audit process, and the supply chain management process are used to improve the effectiveness, efficiency, suitability, and adequacy of the BCMS and the strategies, solutions, plans, and procedures.</v>
      </c>
      <c r="M24" s="4" t="s">
        <v>511</v>
      </c>
      <c r="N24" s="17" t="s">
        <v>772</v>
      </c>
      <c r="O24" s="12" t="s">
        <v>769</v>
      </c>
      <c r="P24" s="12" t="s">
        <v>749</v>
      </c>
      <c r="Q24" s="6" t="s">
        <v>663</v>
      </c>
      <c r="R24" s="6" t="s">
        <v>670</v>
      </c>
      <c r="S24" s="15" t="n">
        <f aca="false">COUNTIF(문항!$D$5:$D$183,A24)</f>
        <v>6</v>
      </c>
      <c r="T24" s="15" t="n">
        <f aca="false">SUM(적용매트릭스!B24:G24)</f>
        <v>6</v>
      </c>
      <c r="U24" s="23" t="str">
        <f aca="false">IF(S24=T24,"OK","확인")</f>
        <v>OK</v>
      </c>
    </row>
    <row r="25" customFormat="false" ht="150" hidden="false" customHeight="true" outlineLevel="0" collapsed="false">
      <c r="A25" s="23" t="s">
        <v>431</v>
      </c>
      <c r="B25" s="6" t="s">
        <v>759</v>
      </c>
      <c r="C25" s="4" t="s">
        <v>773</v>
      </c>
      <c r="D25" s="15" t="s">
        <v>774</v>
      </c>
      <c r="E25" s="15" t="s">
        <v>667</v>
      </c>
      <c r="F25" s="15" t="s">
        <v>775</v>
      </c>
      <c r="G25" s="4" t="str">
        <f aca="false">IFERROR(INDEX(관계동사!$B$5:$B$15,MATCH(F25,관계동사!$A$5:$A$15,0)),"")</f>
        <v>수행을 촉발한다</v>
      </c>
      <c r="H25" s="24" t="s">
        <v>659</v>
      </c>
      <c r="I25" s="15"/>
      <c r="J25" s="15"/>
      <c r="K25" s="4" t="s">
        <v>432</v>
      </c>
      <c r="L25" s="11" t="str">
        <f aca="false">IFERROR(INDEX(인용근거!$E$5:$E$76,MATCH(LEFT(K25,3),인용근거!$A$5:$A$76,0)),"원문에 S→T 연결 서술 없음")</f>
        <v>Initiation of risk assessment in response to significant proposed or occurring changes; and</v>
      </c>
      <c r="M25" s="4" t="s">
        <v>427</v>
      </c>
      <c r="N25" s="11" t="s">
        <v>776</v>
      </c>
      <c r="O25" s="14" t="s">
        <v>777</v>
      </c>
      <c r="P25" s="14" t="s">
        <v>662</v>
      </c>
      <c r="Q25" s="6" t="s">
        <v>663</v>
      </c>
      <c r="R25" s="6" t="s">
        <v>670</v>
      </c>
      <c r="S25" s="15" t="n">
        <f aca="false">COUNTIF(문항!$D$5:$D$183,A25)</f>
        <v>5</v>
      </c>
      <c r="T25" s="15" t="n">
        <f aca="false">SUM(적용매트릭스!B25:G25)</f>
        <v>5</v>
      </c>
      <c r="U25" s="23" t="str">
        <f aca="false">IF(S25=T25,"OK","확인")</f>
        <v>OK</v>
      </c>
    </row>
    <row r="26" customFormat="false" ht="150" hidden="false" customHeight="true" outlineLevel="0" collapsed="false">
      <c r="A26" s="23" t="s">
        <v>440</v>
      </c>
      <c r="B26" s="6" t="s">
        <v>759</v>
      </c>
      <c r="C26" s="4" t="s">
        <v>778</v>
      </c>
      <c r="D26" s="15" t="s">
        <v>774</v>
      </c>
      <c r="E26" s="15" t="s">
        <v>779</v>
      </c>
      <c r="F26" s="15" t="s">
        <v>745</v>
      </c>
      <c r="G26" s="4" t="str">
        <f aca="false">IFERROR(INDEX(관계동사!$B$5:$B$15,MATCH(F26,관계동사!$A$5:$A$15,0)),"")</f>
        <v>개정·갱신한다</v>
      </c>
      <c r="H26" s="24" t="s">
        <v>659</v>
      </c>
      <c r="I26" s="15"/>
      <c r="J26" s="15"/>
      <c r="K26" s="4" t="s">
        <v>436</v>
      </c>
      <c r="L26" s="11" t="str">
        <f aca="false">IFERROR(INDEX(인용근거!$E$5:$E$76,MATCH(LEFT(K26,3),인용근거!$A$5:$A$76,0)),"원문에 S→T 연결 서술 없음")</f>
        <v>Necessary changes (for the process of controlling documented information);</v>
      </c>
      <c r="M26" s="4" t="s">
        <v>488</v>
      </c>
      <c r="N26" s="11" t="s">
        <v>780</v>
      </c>
      <c r="O26" s="14" t="s">
        <v>781</v>
      </c>
      <c r="P26" s="14" t="s">
        <v>662</v>
      </c>
      <c r="Q26" s="6" t="s">
        <v>663</v>
      </c>
      <c r="R26" s="6" t="s">
        <v>670</v>
      </c>
      <c r="S26" s="15" t="n">
        <f aca="false">COUNTIF(문항!$D$5:$D$183,A26)</f>
        <v>5</v>
      </c>
      <c r="T26" s="15" t="n">
        <f aca="false">SUM(적용매트릭스!B26:G26)</f>
        <v>5</v>
      </c>
      <c r="U26" s="23" t="str">
        <f aca="false">IF(S26=T26,"OK","확인")</f>
        <v>OK</v>
      </c>
    </row>
    <row r="27" customFormat="false" ht="150" hidden="false" customHeight="true" outlineLevel="0" collapsed="false">
      <c r="A27" s="23" t="s">
        <v>782</v>
      </c>
      <c r="B27" s="6" t="s">
        <v>759</v>
      </c>
      <c r="C27" s="4" t="s">
        <v>783</v>
      </c>
      <c r="D27" s="15" t="s">
        <v>722</v>
      </c>
      <c r="E27" s="15" t="s">
        <v>774</v>
      </c>
      <c r="F27" s="15" t="s">
        <v>775</v>
      </c>
      <c r="G27" s="4" t="str">
        <f aca="false">IFERROR(INDEX(관계동사!$B$5:$B$15,MATCH(F27,관계동사!$A$5:$A$15,0)),"")</f>
        <v>수행을 촉발한다</v>
      </c>
      <c r="H27" s="24" t="s">
        <v>659</v>
      </c>
      <c r="I27" s="15"/>
      <c r="J27" s="15" t="s">
        <v>746</v>
      </c>
      <c r="K27" s="4" t="s">
        <v>441</v>
      </c>
      <c r="L27" s="11" t="str">
        <f aca="false">IFERROR(INDEX(인용근거!$E$5:$E$76,MATCH(LEFT(K27,3),인용근거!$A$5:$A$76,0)),"원문에 S→T 연결 서술 없음")</f>
        <v>The results of changes to the incident and emergency handling process or the process of exercising BC plans and procedures—as those processes initiated them.</v>
      </c>
      <c r="M27" s="4" t="s">
        <v>60</v>
      </c>
      <c r="N27" s="17" t="s">
        <v>784</v>
      </c>
      <c r="O27" s="14" t="s">
        <v>785</v>
      </c>
      <c r="P27" s="12" t="s">
        <v>749</v>
      </c>
      <c r="Q27" s="6" t="s">
        <v>663</v>
      </c>
      <c r="R27" s="6" t="s">
        <v>670</v>
      </c>
      <c r="S27" s="15" t="n">
        <f aca="false">COUNTIF(문항!$D$5:$D$183,A27)</f>
        <v>6</v>
      </c>
      <c r="T27" s="15" t="n">
        <f aca="false">SUM(적용매트릭스!B27:G27)</f>
        <v>6</v>
      </c>
      <c r="U27" s="23" t="str">
        <f aca="false">IF(S27=T27,"OK","확인")</f>
        <v>OK</v>
      </c>
    </row>
    <row r="28" customFormat="false" ht="150" hidden="false" customHeight="true" outlineLevel="0" collapsed="false">
      <c r="A28" s="23" t="s">
        <v>786</v>
      </c>
      <c r="B28" s="6" t="s">
        <v>759</v>
      </c>
      <c r="C28" s="4" t="s">
        <v>787</v>
      </c>
      <c r="D28" s="15" t="s">
        <v>739</v>
      </c>
      <c r="E28" s="15" t="s">
        <v>774</v>
      </c>
      <c r="F28" s="15" t="s">
        <v>775</v>
      </c>
      <c r="G28" s="4" t="str">
        <f aca="false">IFERROR(INDEX(관계동사!$B$5:$B$15,MATCH(F28,관계동사!$A$5:$A$15,0)),"")</f>
        <v>수행을 촉발한다</v>
      </c>
      <c r="H28" s="24" t="s">
        <v>659</v>
      </c>
      <c r="I28" s="15"/>
      <c r="J28" s="15" t="s">
        <v>746</v>
      </c>
      <c r="K28" s="4" t="s">
        <v>441</v>
      </c>
      <c r="L28" s="11" t="str">
        <f aca="false">IFERROR(INDEX(인용근거!$E$5:$E$76,MATCH(LEFT(K28,3),인용근거!$A$5:$A$76,0)),"원문에 S→T 연결 서술 없음")</f>
        <v>The results of changes to the incident and emergency handling process or the process of exercising BC plans and procedures—as those processes initiated them.</v>
      </c>
      <c r="M28" s="4" t="s">
        <v>60</v>
      </c>
      <c r="N28" s="17" t="s">
        <v>788</v>
      </c>
      <c r="O28" s="12" t="s">
        <v>789</v>
      </c>
      <c r="P28" s="12" t="s">
        <v>749</v>
      </c>
      <c r="Q28" s="6" t="s">
        <v>663</v>
      </c>
      <c r="R28" s="6" t="s">
        <v>670</v>
      </c>
      <c r="S28" s="15" t="n">
        <f aca="false">COUNTIF(문항!$D$5:$D$183,A28)</f>
        <v>6</v>
      </c>
      <c r="T28" s="15" t="n">
        <f aca="false">SUM(적용매트릭스!B28:G28)</f>
        <v>6</v>
      </c>
      <c r="U28" s="23" t="str">
        <f aca="false">IF(S28=T28,"OK","확인")</f>
        <v>OK</v>
      </c>
    </row>
    <row r="29" customFormat="false" ht="150" hidden="false" customHeight="true" outlineLevel="0" collapsed="false">
      <c r="A29" s="23" t="s">
        <v>790</v>
      </c>
      <c r="B29" s="6" t="s">
        <v>759</v>
      </c>
      <c r="C29" s="4" t="s">
        <v>791</v>
      </c>
      <c r="D29" s="15" t="s">
        <v>774</v>
      </c>
      <c r="E29" s="15" t="s">
        <v>722</v>
      </c>
      <c r="F29" s="15" t="s">
        <v>763</v>
      </c>
      <c r="G29" s="4" t="str">
        <f aca="false">IFERROR(INDEX(관계동사!$B$5:$B$15,MATCH(F29,관계동사!$A$5:$A$15,0)),"")</f>
        <v>환류된다</v>
      </c>
      <c r="H29" s="24" t="s">
        <v>659</v>
      </c>
      <c r="I29" s="15"/>
      <c r="J29" s="15" t="s">
        <v>746</v>
      </c>
      <c r="K29" s="4" t="s">
        <v>441</v>
      </c>
      <c r="L29" s="11" t="str">
        <f aca="false">IFERROR(INDEX(인용근거!$E$5:$E$76,MATCH(LEFT(K29,3),인용근거!$A$5:$A$76,0)),"원문에 S→T 연결 서술 없음")</f>
        <v>The results of changes to the incident and emergency handling process or the process of exercising BC plans and procedures—as those processes initiated them.</v>
      </c>
      <c r="M29" s="4" t="s">
        <v>60</v>
      </c>
      <c r="N29" s="17" t="s">
        <v>792</v>
      </c>
      <c r="O29" s="12" t="s">
        <v>793</v>
      </c>
      <c r="P29" s="12" t="s">
        <v>749</v>
      </c>
      <c r="Q29" s="6" t="s">
        <v>663</v>
      </c>
      <c r="R29" s="6" t="s">
        <v>670</v>
      </c>
      <c r="S29" s="15" t="n">
        <f aca="false">COUNTIF(문항!$D$5:$D$183,A29)</f>
        <v>6</v>
      </c>
      <c r="T29" s="15" t="n">
        <f aca="false">SUM(적용매트릭스!B29:G29)</f>
        <v>6</v>
      </c>
      <c r="U29" s="23" t="str">
        <f aca="false">IF(S29=T29,"OK","확인")</f>
        <v>OK</v>
      </c>
    </row>
    <row r="30" customFormat="false" ht="150" hidden="false" customHeight="true" outlineLevel="0" collapsed="false">
      <c r="A30" s="23" t="s">
        <v>794</v>
      </c>
      <c r="B30" s="6" t="s">
        <v>759</v>
      </c>
      <c r="C30" s="4" t="s">
        <v>795</v>
      </c>
      <c r="D30" s="15" t="s">
        <v>774</v>
      </c>
      <c r="E30" s="15" t="s">
        <v>739</v>
      </c>
      <c r="F30" s="15" t="s">
        <v>763</v>
      </c>
      <c r="G30" s="4" t="str">
        <f aca="false">IFERROR(INDEX(관계동사!$B$5:$B$15,MATCH(F30,관계동사!$A$5:$A$15,0)),"")</f>
        <v>환류된다</v>
      </c>
      <c r="H30" s="24" t="s">
        <v>659</v>
      </c>
      <c r="I30" s="15"/>
      <c r="J30" s="15" t="s">
        <v>746</v>
      </c>
      <c r="K30" s="4" t="s">
        <v>441</v>
      </c>
      <c r="L30" s="11" t="str">
        <f aca="false">IFERROR(INDEX(인용근거!$E$5:$E$76,MATCH(LEFT(K30,3),인용근거!$A$5:$A$76,0)),"원문에 S→T 연결 서술 없음")</f>
        <v>The results of changes to the incident and emergency handling process or the process of exercising BC plans and procedures—as those processes initiated them.</v>
      </c>
      <c r="M30" s="4" t="s">
        <v>60</v>
      </c>
      <c r="N30" s="17" t="s">
        <v>796</v>
      </c>
      <c r="O30" s="12" t="s">
        <v>789</v>
      </c>
      <c r="P30" s="12" t="s">
        <v>749</v>
      </c>
      <c r="Q30" s="6" t="s">
        <v>663</v>
      </c>
      <c r="R30" s="6" t="s">
        <v>670</v>
      </c>
      <c r="S30" s="15" t="n">
        <f aca="false">COUNTIF(문항!$D$5:$D$183,A30)</f>
        <v>6</v>
      </c>
      <c r="T30" s="15" t="n">
        <f aca="false">SUM(적용매트릭스!B30:G30)</f>
        <v>6</v>
      </c>
      <c r="U30" s="23" t="str">
        <f aca="false">IF(S30=T30,"OK","확인")</f>
        <v>OK</v>
      </c>
    </row>
    <row r="31" customFormat="false" ht="150" hidden="false" customHeight="true" outlineLevel="0" collapsed="false">
      <c r="A31" s="23" t="s">
        <v>449</v>
      </c>
      <c r="B31" s="6" t="s">
        <v>797</v>
      </c>
      <c r="C31" s="6" t="s">
        <v>798</v>
      </c>
      <c r="D31" s="15" t="s">
        <v>799</v>
      </c>
      <c r="E31" s="15" t="s">
        <v>800</v>
      </c>
      <c r="F31" s="15" t="s">
        <v>801</v>
      </c>
      <c r="G31" s="4" t="str">
        <f aca="false">IFERROR(INDEX(관계동사!$B$5:$B$15,MATCH(F31,관계동사!$A$5:$A$15,0)),"")</f>
        <v>전달된다</v>
      </c>
      <c r="H31" s="24" t="s">
        <v>659</v>
      </c>
      <c r="I31" s="27" t="s">
        <v>641</v>
      </c>
      <c r="J31" s="27"/>
      <c r="K31" s="4" t="s">
        <v>446</v>
      </c>
      <c r="L31" s="11" t="str">
        <f aca="false">IFERROR(INDEX(인용근거!$E$5:$E$76,MATCH(LEFT(K31,3),인용근거!$A$5:$A$76,0)),"원문에 S→T 연결 서술 없음")</f>
        <v>The outcomes of nearly all BCMS processes are communicated centrally to stakeholders external to the BCMS as part of the consultation and communication process.</v>
      </c>
      <c r="M31" s="4" t="s">
        <v>485</v>
      </c>
      <c r="N31" s="17" t="s">
        <v>802</v>
      </c>
      <c r="O31" s="14" t="s">
        <v>803</v>
      </c>
      <c r="P31" s="14" t="s">
        <v>662</v>
      </c>
      <c r="Q31" s="6" t="s">
        <v>663</v>
      </c>
      <c r="R31" s="6" t="s">
        <v>804</v>
      </c>
      <c r="S31" s="27" t="n">
        <f aca="false">COUNTIF(문항!$D$5:$D$183,A31)</f>
        <v>5</v>
      </c>
      <c r="T31" s="27" t="n">
        <f aca="false">SUM(적용매트릭스!B31:G31)</f>
        <v>5</v>
      </c>
      <c r="U31" s="23" t="str">
        <f aca="false">IF(S31=T31,"OK","확인")</f>
        <v>OK</v>
      </c>
    </row>
    <row r="32" customFormat="false" ht="150" hidden="false" customHeight="true" outlineLevel="0" collapsed="false">
      <c r="A32" s="23" t="s">
        <v>453</v>
      </c>
      <c r="B32" s="6" t="s">
        <v>797</v>
      </c>
      <c r="C32" s="4" t="s">
        <v>805</v>
      </c>
      <c r="D32" s="15" t="s">
        <v>800</v>
      </c>
      <c r="E32" s="15" t="s">
        <v>806</v>
      </c>
      <c r="F32" s="15" t="s">
        <v>658</v>
      </c>
      <c r="G32" s="4" t="str">
        <f aca="false">IFERROR(INDEX(관계동사!$B$5:$B$15,MATCH(F32,관계동사!$A$5:$A$15,0)),"")</f>
        <v>입력된다·활용된다</v>
      </c>
      <c r="H32" s="24" t="s">
        <v>659</v>
      </c>
      <c r="I32" s="27"/>
      <c r="J32" s="27"/>
      <c r="K32" s="4" t="s">
        <v>450</v>
      </c>
      <c r="L32" s="11" t="str">
        <f aca="false">IFERROR(INDEX(인용근거!$E$5:$E$76,MATCH(LEFT(K32,3),인용근거!$A$5:$A$76,0)),"원문에 S→T 연결 서술 없음")</f>
        <v>These reports and identified requirements serve as inputs for the BC governance process.</v>
      </c>
      <c r="M32" s="4" t="s">
        <v>515</v>
      </c>
      <c r="N32" s="17" t="s">
        <v>807</v>
      </c>
      <c r="O32" s="14" t="s">
        <v>808</v>
      </c>
      <c r="P32" s="14" t="s">
        <v>662</v>
      </c>
      <c r="Q32" s="6" t="s">
        <v>663</v>
      </c>
      <c r="R32" s="6" t="s">
        <v>670</v>
      </c>
      <c r="S32" s="27" t="n">
        <f aca="false">COUNTIF(문항!$D$5:$D$183,A32)</f>
        <v>5</v>
      </c>
      <c r="T32" s="27" t="n">
        <f aca="false">SUM(적용매트릭스!B32:G32)</f>
        <v>5</v>
      </c>
      <c r="U32" s="23" t="str">
        <f aca="false">IF(S32=T32,"OK","확인")</f>
        <v>OK</v>
      </c>
    </row>
    <row r="33" customFormat="false" ht="150" hidden="false" customHeight="true" outlineLevel="0" collapsed="false">
      <c r="A33" s="23" t="s">
        <v>462</v>
      </c>
      <c r="B33" s="6" t="s">
        <v>797</v>
      </c>
      <c r="C33" s="4" t="s">
        <v>809</v>
      </c>
      <c r="D33" s="15" t="s">
        <v>806</v>
      </c>
      <c r="E33" s="15" t="s">
        <v>810</v>
      </c>
      <c r="F33" s="15" t="s">
        <v>693</v>
      </c>
      <c r="G33" s="4" t="str">
        <f aca="false">IFERROR(INDEX(관계동사!$B$5:$B$15,MATCH(F33,관계동사!$A$5:$A$15,0)),"")</f>
        <v>도출·이행된다</v>
      </c>
      <c r="H33" s="26" t="s">
        <v>714</v>
      </c>
      <c r="I33" s="27"/>
      <c r="J33" s="27"/>
      <c r="K33" s="4" t="s">
        <v>60</v>
      </c>
      <c r="L33" s="11" t="str">
        <f aca="false">IFERROR(INDEX(인용근거!$E$5:$E$76,MATCH(LEFT(K33,3),인용근거!$A$5:$A$76,0)),"원문에 S→T 연결 서술 없음")</f>
        <v>원문에 S→T 연결 서술 없음</v>
      </c>
      <c r="M33" s="4" t="s">
        <v>811</v>
      </c>
      <c r="N33" s="11" t="s">
        <v>812</v>
      </c>
      <c r="O33" s="14" t="s">
        <v>813</v>
      </c>
      <c r="P33" s="14" t="s">
        <v>662</v>
      </c>
      <c r="Q33" s="4" t="s">
        <v>814</v>
      </c>
      <c r="R33" s="6" t="s">
        <v>757</v>
      </c>
      <c r="S33" s="27" t="n">
        <f aca="false">COUNTIF(문항!$D$5:$D$183,A33)</f>
        <v>5</v>
      </c>
      <c r="T33" s="27" t="n">
        <f aca="false">SUM(적용매트릭스!B33:G33)</f>
        <v>5</v>
      </c>
      <c r="U33" s="23" t="str">
        <f aca="false">IF(S33=T33,"OK","확인")</f>
        <v>OK</v>
      </c>
    </row>
    <row r="34" customFormat="false" ht="150" hidden="false" customHeight="true" outlineLevel="0" collapsed="false">
      <c r="A34" s="23" t="s">
        <v>815</v>
      </c>
      <c r="B34" s="6" t="s">
        <v>797</v>
      </c>
      <c r="C34" s="4" t="s">
        <v>816</v>
      </c>
      <c r="D34" s="15" t="s">
        <v>705</v>
      </c>
      <c r="E34" s="15" t="s">
        <v>799</v>
      </c>
      <c r="F34" s="15" t="s">
        <v>706</v>
      </c>
      <c r="G34" s="4" t="str">
        <f aca="false">IFERROR(INDEX(관계동사!$B$5:$B$15,MATCH(F34,관계동사!$A$5:$A$15,0)),"")</f>
        <v>제공한다</v>
      </c>
      <c r="H34" s="24" t="s">
        <v>659</v>
      </c>
      <c r="I34" s="27" t="s">
        <v>641</v>
      </c>
      <c r="J34" s="27"/>
      <c r="K34" s="4" t="s">
        <v>394</v>
      </c>
      <c r="L34" s="11" t="str">
        <f aca="false">IFERROR(INDEX(인용근거!$E$5:$E$76,MATCH(LEFT(K34,3),인용근거!$A$5:$A$76,0)),"원문에 S→T 연결 서술 없음")</f>
        <v>Outputs from this process include documented resources for implementing and running selected strategies, as well as resources for operating core BCMS processes, along with reports on resource utilization for BCMS core processes and the customer relationship management process</v>
      </c>
      <c r="M34" s="4" t="s">
        <v>477</v>
      </c>
      <c r="N34" s="17" t="s">
        <v>817</v>
      </c>
      <c r="O34" s="14" t="s">
        <v>818</v>
      </c>
      <c r="P34" s="14" t="s">
        <v>662</v>
      </c>
      <c r="Q34" s="6" t="s">
        <v>663</v>
      </c>
      <c r="R34" s="6" t="s">
        <v>819</v>
      </c>
      <c r="S34" s="27" t="n">
        <f aca="false">COUNTIF(문항!$D$5:$D$183,A34)</f>
        <v>5</v>
      </c>
      <c r="T34" s="27" t="n">
        <f aca="false">SUM(적용매트릭스!B34:G34)</f>
        <v>5</v>
      </c>
      <c r="U34" s="23" t="str">
        <f aca="false">IF(S34=T34,"OK","확인")</f>
        <v>OK</v>
      </c>
    </row>
    <row r="35" customFormat="false" ht="150" hidden="false" customHeight="true" outlineLevel="0" collapsed="false">
      <c r="A35" s="23" t="s">
        <v>457</v>
      </c>
      <c r="B35" s="6" t="s">
        <v>797</v>
      </c>
      <c r="C35" s="4" t="s">
        <v>820</v>
      </c>
      <c r="D35" s="15" t="s">
        <v>705</v>
      </c>
      <c r="E35" s="15" t="s">
        <v>821</v>
      </c>
      <c r="F35" s="15" t="s">
        <v>706</v>
      </c>
      <c r="G35" s="4" t="str">
        <f aca="false">IFERROR(INDEX(관계동사!$B$5:$B$15,MATCH(F35,관계동사!$A$5:$A$15,0)),"")</f>
        <v>제공한다</v>
      </c>
      <c r="H35" s="24" t="s">
        <v>659</v>
      </c>
      <c r="I35" s="27"/>
      <c r="J35" s="27"/>
      <c r="K35" s="4" t="s">
        <v>394</v>
      </c>
      <c r="L35" s="11" t="str">
        <f aca="false">IFERROR(INDEX(인용근거!$E$5:$E$76,MATCH(LEFT(K35,3),인용근거!$A$5:$A$76,0)),"원문에 S→T 연결 서술 없음")</f>
        <v>Outputs from this process include documented resources for implementing and running selected strategies, as well as resources for operating core BCMS processes, along with reports on resource utilization for BCMS core processes and the customer relationship management process</v>
      </c>
      <c r="M35" s="4" t="s">
        <v>454</v>
      </c>
      <c r="N35" s="17" t="s">
        <v>822</v>
      </c>
      <c r="O35" s="12" t="s">
        <v>823</v>
      </c>
      <c r="P35" s="14" t="s">
        <v>662</v>
      </c>
      <c r="Q35" s="6" t="s">
        <v>663</v>
      </c>
      <c r="R35" s="6" t="s">
        <v>670</v>
      </c>
      <c r="S35" s="27" t="n">
        <f aca="false">COUNTIF(문항!$D$5:$D$183,A35)</f>
        <v>5</v>
      </c>
      <c r="T35" s="27" t="n">
        <f aca="false">SUM(적용매트릭스!B35:G35)</f>
        <v>5</v>
      </c>
      <c r="U35" s="23" t="str">
        <f aca="false">IF(S35=T35,"OK","확인")</f>
        <v>OK</v>
      </c>
    </row>
  </sheetData>
  <autoFilter ref="A4:U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6" min="1" style="0" width="10"/>
    <col collapsed="false" customWidth="true" hidden="false" outlineLevel="0" max="7" min="7" style="0" width="12"/>
    <col collapsed="false" customWidth="true" hidden="false" outlineLevel="0" max="8" min="8" style="0" width="8"/>
    <col collapsed="false" customWidth="true" hidden="false" outlineLevel="0" max="9" min="9" style="0" width="40"/>
  </cols>
  <sheetData>
    <row r="1" customFormat="false" ht="19.4" hidden="false" customHeight="false" outlineLevel="0" collapsed="false">
      <c r="A1" s="7" t="s">
        <v>824</v>
      </c>
    </row>
    <row r="2" customFormat="false" ht="15" hidden="false" customHeight="false" outlineLevel="0" collapsed="false">
      <c r="A2" s="2" t="s">
        <v>825</v>
      </c>
    </row>
    <row r="4" customFormat="false" ht="15" hidden="false" customHeight="false" outlineLevel="0" collapsed="false">
      <c r="A4" s="9" t="s">
        <v>826</v>
      </c>
      <c r="B4" s="9" t="s">
        <v>75</v>
      </c>
      <c r="C4" s="9" t="s">
        <v>81</v>
      </c>
      <c r="D4" s="9" t="s">
        <v>85</v>
      </c>
      <c r="E4" s="9" t="s">
        <v>90</v>
      </c>
      <c r="F4" s="9" t="s">
        <v>95</v>
      </c>
      <c r="G4" s="9" t="s">
        <v>100</v>
      </c>
      <c r="H4" s="9" t="s">
        <v>827</v>
      </c>
      <c r="I4" s="9" t="s">
        <v>637</v>
      </c>
    </row>
    <row r="5" customFormat="false" ht="15" hidden="false" customHeight="false" outlineLevel="0" collapsed="false">
      <c r="A5" s="23" t="s">
        <v>653</v>
      </c>
      <c r="B5" s="28" t="n">
        <v>1</v>
      </c>
      <c r="C5" s="28" t="n">
        <v>1</v>
      </c>
      <c r="D5" s="28" t="n">
        <v>1</v>
      </c>
      <c r="E5" s="28" t="n">
        <v>1</v>
      </c>
      <c r="F5" s="28" t="n">
        <v>1</v>
      </c>
      <c r="G5" s="27" t="n">
        <v>0</v>
      </c>
      <c r="H5" s="23" t="n">
        <f aca="false">SUM(B5:G5)</f>
        <v>5</v>
      </c>
      <c r="I5" s="4" t="s">
        <v>828</v>
      </c>
    </row>
    <row r="6" customFormat="false" ht="15" hidden="false" customHeight="false" outlineLevel="0" collapsed="false">
      <c r="A6" s="23" t="s">
        <v>665</v>
      </c>
      <c r="B6" s="28" t="n">
        <v>1</v>
      </c>
      <c r="C6" s="28" t="n">
        <v>1</v>
      </c>
      <c r="D6" s="28" t="n">
        <v>1</v>
      </c>
      <c r="E6" s="28" t="n">
        <v>1</v>
      </c>
      <c r="F6" s="28" t="n">
        <v>1</v>
      </c>
      <c r="G6" s="27" t="n">
        <v>0</v>
      </c>
      <c r="H6" s="23" t="n">
        <f aca="false">SUM(B6:G6)</f>
        <v>5</v>
      </c>
      <c r="I6" s="4" t="s">
        <v>829</v>
      </c>
    </row>
    <row r="7" customFormat="false" ht="15" hidden="false" customHeight="false" outlineLevel="0" collapsed="false">
      <c r="A7" s="23" t="s">
        <v>373</v>
      </c>
      <c r="B7" s="28" t="n">
        <v>1</v>
      </c>
      <c r="C7" s="28" t="n">
        <v>1</v>
      </c>
      <c r="D7" s="28" t="n">
        <v>1</v>
      </c>
      <c r="E7" s="28" t="n">
        <v>1</v>
      </c>
      <c r="F7" s="28" t="n">
        <v>1</v>
      </c>
      <c r="G7" s="27" t="n">
        <v>0</v>
      </c>
      <c r="H7" s="23" t="n">
        <f aca="false">SUM(B7:G7)</f>
        <v>5</v>
      </c>
      <c r="I7" s="4" t="s">
        <v>830</v>
      </c>
    </row>
    <row r="8" customFormat="false" ht="15" hidden="false" customHeight="false" outlineLevel="0" collapsed="false">
      <c r="A8" s="23" t="s">
        <v>675</v>
      </c>
      <c r="B8" s="28" t="n">
        <v>1</v>
      </c>
      <c r="C8" s="28" t="n">
        <v>1</v>
      </c>
      <c r="D8" s="28" t="n">
        <v>1</v>
      </c>
      <c r="E8" s="28" t="n">
        <v>1</v>
      </c>
      <c r="F8" s="28" t="n">
        <v>1</v>
      </c>
      <c r="G8" s="27" t="n">
        <v>0</v>
      </c>
      <c r="H8" s="23" t="n">
        <f aca="false">SUM(B8:G8)</f>
        <v>5</v>
      </c>
      <c r="I8" s="4" t="s">
        <v>831</v>
      </c>
    </row>
    <row r="9" customFormat="false" ht="15" hidden="false" customHeight="false" outlineLevel="0" collapsed="false">
      <c r="A9" s="23" t="s">
        <v>680</v>
      </c>
      <c r="B9" s="28" t="n">
        <v>1</v>
      </c>
      <c r="C9" s="28" t="n">
        <v>1</v>
      </c>
      <c r="D9" s="28" t="n">
        <v>1</v>
      </c>
      <c r="E9" s="28" t="n">
        <v>1</v>
      </c>
      <c r="F9" s="28" t="n">
        <v>1</v>
      </c>
      <c r="G9" s="27" t="n">
        <v>0</v>
      </c>
      <c r="H9" s="23" t="n">
        <f aca="false">SUM(B9:G9)</f>
        <v>5</v>
      </c>
      <c r="I9" s="4" t="s">
        <v>832</v>
      </c>
    </row>
    <row r="10" customFormat="false" ht="15" hidden="false" customHeight="false" outlineLevel="0" collapsed="false">
      <c r="A10" s="23" t="s">
        <v>381</v>
      </c>
      <c r="B10" s="28" t="n">
        <v>1</v>
      </c>
      <c r="C10" s="28" t="n">
        <v>1</v>
      </c>
      <c r="D10" s="28" t="n">
        <v>1</v>
      </c>
      <c r="E10" s="28" t="n">
        <v>1</v>
      </c>
      <c r="F10" s="28" t="n">
        <v>1</v>
      </c>
      <c r="G10" s="27" t="n">
        <v>0</v>
      </c>
      <c r="H10" s="23" t="n">
        <f aca="false">SUM(B10:G10)</f>
        <v>5</v>
      </c>
      <c r="I10" s="4" t="s">
        <v>833</v>
      </c>
    </row>
    <row r="11" customFormat="false" ht="15" hidden="false" customHeight="false" outlineLevel="0" collapsed="false">
      <c r="A11" s="23" t="s">
        <v>385</v>
      </c>
      <c r="B11" s="28" t="n">
        <v>1</v>
      </c>
      <c r="C11" s="28" t="n">
        <v>1</v>
      </c>
      <c r="D11" s="28" t="n">
        <v>1</v>
      </c>
      <c r="E11" s="28" t="n">
        <v>1</v>
      </c>
      <c r="F11" s="28" t="n">
        <v>1</v>
      </c>
      <c r="G11" s="27" t="n">
        <v>0</v>
      </c>
      <c r="H11" s="23" t="n">
        <f aca="false">SUM(B11:G11)</f>
        <v>5</v>
      </c>
      <c r="I11" s="4" t="s">
        <v>834</v>
      </c>
    </row>
    <row r="12" customFormat="false" ht="15" hidden="false" customHeight="false" outlineLevel="0" collapsed="false">
      <c r="A12" s="23" t="s">
        <v>389</v>
      </c>
      <c r="B12" s="28" t="n">
        <v>1</v>
      </c>
      <c r="C12" s="28" t="n">
        <v>1</v>
      </c>
      <c r="D12" s="28" t="n">
        <v>1</v>
      </c>
      <c r="E12" s="28" t="n">
        <v>1</v>
      </c>
      <c r="F12" s="28" t="n">
        <v>1</v>
      </c>
      <c r="G12" s="27" t="n">
        <v>0</v>
      </c>
      <c r="H12" s="23" t="n">
        <f aca="false">SUM(B12:G12)</f>
        <v>5</v>
      </c>
      <c r="I12" s="4" t="s">
        <v>835</v>
      </c>
    </row>
    <row r="13" customFormat="false" ht="15" hidden="false" customHeight="false" outlineLevel="0" collapsed="false">
      <c r="A13" s="23" t="s">
        <v>393</v>
      </c>
      <c r="B13" s="28" t="n">
        <v>1</v>
      </c>
      <c r="C13" s="28" t="n">
        <v>1</v>
      </c>
      <c r="D13" s="28" t="n">
        <v>1</v>
      </c>
      <c r="E13" s="28" t="n">
        <v>1</v>
      </c>
      <c r="F13" s="28" t="n">
        <v>1</v>
      </c>
      <c r="G13" s="27" t="n">
        <v>0</v>
      </c>
      <c r="H13" s="23" t="n">
        <f aca="false">SUM(B13:G13)</f>
        <v>5</v>
      </c>
      <c r="I13" s="4" t="s">
        <v>836</v>
      </c>
    </row>
    <row r="14" customFormat="false" ht="15" hidden="false" customHeight="false" outlineLevel="0" collapsed="false">
      <c r="A14" s="23" t="s">
        <v>703</v>
      </c>
      <c r="B14" s="28" t="n">
        <v>1</v>
      </c>
      <c r="C14" s="28" t="n">
        <v>1</v>
      </c>
      <c r="D14" s="28" t="n">
        <v>1</v>
      </c>
      <c r="E14" s="28" t="n">
        <v>1</v>
      </c>
      <c r="F14" s="28" t="n">
        <v>1</v>
      </c>
      <c r="G14" s="27" t="n">
        <v>0</v>
      </c>
      <c r="H14" s="23" t="n">
        <f aca="false">SUM(B14:G14)</f>
        <v>5</v>
      </c>
      <c r="I14" s="4" t="s">
        <v>837</v>
      </c>
    </row>
    <row r="15" customFormat="false" ht="15" hidden="false" customHeight="false" outlineLevel="0" collapsed="false">
      <c r="A15" s="23" t="s">
        <v>573</v>
      </c>
      <c r="B15" s="28" t="n">
        <v>1</v>
      </c>
      <c r="C15" s="28" t="n">
        <v>1</v>
      </c>
      <c r="D15" s="28" t="n">
        <v>1</v>
      </c>
      <c r="E15" s="28" t="n">
        <v>1</v>
      </c>
      <c r="F15" s="28" t="n">
        <v>1</v>
      </c>
      <c r="G15" s="27" t="n">
        <v>0</v>
      </c>
      <c r="H15" s="23" t="n">
        <f aca="false">SUM(B15:G15)</f>
        <v>5</v>
      </c>
      <c r="I15" s="4" t="s">
        <v>838</v>
      </c>
    </row>
    <row r="16" customFormat="false" ht="15" hidden="false" customHeight="false" outlineLevel="0" collapsed="false">
      <c r="A16" s="23" t="s">
        <v>402</v>
      </c>
      <c r="B16" s="28" t="n">
        <v>1</v>
      </c>
      <c r="C16" s="28" t="n">
        <v>1</v>
      </c>
      <c r="D16" s="28" t="n">
        <v>1</v>
      </c>
      <c r="E16" s="28" t="n">
        <v>1</v>
      </c>
      <c r="F16" s="28" t="n">
        <v>1</v>
      </c>
      <c r="G16" s="27" t="n">
        <v>0</v>
      </c>
      <c r="H16" s="23" t="n">
        <f aca="false">SUM(B16:G16)</f>
        <v>5</v>
      </c>
      <c r="I16" s="4" t="s">
        <v>839</v>
      </c>
    </row>
    <row r="17" customFormat="false" ht="15" hidden="false" customHeight="false" outlineLevel="0" collapsed="false">
      <c r="A17" s="23" t="s">
        <v>725</v>
      </c>
      <c r="B17" s="28" t="n">
        <v>1</v>
      </c>
      <c r="C17" s="28" t="n">
        <v>1</v>
      </c>
      <c r="D17" s="28" t="n">
        <v>1</v>
      </c>
      <c r="E17" s="28" t="n">
        <v>1</v>
      </c>
      <c r="F17" s="28" t="n">
        <v>1</v>
      </c>
      <c r="G17" s="27" t="n">
        <v>0</v>
      </c>
      <c r="H17" s="23" t="n">
        <f aca="false">SUM(B17:G17)</f>
        <v>5</v>
      </c>
      <c r="I17" s="4" t="s">
        <v>840</v>
      </c>
    </row>
    <row r="18" customFormat="false" ht="15" hidden="false" customHeight="false" outlineLevel="0" collapsed="false">
      <c r="A18" s="23" t="s">
        <v>414</v>
      </c>
      <c r="B18" s="28" t="n">
        <v>1</v>
      </c>
      <c r="C18" s="28" t="n">
        <v>1</v>
      </c>
      <c r="D18" s="28" t="n">
        <v>1</v>
      </c>
      <c r="E18" s="28" t="n">
        <v>1</v>
      </c>
      <c r="F18" s="28" t="n">
        <v>1</v>
      </c>
      <c r="G18" s="27" t="n">
        <v>0</v>
      </c>
      <c r="H18" s="23" t="n">
        <f aca="false">SUM(B18:G18)</f>
        <v>5</v>
      </c>
      <c r="I18" s="4" t="s">
        <v>841</v>
      </c>
    </row>
    <row r="19" customFormat="false" ht="15" hidden="false" customHeight="false" outlineLevel="0" collapsed="false">
      <c r="A19" s="23" t="s">
        <v>737</v>
      </c>
      <c r="B19" s="28" t="n">
        <v>1</v>
      </c>
      <c r="C19" s="28" t="n">
        <v>1</v>
      </c>
      <c r="D19" s="28" t="n">
        <v>1</v>
      </c>
      <c r="E19" s="28" t="n">
        <v>1</v>
      </c>
      <c r="F19" s="28" t="n">
        <v>1</v>
      </c>
      <c r="G19" s="27" t="n">
        <v>0</v>
      </c>
      <c r="H19" s="23" t="n">
        <f aca="false">SUM(B19:G19)</f>
        <v>5</v>
      </c>
      <c r="I19" s="4" t="s">
        <v>842</v>
      </c>
    </row>
    <row r="20" customFormat="false" ht="15" hidden="false" customHeight="false" outlineLevel="0" collapsed="false">
      <c r="A20" s="23" t="s">
        <v>743</v>
      </c>
      <c r="B20" s="28" t="n">
        <v>1</v>
      </c>
      <c r="C20" s="28" t="n">
        <v>1</v>
      </c>
      <c r="D20" s="28" t="n">
        <v>1</v>
      </c>
      <c r="E20" s="28" t="n">
        <v>1</v>
      </c>
      <c r="F20" s="28" t="n">
        <v>1</v>
      </c>
      <c r="G20" s="28" t="n">
        <v>1</v>
      </c>
      <c r="H20" s="23" t="n">
        <f aca="false">SUM(B20:G20)</f>
        <v>6</v>
      </c>
      <c r="I20" s="4" t="s">
        <v>843</v>
      </c>
    </row>
    <row r="21" customFormat="false" ht="15" hidden="false" customHeight="false" outlineLevel="0" collapsed="false">
      <c r="A21" s="23" t="s">
        <v>750</v>
      </c>
      <c r="B21" s="28" t="n">
        <v>1</v>
      </c>
      <c r="C21" s="28" t="n">
        <v>1</v>
      </c>
      <c r="D21" s="28" t="n">
        <v>1</v>
      </c>
      <c r="E21" s="28" t="n">
        <v>1</v>
      </c>
      <c r="F21" s="28" t="n">
        <v>1</v>
      </c>
      <c r="G21" s="27" t="n">
        <v>0</v>
      </c>
      <c r="H21" s="23" t="n">
        <f aca="false">SUM(B21:G21)</f>
        <v>5</v>
      </c>
      <c r="I21" s="4" t="s">
        <v>844</v>
      </c>
    </row>
    <row r="22" customFormat="false" ht="15" hidden="false" customHeight="false" outlineLevel="0" collapsed="false">
      <c r="A22" s="23" t="s">
        <v>758</v>
      </c>
      <c r="B22" s="28" t="n">
        <v>1</v>
      </c>
      <c r="C22" s="28" t="n">
        <v>1</v>
      </c>
      <c r="D22" s="28" t="n">
        <v>1</v>
      </c>
      <c r="E22" s="28" t="n">
        <v>1</v>
      </c>
      <c r="F22" s="28" t="n">
        <v>1</v>
      </c>
      <c r="G22" s="28" t="n">
        <v>1</v>
      </c>
      <c r="H22" s="23" t="n">
        <f aca="false">SUM(B22:G22)</f>
        <v>6</v>
      </c>
      <c r="I22" s="4" t="s">
        <v>845</v>
      </c>
    </row>
    <row r="23" customFormat="false" ht="15" hidden="false" customHeight="false" outlineLevel="0" collapsed="false">
      <c r="A23" s="23" t="s">
        <v>766</v>
      </c>
      <c r="B23" s="28" t="n">
        <v>1</v>
      </c>
      <c r="C23" s="28" t="n">
        <v>1</v>
      </c>
      <c r="D23" s="28" t="n">
        <v>1</v>
      </c>
      <c r="E23" s="28" t="n">
        <v>1</v>
      </c>
      <c r="F23" s="28" t="n">
        <v>1</v>
      </c>
      <c r="G23" s="28" t="n">
        <v>1</v>
      </c>
      <c r="H23" s="23" t="n">
        <f aca="false">SUM(B23:G23)</f>
        <v>6</v>
      </c>
      <c r="I23" s="4" t="s">
        <v>846</v>
      </c>
    </row>
    <row r="24" customFormat="false" ht="15" hidden="false" customHeight="false" outlineLevel="0" collapsed="false">
      <c r="A24" s="23" t="s">
        <v>770</v>
      </c>
      <c r="B24" s="28" t="n">
        <v>1</v>
      </c>
      <c r="C24" s="28" t="n">
        <v>1</v>
      </c>
      <c r="D24" s="28" t="n">
        <v>1</v>
      </c>
      <c r="E24" s="28" t="n">
        <v>1</v>
      </c>
      <c r="F24" s="28" t="n">
        <v>1</v>
      </c>
      <c r="G24" s="28" t="n">
        <v>1</v>
      </c>
      <c r="H24" s="23" t="n">
        <f aca="false">SUM(B24:G24)</f>
        <v>6</v>
      </c>
      <c r="I24" s="4" t="s">
        <v>847</v>
      </c>
    </row>
    <row r="25" customFormat="false" ht="15" hidden="false" customHeight="false" outlineLevel="0" collapsed="false">
      <c r="A25" s="23" t="s">
        <v>431</v>
      </c>
      <c r="B25" s="28" t="n">
        <v>1</v>
      </c>
      <c r="C25" s="28" t="n">
        <v>1</v>
      </c>
      <c r="D25" s="28" t="n">
        <v>1</v>
      </c>
      <c r="E25" s="28" t="n">
        <v>1</v>
      </c>
      <c r="F25" s="28" t="n">
        <v>1</v>
      </c>
      <c r="G25" s="27" t="n">
        <v>0</v>
      </c>
      <c r="H25" s="23" t="n">
        <f aca="false">SUM(B25:G25)</f>
        <v>5</v>
      </c>
      <c r="I25" s="4" t="s">
        <v>848</v>
      </c>
    </row>
    <row r="26" customFormat="false" ht="15" hidden="false" customHeight="false" outlineLevel="0" collapsed="false">
      <c r="A26" s="23" t="s">
        <v>440</v>
      </c>
      <c r="B26" s="28" t="n">
        <v>1</v>
      </c>
      <c r="C26" s="28" t="n">
        <v>1</v>
      </c>
      <c r="D26" s="28" t="n">
        <v>1</v>
      </c>
      <c r="E26" s="28" t="n">
        <v>1</v>
      </c>
      <c r="F26" s="28" t="n">
        <v>1</v>
      </c>
      <c r="G26" s="27" t="n">
        <v>0</v>
      </c>
      <c r="H26" s="23" t="n">
        <f aca="false">SUM(B26:G26)</f>
        <v>5</v>
      </c>
      <c r="I26" s="4" t="s">
        <v>849</v>
      </c>
    </row>
    <row r="27" customFormat="false" ht="15" hidden="false" customHeight="false" outlineLevel="0" collapsed="false">
      <c r="A27" s="23" t="s">
        <v>782</v>
      </c>
      <c r="B27" s="28" t="n">
        <v>1</v>
      </c>
      <c r="C27" s="28" t="n">
        <v>1</v>
      </c>
      <c r="D27" s="28" t="n">
        <v>1</v>
      </c>
      <c r="E27" s="28" t="n">
        <v>1</v>
      </c>
      <c r="F27" s="28" t="n">
        <v>1</v>
      </c>
      <c r="G27" s="28" t="n">
        <v>1</v>
      </c>
      <c r="H27" s="23" t="n">
        <f aca="false">SUM(B27:G27)</f>
        <v>6</v>
      </c>
      <c r="I27" s="4" t="s">
        <v>850</v>
      </c>
    </row>
    <row r="28" customFormat="false" ht="15" hidden="false" customHeight="false" outlineLevel="0" collapsed="false">
      <c r="A28" s="23" t="s">
        <v>786</v>
      </c>
      <c r="B28" s="28" t="n">
        <v>1</v>
      </c>
      <c r="C28" s="28" t="n">
        <v>1</v>
      </c>
      <c r="D28" s="28" t="n">
        <v>1</v>
      </c>
      <c r="E28" s="28" t="n">
        <v>1</v>
      </c>
      <c r="F28" s="28" t="n">
        <v>1</v>
      </c>
      <c r="G28" s="28" t="n">
        <v>1</v>
      </c>
      <c r="H28" s="23" t="n">
        <f aca="false">SUM(B28:G28)</f>
        <v>6</v>
      </c>
      <c r="I28" s="4" t="s">
        <v>851</v>
      </c>
    </row>
    <row r="29" customFormat="false" ht="15" hidden="false" customHeight="false" outlineLevel="0" collapsed="false">
      <c r="A29" s="23" t="s">
        <v>790</v>
      </c>
      <c r="B29" s="28" t="n">
        <v>1</v>
      </c>
      <c r="C29" s="28" t="n">
        <v>1</v>
      </c>
      <c r="D29" s="28" t="n">
        <v>1</v>
      </c>
      <c r="E29" s="28" t="n">
        <v>1</v>
      </c>
      <c r="F29" s="28" t="n">
        <v>1</v>
      </c>
      <c r="G29" s="28" t="n">
        <v>1</v>
      </c>
      <c r="H29" s="23" t="n">
        <f aca="false">SUM(B29:G29)</f>
        <v>6</v>
      </c>
      <c r="I29" s="4" t="s">
        <v>852</v>
      </c>
    </row>
    <row r="30" customFormat="false" ht="15" hidden="false" customHeight="false" outlineLevel="0" collapsed="false">
      <c r="A30" s="23" t="s">
        <v>794</v>
      </c>
      <c r="B30" s="28" t="n">
        <v>1</v>
      </c>
      <c r="C30" s="28" t="n">
        <v>1</v>
      </c>
      <c r="D30" s="28" t="n">
        <v>1</v>
      </c>
      <c r="E30" s="28" t="n">
        <v>1</v>
      </c>
      <c r="F30" s="28" t="n">
        <v>1</v>
      </c>
      <c r="G30" s="28" t="n">
        <v>1</v>
      </c>
      <c r="H30" s="23" t="n">
        <f aca="false">SUM(B30:G30)</f>
        <v>6</v>
      </c>
      <c r="I30" s="4" t="s">
        <v>853</v>
      </c>
    </row>
    <row r="31" customFormat="false" ht="15" hidden="false" customHeight="false" outlineLevel="0" collapsed="false">
      <c r="A31" s="23" t="s">
        <v>449</v>
      </c>
      <c r="B31" s="28" t="n">
        <v>1</v>
      </c>
      <c r="C31" s="28" t="n">
        <v>1</v>
      </c>
      <c r="D31" s="28" t="n">
        <v>1</v>
      </c>
      <c r="E31" s="28" t="n">
        <v>1</v>
      </c>
      <c r="F31" s="28" t="n">
        <v>1</v>
      </c>
      <c r="G31" s="27" t="n">
        <v>0</v>
      </c>
      <c r="H31" s="23" t="n">
        <f aca="false">SUM(B31:G31)</f>
        <v>5</v>
      </c>
      <c r="I31" s="4" t="s">
        <v>854</v>
      </c>
    </row>
    <row r="32" customFormat="false" ht="15" hidden="false" customHeight="false" outlineLevel="0" collapsed="false">
      <c r="A32" s="23" t="s">
        <v>453</v>
      </c>
      <c r="B32" s="28" t="n">
        <v>1</v>
      </c>
      <c r="C32" s="28" t="n">
        <v>1</v>
      </c>
      <c r="D32" s="28" t="n">
        <v>1</v>
      </c>
      <c r="E32" s="28" t="n">
        <v>1</v>
      </c>
      <c r="F32" s="28" t="n">
        <v>1</v>
      </c>
      <c r="G32" s="27" t="n">
        <v>0</v>
      </c>
      <c r="H32" s="23" t="n">
        <f aca="false">SUM(B32:G32)</f>
        <v>5</v>
      </c>
      <c r="I32" s="4" t="s">
        <v>855</v>
      </c>
    </row>
    <row r="33" customFormat="false" ht="15" hidden="false" customHeight="false" outlineLevel="0" collapsed="false">
      <c r="A33" s="23" t="s">
        <v>462</v>
      </c>
      <c r="B33" s="28" t="n">
        <v>1</v>
      </c>
      <c r="C33" s="28" t="n">
        <v>1</v>
      </c>
      <c r="D33" s="28" t="n">
        <v>1</v>
      </c>
      <c r="E33" s="28" t="n">
        <v>1</v>
      </c>
      <c r="F33" s="28" t="n">
        <v>1</v>
      </c>
      <c r="G33" s="27" t="n">
        <v>0</v>
      </c>
      <c r="H33" s="23" t="n">
        <f aca="false">SUM(B33:G33)</f>
        <v>5</v>
      </c>
      <c r="I33" s="4" t="s">
        <v>856</v>
      </c>
    </row>
    <row r="34" customFormat="false" ht="15" hidden="false" customHeight="false" outlineLevel="0" collapsed="false">
      <c r="A34" s="23" t="s">
        <v>815</v>
      </c>
      <c r="B34" s="28" t="n">
        <v>1</v>
      </c>
      <c r="C34" s="28" t="n">
        <v>1</v>
      </c>
      <c r="D34" s="28" t="n">
        <v>1</v>
      </c>
      <c r="E34" s="28" t="n">
        <v>1</v>
      </c>
      <c r="F34" s="28" t="n">
        <v>1</v>
      </c>
      <c r="G34" s="27" t="n">
        <v>0</v>
      </c>
      <c r="H34" s="23" t="n">
        <f aca="false">SUM(B34:G34)</f>
        <v>5</v>
      </c>
      <c r="I34" s="4" t="s">
        <v>857</v>
      </c>
    </row>
    <row r="35" customFormat="false" ht="15" hidden="false" customHeight="false" outlineLevel="0" collapsed="false">
      <c r="A35" s="23" t="s">
        <v>457</v>
      </c>
      <c r="B35" s="28" t="n">
        <v>1</v>
      </c>
      <c r="C35" s="28" t="n">
        <v>1</v>
      </c>
      <c r="D35" s="28" t="n">
        <v>1</v>
      </c>
      <c r="E35" s="28" t="n">
        <v>1</v>
      </c>
      <c r="F35" s="28" t="n">
        <v>1</v>
      </c>
      <c r="G35" s="27" t="n">
        <v>0</v>
      </c>
      <c r="H35" s="23" t="n">
        <f aca="false">SUM(B35:G35)</f>
        <v>5</v>
      </c>
      <c r="I35" s="4" t="s">
        <v>858</v>
      </c>
    </row>
    <row r="36" customFormat="false" ht="15" hidden="false" customHeight="false" outlineLevel="0" collapsed="false">
      <c r="A36" s="29" t="s">
        <v>827</v>
      </c>
      <c r="B36" s="23" t="n">
        <f aca="false">SUM(B5:B35)</f>
        <v>31</v>
      </c>
      <c r="C36" s="23" t="n">
        <f aca="false">SUM(C5:C35)</f>
        <v>31</v>
      </c>
      <c r="D36" s="23" t="n">
        <f aca="false">SUM(D5:D35)</f>
        <v>31</v>
      </c>
      <c r="E36" s="23" t="n">
        <f aca="false">SUM(E5:E35)</f>
        <v>31</v>
      </c>
      <c r="F36" s="23" t="n">
        <f aca="false">SUM(F5:F35)</f>
        <v>31</v>
      </c>
      <c r="G36" s="23" t="n">
        <f aca="false">SUM(G5:G35)</f>
        <v>8</v>
      </c>
      <c r="H36" s="23" t="n">
        <f aca="false">SUM(H5:H35)</f>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18"/>
    <col collapsed="false" customWidth="true" hidden="false" outlineLevel="0" max="4" min="4" style="0" width="46"/>
    <col collapsed="false" customWidth="true" hidden="false" outlineLevel="0" max="5" min="5" style="0" width="40"/>
    <col collapsed="false" customWidth="true" hidden="false" outlineLevel="0" max="6" min="6" style="0" width="44"/>
    <col collapsed="false" customWidth="true" hidden="false" outlineLevel="0" max="7" min="7" style="0" width="14"/>
    <col collapsed="false" customWidth="true" hidden="false" outlineLevel="0" max="9" min="8" style="0" width="36"/>
    <col collapsed="false" customWidth="true" hidden="false" outlineLevel="0" max="10" min="10" style="0" width="8"/>
  </cols>
  <sheetData>
    <row r="1" customFormat="false" ht="19.4" hidden="false" customHeight="false" outlineLevel="0" collapsed="false">
      <c r="A1" s="7" t="s">
        <v>859</v>
      </c>
    </row>
    <row r="2" customFormat="false" ht="15" hidden="false" customHeight="false" outlineLevel="0" collapsed="false">
      <c r="A2" s="2" t="s">
        <v>860</v>
      </c>
    </row>
    <row r="4" customFormat="false" ht="15" hidden="false" customHeight="false" outlineLevel="0" collapsed="false">
      <c r="A4" s="8" t="s">
        <v>26</v>
      </c>
      <c r="B4" s="9" t="s">
        <v>70</v>
      </c>
      <c r="C4" s="9" t="s">
        <v>861</v>
      </c>
      <c r="D4" s="9" t="s">
        <v>862</v>
      </c>
      <c r="E4" s="9" t="s">
        <v>863</v>
      </c>
      <c r="F4" s="8" t="s">
        <v>864</v>
      </c>
      <c r="G4" s="9" t="s">
        <v>30</v>
      </c>
      <c r="H4" s="9" t="s">
        <v>865</v>
      </c>
      <c r="I4" s="9" t="s">
        <v>866</v>
      </c>
      <c r="J4" s="9" t="s">
        <v>867</v>
      </c>
    </row>
    <row r="5" customFormat="false" ht="48" hidden="false" customHeight="true" outlineLevel="0" collapsed="false">
      <c r="A5" s="4" t="s">
        <v>658</v>
      </c>
      <c r="B5" s="10" t="s">
        <v>868</v>
      </c>
      <c r="C5" s="4" t="s">
        <v>869</v>
      </c>
      <c r="D5" s="14" t="s">
        <v>870</v>
      </c>
      <c r="E5" s="14" t="s">
        <v>871</v>
      </c>
      <c r="F5" s="11" t="s">
        <v>872</v>
      </c>
      <c r="G5" s="4" t="s">
        <v>873</v>
      </c>
      <c r="H5" s="6" t="s">
        <v>874</v>
      </c>
      <c r="I5" s="4" t="s">
        <v>875</v>
      </c>
      <c r="J5" s="27" t="n">
        <f aca="false">COUNTIF(연결!$F$5:$F$35,A5)</f>
        <v>8</v>
      </c>
    </row>
    <row r="6" customFormat="false" ht="48" hidden="false" customHeight="true" outlineLevel="0" collapsed="false">
      <c r="A6" s="4" t="s">
        <v>672</v>
      </c>
      <c r="B6" s="10" t="s">
        <v>876</v>
      </c>
      <c r="C6" s="4" t="s">
        <v>877</v>
      </c>
      <c r="D6" s="14" t="s">
        <v>878</v>
      </c>
      <c r="E6" s="14" t="s">
        <v>879</v>
      </c>
      <c r="F6" s="11" t="s">
        <v>880</v>
      </c>
      <c r="G6" s="4" t="s">
        <v>881</v>
      </c>
      <c r="H6" s="6" t="s">
        <v>882</v>
      </c>
      <c r="I6" s="4" t="s">
        <v>883</v>
      </c>
      <c r="J6" s="27" t="n">
        <f aca="false">COUNTIF(연결!$F$5:$F$35,A6)</f>
        <v>2</v>
      </c>
    </row>
    <row r="7" customFormat="false" ht="48" hidden="false" customHeight="true" outlineLevel="0" collapsed="false">
      <c r="A7" s="4" t="s">
        <v>693</v>
      </c>
      <c r="B7" s="10" t="s">
        <v>884</v>
      </c>
      <c r="C7" s="4" t="s">
        <v>885</v>
      </c>
      <c r="D7" s="14" t="s">
        <v>886</v>
      </c>
      <c r="E7" s="14" t="s">
        <v>887</v>
      </c>
      <c r="F7" s="11" t="s">
        <v>888</v>
      </c>
      <c r="G7" s="4" t="s">
        <v>889</v>
      </c>
      <c r="H7" s="4" t="s">
        <v>890</v>
      </c>
      <c r="I7" s="4" t="s">
        <v>891</v>
      </c>
      <c r="J7" s="27" t="n">
        <f aca="false">COUNTIF(연결!$F$5:$F$35,A7)</f>
        <v>4</v>
      </c>
    </row>
    <row r="8" customFormat="false" ht="48" hidden="false" customHeight="true" outlineLevel="0" collapsed="false">
      <c r="A8" s="4" t="s">
        <v>740</v>
      </c>
      <c r="B8" s="10" t="s">
        <v>892</v>
      </c>
      <c r="C8" s="4" t="s">
        <v>893</v>
      </c>
      <c r="D8" s="14" t="s">
        <v>894</v>
      </c>
      <c r="E8" s="14" t="s">
        <v>895</v>
      </c>
      <c r="F8" s="11" t="s">
        <v>896</v>
      </c>
      <c r="G8" s="4" t="s">
        <v>415</v>
      </c>
      <c r="H8" s="6" t="s">
        <v>897</v>
      </c>
      <c r="I8" s="4" t="s">
        <v>737</v>
      </c>
      <c r="J8" s="27" t="n">
        <f aca="false">COUNTIF(연결!$F$5:$F$35,A8)</f>
        <v>1</v>
      </c>
    </row>
    <row r="9" customFormat="false" ht="48" hidden="false" customHeight="true" outlineLevel="0" collapsed="false">
      <c r="A9" s="4" t="s">
        <v>775</v>
      </c>
      <c r="B9" s="10" t="s">
        <v>898</v>
      </c>
      <c r="C9" s="4" t="s">
        <v>899</v>
      </c>
      <c r="D9" s="14" t="s">
        <v>900</v>
      </c>
      <c r="E9" s="14" t="s">
        <v>901</v>
      </c>
      <c r="F9" s="11" t="s">
        <v>902</v>
      </c>
      <c r="G9" s="4" t="s">
        <v>903</v>
      </c>
      <c r="H9" s="6" t="s">
        <v>904</v>
      </c>
      <c r="I9" s="4" t="s">
        <v>905</v>
      </c>
      <c r="J9" s="27" t="n">
        <f aca="false">COUNTIF(연결!$F$5:$F$35,A9)</f>
        <v>3</v>
      </c>
    </row>
    <row r="10" customFormat="false" ht="48" hidden="false" customHeight="true" outlineLevel="0" collapsed="false">
      <c r="A10" s="4" t="s">
        <v>745</v>
      </c>
      <c r="B10" s="10" t="s">
        <v>906</v>
      </c>
      <c r="C10" s="4" t="s">
        <v>907</v>
      </c>
      <c r="D10" s="14" t="s">
        <v>908</v>
      </c>
      <c r="E10" s="14" t="s">
        <v>909</v>
      </c>
      <c r="F10" s="11" t="s">
        <v>910</v>
      </c>
      <c r="G10" s="4" t="s">
        <v>911</v>
      </c>
      <c r="H10" s="6" t="s">
        <v>912</v>
      </c>
      <c r="I10" s="4" t="s">
        <v>913</v>
      </c>
      <c r="J10" s="27" t="n">
        <f aca="false">COUNTIF(연결!$F$5:$F$35,A10)</f>
        <v>2</v>
      </c>
    </row>
    <row r="11" customFormat="false" ht="48" hidden="false" customHeight="true" outlineLevel="0" collapsed="false">
      <c r="A11" s="4" t="s">
        <v>763</v>
      </c>
      <c r="B11" s="10" t="s">
        <v>914</v>
      </c>
      <c r="C11" s="4" t="s">
        <v>915</v>
      </c>
      <c r="D11" s="14" t="s">
        <v>916</v>
      </c>
      <c r="E11" s="14" t="s">
        <v>917</v>
      </c>
      <c r="F11" s="11" t="s">
        <v>918</v>
      </c>
      <c r="G11" s="4" t="s">
        <v>919</v>
      </c>
      <c r="H11" s="6" t="s">
        <v>920</v>
      </c>
      <c r="I11" s="4" t="s">
        <v>921</v>
      </c>
      <c r="J11" s="27" t="n">
        <f aca="false">COUNTIF(연결!$F$5:$F$35,A11)</f>
        <v>5</v>
      </c>
    </row>
    <row r="12" customFormat="false" ht="48" hidden="false" customHeight="true" outlineLevel="0" collapsed="false">
      <c r="A12" s="4" t="s">
        <v>728</v>
      </c>
      <c r="B12" s="10" t="s">
        <v>922</v>
      </c>
      <c r="C12" s="4" t="s">
        <v>923</v>
      </c>
      <c r="D12" s="14" t="s">
        <v>924</v>
      </c>
      <c r="E12" s="14" t="s">
        <v>925</v>
      </c>
      <c r="F12" s="11" t="s">
        <v>926</v>
      </c>
      <c r="G12" s="4" t="s">
        <v>407</v>
      </c>
      <c r="H12" s="4" t="s">
        <v>890</v>
      </c>
      <c r="I12" s="4" t="s">
        <v>410</v>
      </c>
      <c r="J12" s="27" t="n">
        <f aca="false">COUNTIF(연결!$F$5:$F$35,A12)</f>
        <v>2</v>
      </c>
    </row>
    <row r="13" customFormat="false" ht="48" hidden="false" customHeight="true" outlineLevel="0" collapsed="false">
      <c r="A13" s="4" t="s">
        <v>706</v>
      </c>
      <c r="B13" s="10" t="s">
        <v>927</v>
      </c>
      <c r="C13" s="4" t="s">
        <v>928</v>
      </c>
      <c r="D13" s="14" t="s">
        <v>929</v>
      </c>
      <c r="E13" s="14" t="s">
        <v>930</v>
      </c>
      <c r="F13" s="11" t="s">
        <v>931</v>
      </c>
      <c r="G13" s="4" t="s">
        <v>394</v>
      </c>
      <c r="H13" s="4" t="s">
        <v>890</v>
      </c>
      <c r="I13" s="4" t="s">
        <v>398</v>
      </c>
      <c r="J13" s="27" t="n">
        <f aca="false">COUNTIF(연결!$F$5:$F$35,A13)</f>
        <v>3</v>
      </c>
    </row>
    <row r="14" customFormat="false" ht="48" hidden="false" customHeight="true" outlineLevel="0" collapsed="false">
      <c r="A14" s="4" t="s">
        <v>932</v>
      </c>
      <c r="B14" s="10" t="s">
        <v>933</v>
      </c>
      <c r="C14" s="4" t="s">
        <v>934</v>
      </c>
      <c r="D14" s="14" t="s">
        <v>935</v>
      </c>
      <c r="E14" s="14" t="s">
        <v>936</v>
      </c>
      <c r="F14" s="11" t="s">
        <v>937</v>
      </c>
      <c r="G14" s="4" t="s">
        <v>473</v>
      </c>
      <c r="H14" s="6" t="s">
        <v>938</v>
      </c>
      <c r="I14" s="4" t="s">
        <v>939</v>
      </c>
      <c r="J14" s="27" t="n">
        <f aca="false">COUNTIF(연결!$F$5:$F$35,A14)</f>
        <v>0</v>
      </c>
    </row>
    <row r="15" customFormat="false" ht="48" hidden="false" customHeight="true" outlineLevel="0" collapsed="false">
      <c r="A15" s="4" t="s">
        <v>801</v>
      </c>
      <c r="B15" s="10" t="s">
        <v>940</v>
      </c>
      <c r="C15" s="4" t="s">
        <v>941</v>
      </c>
      <c r="D15" s="14" t="s">
        <v>942</v>
      </c>
      <c r="E15" s="14" t="s">
        <v>943</v>
      </c>
      <c r="F15" s="11" t="s">
        <v>944</v>
      </c>
      <c r="G15" s="4" t="s">
        <v>446</v>
      </c>
      <c r="H15" s="4" t="s">
        <v>890</v>
      </c>
      <c r="I15" s="4" t="s">
        <v>449</v>
      </c>
      <c r="J15" s="27" t="n">
        <f aca="false">COUNTIF(연결!$F$5:$F$35,A15)</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12"/>
    <col collapsed="false" customWidth="true" hidden="false" outlineLevel="0" max="4" min="4" style="0" width="38"/>
    <col collapsed="false" customWidth="true" hidden="false" outlineLevel="0" max="5" min="5" style="0" width="70"/>
    <col collapsed="false" customWidth="true" hidden="false" outlineLevel="0" max="6" min="6" style="0" width="16"/>
    <col collapsed="false" customWidth="true" hidden="false" outlineLevel="0" max="7" min="7" style="0" width="18"/>
  </cols>
  <sheetData>
    <row r="1" customFormat="false" ht="19.4" hidden="false" customHeight="false" outlineLevel="0" collapsed="false">
      <c r="A1" s="7" t="s">
        <v>945</v>
      </c>
    </row>
    <row r="2" customFormat="false" ht="15" hidden="false" customHeight="false" outlineLevel="0" collapsed="false">
      <c r="A2" s="2" t="s">
        <v>946</v>
      </c>
    </row>
    <row r="4" customFormat="false" ht="15" hidden="false" customHeight="false" outlineLevel="0" collapsed="false">
      <c r="A4" s="8" t="s">
        <v>26</v>
      </c>
      <c r="B4" s="9" t="s">
        <v>947</v>
      </c>
      <c r="C4" s="9" t="s">
        <v>948</v>
      </c>
      <c r="D4" s="9" t="s">
        <v>949</v>
      </c>
      <c r="E4" s="9" t="s">
        <v>950</v>
      </c>
      <c r="F4" s="9" t="s">
        <v>951</v>
      </c>
      <c r="G4" s="9" t="s">
        <v>952</v>
      </c>
    </row>
    <row r="5" customFormat="false" ht="48" hidden="false" customHeight="true" outlineLevel="0" collapsed="false">
      <c r="A5" s="4" t="s">
        <v>953</v>
      </c>
      <c r="B5" s="4" t="s">
        <v>722</v>
      </c>
      <c r="C5" s="4" t="s">
        <v>697</v>
      </c>
      <c r="D5" s="6" t="s">
        <v>954</v>
      </c>
      <c r="E5" s="4" t="s">
        <v>955</v>
      </c>
      <c r="F5" s="6" t="s">
        <v>956</v>
      </c>
      <c r="G5" s="20"/>
    </row>
    <row r="6" customFormat="false" ht="48" hidden="false" customHeight="true" outlineLevel="0" collapsed="false">
      <c r="A6" s="4" t="s">
        <v>957</v>
      </c>
      <c r="B6" s="4" t="s">
        <v>667</v>
      </c>
      <c r="C6" s="4" t="s">
        <v>774</v>
      </c>
      <c r="D6" s="6" t="s">
        <v>958</v>
      </c>
      <c r="E6" s="4" t="s">
        <v>959</v>
      </c>
      <c r="F6" s="6" t="s">
        <v>956</v>
      </c>
      <c r="G6" s="20"/>
    </row>
    <row r="7" customFormat="false" ht="48" hidden="false" customHeight="true" outlineLevel="0" collapsed="false">
      <c r="A7" s="4" t="s">
        <v>960</v>
      </c>
      <c r="B7" s="4" t="s">
        <v>739</v>
      </c>
      <c r="C7" s="4" t="s">
        <v>752</v>
      </c>
      <c r="D7" s="6" t="s">
        <v>961</v>
      </c>
      <c r="E7" s="6" t="s">
        <v>962</v>
      </c>
      <c r="F7" s="6" t="s">
        <v>963</v>
      </c>
      <c r="G7" s="20"/>
    </row>
    <row r="8" customFormat="false" ht="48" hidden="false" customHeight="true" outlineLevel="0" collapsed="false">
      <c r="A8" s="4" t="s">
        <v>964</v>
      </c>
      <c r="B8" s="4" t="s">
        <v>806</v>
      </c>
      <c r="C8" s="4" t="s">
        <v>821</v>
      </c>
      <c r="D8" s="6" t="s">
        <v>965</v>
      </c>
      <c r="E8" s="4" t="s">
        <v>966</v>
      </c>
      <c r="F8" s="6" t="s">
        <v>963</v>
      </c>
      <c r="G8" s="20"/>
    </row>
    <row r="9" customFormat="false" ht="48" hidden="false" customHeight="true" outlineLevel="0" collapsed="false">
      <c r="A9" s="4" t="s">
        <v>967</v>
      </c>
      <c r="B9" s="4" t="s">
        <v>762</v>
      </c>
      <c r="C9" s="4" t="s">
        <v>761</v>
      </c>
      <c r="D9" s="6" t="s">
        <v>968</v>
      </c>
      <c r="E9" s="4" t="s">
        <v>969</v>
      </c>
      <c r="F9" s="6" t="s">
        <v>963</v>
      </c>
      <c r="G9" s="20"/>
    </row>
    <row r="10" customFormat="false" ht="48" hidden="false" customHeight="true" outlineLevel="0" collapsed="false">
      <c r="A10" s="4" t="s">
        <v>970</v>
      </c>
      <c r="B10" s="4" t="s">
        <v>779</v>
      </c>
      <c r="C10" s="6" t="s">
        <v>971</v>
      </c>
      <c r="D10" s="6" t="s">
        <v>972</v>
      </c>
      <c r="E10" s="4" t="s">
        <v>973</v>
      </c>
      <c r="F10" s="6" t="s">
        <v>963</v>
      </c>
      <c r="G10"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50"/>
    <col collapsed="false" customWidth="true" hidden="false" outlineLevel="0" max="4" min="4" style="0" width="8"/>
    <col collapsed="false" customWidth="true" hidden="false" outlineLevel="0" max="5" min="5" style="0" width="9"/>
    <col collapsed="false" customWidth="true" hidden="false" outlineLevel="0" max="6" min="6" style="0" width="14"/>
    <col collapsed="false" customWidth="true" hidden="false" outlineLevel="0" max="7" min="7" style="0" width="13"/>
    <col collapsed="false" customWidth="true" hidden="false" outlineLevel="0" max="8" min="8" style="0" width="22"/>
    <col collapsed="false" customWidth="true" hidden="false" outlineLevel="0" max="9" min="9" style="0" width="36"/>
    <col collapsed="false" customWidth="true" hidden="false" outlineLevel="0" max="10" min="10" style="0" width="11"/>
  </cols>
  <sheetData>
    <row r="1" customFormat="false" ht="19.4" hidden="false" customHeight="false" outlineLevel="0" collapsed="false">
      <c r="A1" s="7" t="s">
        <v>974</v>
      </c>
    </row>
    <row r="2" customFormat="false" ht="15" hidden="false" customHeight="false" outlineLevel="0" collapsed="false">
      <c r="A2" s="2" t="s">
        <v>975</v>
      </c>
    </row>
    <row r="4" customFormat="false" ht="26.1" hidden="false" customHeight="false" outlineLevel="0" collapsed="false">
      <c r="A4" s="8" t="s">
        <v>26</v>
      </c>
      <c r="B4" s="9" t="s">
        <v>976</v>
      </c>
      <c r="C4" s="8" t="s">
        <v>977</v>
      </c>
      <c r="D4" s="9" t="s">
        <v>978</v>
      </c>
      <c r="E4" s="8" t="s">
        <v>979</v>
      </c>
      <c r="F4" s="9" t="s">
        <v>980</v>
      </c>
      <c r="G4" s="9" t="s">
        <v>981</v>
      </c>
      <c r="H4" s="8" t="s">
        <v>982</v>
      </c>
      <c r="I4" s="9" t="s">
        <v>983</v>
      </c>
      <c r="J4" s="9" t="s">
        <v>984</v>
      </c>
    </row>
    <row r="5" customFormat="false" ht="15" hidden="false" customHeight="false" outlineLevel="0" collapsed="false">
      <c r="A5" s="4" t="s">
        <v>806</v>
      </c>
      <c r="B5" s="4" t="s">
        <v>985</v>
      </c>
      <c r="C5" s="11" t="s">
        <v>986</v>
      </c>
      <c r="D5" s="17" t="s">
        <v>987</v>
      </c>
      <c r="E5" s="11" t="s">
        <v>988</v>
      </c>
      <c r="F5" s="11" t="s">
        <v>988</v>
      </c>
      <c r="G5" s="30" t="n">
        <v>90</v>
      </c>
      <c r="H5" s="4" t="str">
        <f aca="false">IF(G5&gt;=80,"범주 1 (채택)",IF(G5&gt;=20,"범주 2 (토론)","범주 3 (기각)"))</f>
        <v>범주 1 (채택)</v>
      </c>
      <c r="I5" s="12" t="s">
        <v>989</v>
      </c>
      <c r="J5" s="27" t="n">
        <f aca="false">COUNTIF(연결!$D$5:$D$35,A5)+COUNTIF(연결!$E$5:$E$35,A5)</f>
        <v>2</v>
      </c>
    </row>
    <row r="6" customFormat="false" ht="15" hidden="false" customHeight="false" outlineLevel="0" collapsed="false">
      <c r="A6" s="4" t="s">
        <v>810</v>
      </c>
      <c r="B6" s="4" t="s">
        <v>990</v>
      </c>
      <c r="C6" s="11" t="s">
        <v>991</v>
      </c>
      <c r="D6" s="17" t="s">
        <v>992</v>
      </c>
      <c r="E6" s="11" t="s">
        <v>993</v>
      </c>
      <c r="F6" s="11" t="s">
        <v>994</v>
      </c>
      <c r="G6" s="30" t="n">
        <v>87</v>
      </c>
      <c r="H6" s="4" t="str">
        <f aca="false">IF(G6&gt;=80,"범주 1 (채택)",IF(G6&gt;=20,"범주 2 (토론)","범주 3 (기각)"))</f>
        <v>범주 1 (채택)</v>
      </c>
      <c r="I6" s="14" t="s">
        <v>995</v>
      </c>
      <c r="J6" s="27" t="n">
        <f aca="false">COUNTIF(연결!$D$5:$D$35,A6)+COUNTIF(연결!$E$5:$E$35,A6)</f>
        <v>1</v>
      </c>
    </row>
    <row r="7" customFormat="false" ht="15" hidden="false" customHeight="false" outlineLevel="0" collapsed="false">
      <c r="A7" s="4" t="s">
        <v>656</v>
      </c>
      <c r="B7" s="6" t="s">
        <v>996</v>
      </c>
      <c r="C7" s="11" t="s">
        <v>997</v>
      </c>
      <c r="D7" s="17" t="s">
        <v>992</v>
      </c>
      <c r="E7" s="11" t="s">
        <v>993</v>
      </c>
      <c r="F7" s="11" t="s">
        <v>994</v>
      </c>
      <c r="G7" s="30" t="n">
        <v>74</v>
      </c>
      <c r="H7" s="4" t="str">
        <f aca="false">IF(G7&gt;=80,"범주 1 (채택)",IF(G7&gt;=20,"범주 2 (토론)","범주 3 (기각)"))</f>
        <v>범주 2 (토론)</v>
      </c>
      <c r="I7" s="12" t="s">
        <v>998</v>
      </c>
      <c r="J7" s="27" t="n">
        <f aca="false">COUNTIF(연결!$D$5:$D$35,A7)+COUNTIF(연결!$E$5:$E$35,A7)</f>
        <v>4</v>
      </c>
    </row>
    <row r="8" customFormat="false" ht="25.35" hidden="false" customHeight="false" outlineLevel="0" collapsed="false">
      <c r="A8" s="4" t="s">
        <v>657</v>
      </c>
      <c r="B8" s="4" t="s">
        <v>999</v>
      </c>
      <c r="C8" s="11" t="s">
        <v>1000</v>
      </c>
      <c r="D8" s="17" t="s">
        <v>992</v>
      </c>
      <c r="E8" s="11" t="s">
        <v>993</v>
      </c>
      <c r="F8" s="11" t="s">
        <v>994</v>
      </c>
      <c r="G8" s="30" t="n">
        <v>100</v>
      </c>
      <c r="H8" s="4" t="str">
        <f aca="false">IF(G8&gt;=80,"범주 1 (채택)",IF(G8&gt;=20,"범주 2 (토론)","범주 3 (기각)"))</f>
        <v>범주 1 (채택)</v>
      </c>
      <c r="I8" s="14" t="s">
        <v>1001</v>
      </c>
      <c r="J8" s="27" t="n">
        <f aca="false">COUNTIF(연결!$D$5:$D$35,A8)+COUNTIF(연결!$E$5:$E$35,A8)</f>
        <v>4</v>
      </c>
    </row>
    <row r="9" customFormat="false" ht="15" hidden="false" customHeight="false" outlineLevel="0" collapsed="false">
      <c r="A9" s="4" t="s">
        <v>667</v>
      </c>
      <c r="B9" s="6" t="s">
        <v>1002</v>
      </c>
      <c r="C9" s="11" t="s">
        <v>1003</v>
      </c>
      <c r="D9" s="17" t="s">
        <v>992</v>
      </c>
      <c r="E9" s="11" t="s">
        <v>993</v>
      </c>
      <c r="F9" s="11" t="s">
        <v>994</v>
      </c>
      <c r="G9" s="30" t="n">
        <v>90</v>
      </c>
      <c r="H9" s="4" t="str">
        <f aca="false">IF(G9&gt;=80,"범주 1 (채택)",IF(G9&gt;=20,"범주 2 (토론)","범주 3 (기각)"))</f>
        <v>범주 1 (채택)</v>
      </c>
      <c r="I9" s="12" t="s">
        <v>1004</v>
      </c>
      <c r="J9" s="27" t="n">
        <f aca="false">COUNTIF(연결!$D$5:$D$35,A9)+COUNTIF(연결!$E$5:$E$35,A9)</f>
        <v>4</v>
      </c>
    </row>
    <row r="10" customFormat="false" ht="25.35" hidden="false" customHeight="false" outlineLevel="0" collapsed="false">
      <c r="A10" s="4" t="s">
        <v>687</v>
      </c>
      <c r="B10" s="4" t="s">
        <v>1005</v>
      </c>
      <c r="C10" s="11" t="s">
        <v>1006</v>
      </c>
      <c r="D10" s="17" t="s">
        <v>992</v>
      </c>
      <c r="E10" s="11" t="s">
        <v>993</v>
      </c>
      <c r="F10" s="11" t="s">
        <v>994</v>
      </c>
      <c r="G10" s="30" t="n">
        <v>74</v>
      </c>
      <c r="H10" s="4" t="str">
        <f aca="false">IF(G10&gt;=80,"범주 1 (채택)",IF(G10&gt;=20,"범주 2 (토론)","범주 3 (기각)"))</f>
        <v>범주 2 (토론)</v>
      </c>
      <c r="I10" s="12" t="s">
        <v>1007</v>
      </c>
      <c r="J10" s="27" t="n">
        <f aca="false">COUNTIF(연결!$D$5:$D$35,A10)+COUNTIF(연결!$E$5:$E$35,A10)</f>
        <v>3</v>
      </c>
    </row>
    <row r="11" customFormat="false" ht="15" hidden="false" customHeight="false" outlineLevel="0" collapsed="false">
      <c r="A11" s="4" t="s">
        <v>697</v>
      </c>
      <c r="B11" s="4" t="s">
        <v>1008</v>
      </c>
      <c r="C11" s="11" t="s">
        <v>1009</v>
      </c>
      <c r="D11" s="17" t="s">
        <v>992</v>
      </c>
      <c r="E11" s="11" t="s">
        <v>993</v>
      </c>
      <c r="F11" s="11" t="s">
        <v>994</v>
      </c>
      <c r="G11" s="30" t="n">
        <v>69</v>
      </c>
      <c r="H11" s="4" t="str">
        <f aca="false">IF(G11&gt;=80,"범주 1 (채택)",IF(G11&gt;=20,"범주 2 (토론)","범주 3 (기각)"))</f>
        <v>범주 2 (토론)</v>
      </c>
      <c r="I11" s="14" t="s">
        <v>1010</v>
      </c>
      <c r="J11" s="27" t="n">
        <f aca="false">COUNTIF(연결!$D$5:$D$35,A11)+COUNTIF(연결!$E$5:$E$35,A11)</f>
        <v>6</v>
      </c>
    </row>
    <row r="12" customFormat="false" ht="15" hidden="false" customHeight="false" outlineLevel="0" collapsed="false">
      <c r="A12" s="4" t="s">
        <v>692</v>
      </c>
      <c r="B12" s="6" t="s">
        <v>1011</v>
      </c>
      <c r="C12" s="11" t="s">
        <v>1012</v>
      </c>
      <c r="D12" s="17" t="s">
        <v>992</v>
      </c>
      <c r="E12" s="11" t="s">
        <v>1013</v>
      </c>
      <c r="F12" s="11" t="s">
        <v>1014</v>
      </c>
      <c r="G12" s="30" t="n">
        <v>69</v>
      </c>
      <c r="H12" s="4" t="str">
        <f aca="false">IF(G12&gt;=80,"범주 1 (채택)",IF(G12&gt;=20,"범주 2 (토론)","범주 3 (기각)"))</f>
        <v>범주 2 (토론)</v>
      </c>
      <c r="I12" s="12" t="s">
        <v>1015</v>
      </c>
      <c r="J12" s="27" t="n">
        <f aca="false">COUNTIF(연결!$D$5:$D$35,A12)+COUNTIF(연결!$E$5:$E$35,A12)</f>
        <v>2</v>
      </c>
    </row>
    <row r="13" customFormat="false" ht="15" hidden="false" customHeight="false" outlineLevel="0" collapsed="false">
      <c r="A13" s="4" t="s">
        <v>722</v>
      </c>
      <c r="B13" s="6" t="s">
        <v>1016</v>
      </c>
      <c r="C13" s="11" t="s">
        <v>1017</v>
      </c>
      <c r="D13" s="17" t="s">
        <v>992</v>
      </c>
      <c r="E13" s="11" t="s">
        <v>1013</v>
      </c>
      <c r="F13" s="11" t="s">
        <v>1018</v>
      </c>
      <c r="G13" s="30" t="n">
        <v>100</v>
      </c>
      <c r="H13" s="4" t="str">
        <f aca="false">IF(G13&gt;=80,"범주 1 (채택)",IF(G13&gt;=20,"범주 2 (토론)","범주 3 (기각)"))</f>
        <v>범주 1 (채택)</v>
      </c>
      <c r="I13" s="12" t="s">
        <v>1019</v>
      </c>
      <c r="J13" s="27" t="n">
        <f aca="false">COUNTIF(연결!$D$5:$D$35,A13)+COUNTIF(연결!$E$5:$E$35,A13)</f>
        <v>5</v>
      </c>
    </row>
    <row r="14" customFormat="false" ht="15" hidden="false" customHeight="false" outlineLevel="0" collapsed="false">
      <c r="A14" s="4" t="s">
        <v>739</v>
      </c>
      <c r="B14" s="4" t="s">
        <v>1020</v>
      </c>
      <c r="C14" s="11" t="s">
        <v>1021</v>
      </c>
      <c r="D14" s="17" t="s">
        <v>992</v>
      </c>
      <c r="E14" s="11" t="s">
        <v>1013</v>
      </c>
      <c r="F14" s="11" t="s">
        <v>1014</v>
      </c>
      <c r="G14" s="30" t="n">
        <v>100</v>
      </c>
      <c r="H14" s="4" t="str">
        <f aca="false">IF(G14&gt;=80,"범주 1 (채택)",IF(G14&gt;=20,"범주 2 (토론)","범주 3 (기각)"))</f>
        <v>범주 1 (채택)</v>
      </c>
      <c r="I14" s="12" t="s">
        <v>1022</v>
      </c>
      <c r="J14" s="27" t="n">
        <f aca="false">COUNTIF(연결!$D$5:$D$35,A14)+COUNTIF(연결!$E$5:$E$35,A14)</f>
        <v>4</v>
      </c>
    </row>
    <row r="15" customFormat="false" ht="15" hidden="false" customHeight="false" outlineLevel="0" collapsed="false">
      <c r="A15" s="4" t="s">
        <v>752</v>
      </c>
      <c r="B15" s="6" t="s">
        <v>1023</v>
      </c>
      <c r="C15" s="11" t="s">
        <v>1024</v>
      </c>
      <c r="D15" s="17" t="s">
        <v>992</v>
      </c>
      <c r="E15" s="11" t="s">
        <v>1013</v>
      </c>
      <c r="F15" s="11" t="s">
        <v>1014</v>
      </c>
      <c r="G15" s="30" t="n">
        <v>95</v>
      </c>
      <c r="H15" s="4" t="str">
        <f aca="false">IF(G15&gt;=80,"범주 1 (채택)",IF(G15&gt;=20,"범주 2 (토론)","범주 3 (기각)"))</f>
        <v>범주 1 (채택)</v>
      </c>
      <c r="I15" s="12" t="s">
        <v>1025</v>
      </c>
      <c r="J15" s="27" t="n">
        <f aca="false">COUNTIF(연결!$D$5:$D$35,A15)+COUNTIF(연결!$E$5:$E$35,A15)</f>
        <v>1</v>
      </c>
    </row>
    <row r="16" customFormat="false" ht="15" hidden="false" customHeight="false" outlineLevel="0" collapsed="false">
      <c r="A16" s="4" t="s">
        <v>682</v>
      </c>
      <c r="B16" s="6" t="s">
        <v>1026</v>
      </c>
      <c r="C16" s="11" t="s">
        <v>1027</v>
      </c>
      <c r="D16" s="17" t="s">
        <v>992</v>
      </c>
      <c r="E16" s="11" t="s">
        <v>1013</v>
      </c>
      <c r="F16" s="11" t="s">
        <v>1014</v>
      </c>
      <c r="G16" s="30" t="n">
        <v>90</v>
      </c>
      <c r="H16" s="4" t="str">
        <f aca="false">IF(G16&gt;=80,"범주 1 (채택)",IF(G16&gt;=20,"범주 2 (토론)","범주 3 (기각)"))</f>
        <v>범주 1 (채택)</v>
      </c>
      <c r="I16" s="12" t="s">
        <v>1028</v>
      </c>
      <c r="J16" s="27" t="n">
        <f aca="false">COUNTIF(연결!$D$5:$D$35,A16)+COUNTIF(연결!$E$5:$E$35,A16)</f>
        <v>2</v>
      </c>
    </row>
    <row r="17" customFormat="false" ht="15" hidden="false" customHeight="false" outlineLevel="0" collapsed="false">
      <c r="A17" s="4" t="s">
        <v>677</v>
      </c>
      <c r="B17" s="6" t="s">
        <v>1029</v>
      </c>
      <c r="C17" s="11" t="s">
        <v>1030</v>
      </c>
      <c r="D17" s="17" t="s">
        <v>992</v>
      </c>
      <c r="E17" s="11" t="s">
        <v>1031</v>
      </c>
      <c r="F17" s="11" t="s">
        <v>1014</v>
      </c>
      <c r="G17" s="30" t="n">
        <v>97</v>
      </c>
      <c r="H17" s="4" t="str">
        <f aca="false">IF(G17&gt;=80,"범주 1 (채택)",IF(G17&gt;=20,"범주 2 (토론)","범주 3 (기각)"))</f>
        <v>범주 1 (채택)</v>
      </c>
      <c r="I17" s="12" t="s">
        <v>1032</v>
      </c>
      <c r="J17" s="27" t="n">
        <f aca="false">COUNTIF(연결!$D$5:$D$35,A17)+COUNTIF(연결!$E$5:$E$35,A17)</f>
        <v>2</v>
      </c>
    </row>
    <row r="18" customFormat="false" ht="15" hidden="false" customHeight="false" outlineLevel="0" collapsed="false">
      <c r="A18" s="4" t="s">
        <v>761</v>
      </c>
      <c r="B18" s="6" t="s">
        <v>1033</v>
      </c>
      <c r="C18" s="11" t="s">
        <v>1034</v>
      </c>
      <c r="D18" s="17" t="s">
        <v>992</v>
      </c>
      <c r="E18" s="11" t="s">
        <v>1031</v>
      </c>
      <c r="F18" s="11" t="s">
        <v>1014</v>
      </c>
      <c r="G18" s="30" t="n">
        <v>87</v>
      </c>
      <c r="H18" s="4" t="str">
        <f aca="false">IF(G18&gt;=80,"범주 1 (채택)",IF(G18&gt;=20,"범주 2 (토론)","범주 3 (기각)"))</f>
        <v>범주 1 (채택)</v>
      </c>
      <c r="I18" s="12" t="s">
        <v>1035</v>
      </c>
      <c r="J18" s="27" t="n">
        <f aca="false">COUNTIF(연결!$D$5:$D$35,A18)+COUNTIF(연결!$E$5:$E$35,A18)</f>
        <v>1</v>
      </c>
    </row>
    <row r="19" customFormat="false" ht="15" hidden="false" customHeight="false" outlineLevel="0" collapsed="false">
      <c r="A19" s="4" t="s">
        <v>762</v>
      </c>
      <c r="B19" s="6" t="s">
        <v>1036</v>
      </c>
      <c r="C19" s="11" t="s">
        <v>1037</v>
      </c>
      <c r="D19" s="17" t="s">
        <v>992</v>
      </c>
      <c r="E19" s="11" t="s">
        <v>1038</v>
      </c>
      <c r="F19" s="11" t="s">
        <v>1014</v>
      </c>
      <c r="G19" s="30" t="n">
        <v>90</v>
      </c>
      <c r="H19" s="4" t="str">
        <f aca="false">IF(G19&gt;=80,"범주 1 (채택)",IF(G19&gt;=20,"범주 2 (토론)","범주 3 (기각)"))</f>
        <v>범주 1 (채택)</v>
      </c>
      <c r="I19" s="12" t="s">
        <v>1039</v>
      </c>
      <c r="J19" s="27" t="n">
        <f aca="false">COUNTIF(연결!$D$5:$D$35,A19)+COUNTIF(연결!$E$5:$E$35,A19)</f>
        <v>3</v>
      </c>
    </row>
    <row r="20" customFormat="false" ht="15" hidden="false" customHeight="false" outlineLevel="0" collapsed="false">
      <c r="A20" s="4" t="s">
        <v>774</v>
      </c>
      <c r="B20" s="4" t="s">
        <v>1040</v>
      </c>
      <c r="C20" s="11" t="s">
        <v>1041</v>
      </c>
      <c r="D20" s="17" t="s">
        <v>992</v>
      </c>
      <c r="E20" s="11" t="s">
        <v>1038</v>
      </c>
      <c r="F20" s="11" t="s">
        <v>1014</v>
      </c>
      <c r="G20" s="30" t="n">
        <v>95</v>
      </c>
      <c r="H20" s="4" t="str">
        <f aca="false">IF(G20&gt;=80,"범주 1 (채택)",IF(G20&gt;=20,"범주 2 (토론)","범주 3 (기각)"))</f>
        <v>범주 1 (채택)</v>
      </c>
      <c r="I20" s="12" t="s">
        <v>1042</v>
      </c>
      <c r="J20" s="27" t="n">
        <f aca="false">COUNTIF(연결!$D$5:$D$35,A20)+COUNTIF(연결!$E$5:$E$35,A20)</f>
        <v>6</v>
      </c>
    </row>
    <row r="21" customFormat="false" ht="15" hidden="false" customHeight="false" outlineLevel="0" collapsed="false">
      <c r="A21" s="4" t="s">
        <v>727</v>
      </c>
      <c r="B21" s="6" t="s">
        <v>1043</v>
      </c>
      <c r="C21" s="11" t="s">
        <v>1044</v>
      </c>
      <c r="D21" s="17" t="s">
        <v>992</v>
      </c>
      <c r="E21" s="11" t="s">
        <v>1038</v>
      </c>
      <c r="F21" s="11" t="s">
        <v>1018</v>
      </c>
      <c r="G21" s="30" t="n">
        <v>92</v>
      </c>
      <c r="H21" s="4" t="str">
        <f aca="false">IF(G21&gt;=80,"범주 1 (채택)",IF(G21&gt;=20,"범주 2 (토론)","범주 3 (기각)"))</f>
        <v>범주 1 (채택)</v>
      </c>
      <c r="I21" s="12" t="s">
        <v>1045</v>
      </c>
      <c r="J21" s="27" t="n">
        <f aca="false">COUNTIF(연결!$D$5:$D$35,A21)+COUNTIF(연결!$E$5:$E$35,A21)</f>
        <v>1</v>
      </c>
    </row>
    <row r="22" customFormat="false" ht="15" hidden="false" customHeight="false" outlineLevel="0" collapsed="false">
      <c r="A22" s="4" t="s">
        <v>733</v>
      </c>
      <c r="B22" s="6" t="s">
        <v>1046</v>
      </c>
      <c r="C22" s="11" t="s">
        <v>1047</v>
      </c>
      <c r="D22" s="17" t="s">
        <v>992</v>
      </c>
      <c r="E22" s="11" t="s">
        <v>1038</v>
      </c>
      <c r="F22" s="11" t="s">
        <v>1048</v>
      </c>
      <c r="G22" s="30" t="n">
        <v>100</v>
      </c>
      <c r="H22" s="4" t="str">
        <f aca="false">IF(G22&gt;=80,"범주 1 (채택)",IF(G22&gt;=20,"범주 2 (토론)","범주 3 (기각)"))</f>
        <v>범주 1 (채택)</v>
      </c>
      <c r="I22" s="12" t="s">
        <v>1049</v>
      </c>
      <c r="J22" s="27" t="n">
        <f aca="false">COUNTIF(연결!$D$5:$D$35,A22)+COUNTIF(연결!$E$5:$E$35,A22)</f>
        <v>1</v>
      </c>
    </row>
    <row r="23" customFormat="false" ht="15" hidden="false" customHeight="false" outlineLevel="0" collapsed="false">
      <c r="A23" s="4" t="s">
        <v>779</v>
      </c>
      <c r="B23" s="6" t="s">
        <v>1050</v>
      </c>
      <c r="C23" s="11" t="s">
        <v>1051</v>
      </c>
      <c r="D23" s="17" t="s">
        <v>1052</v>
      </c>
      <c r="E23" s="11" t="s">
        <v>988</v>
      </c>
      <c r="F23" s="11" t="s">
        <v>988</v>
      </c>
      <c r="G23" s="30" t="n">
        <v>97</v>
      </c>
      <c r="H23" s="4" t="str">
        <f aca="false">IF(G23&gt;=80,"범주 1 (채택)",IF(G23&gt;=20,"범주 2 (토론)","범주 3 (기각)"))</f>
        <v>범주 1 (채택)</v>
      </c>
      <c r="I23" s="12" t="s">
        <v>1053</v>
      </c>
      <c r="J23" s="27" t="n">
        <f aca="false">COUNTIF(연결!$D$5:$D$35,A23)+COUNTIF(연결!$E$5:$E$35,A23)</f>
        <v>1</v>
      </c>
    </row>
    <row r="24" customFormat="false" ht="15" hidden="false" customHeight="false" outlineLevel="0" collapsed="false">
      <c r="A24" s="4" t="s">
        <v>705</v>
      </c>
      <c r="B24" s="6" t="s">
        <v>1054</v>
      </c>
      <c r="C24" s="11" t="s">
        <v>1055</v>
      </c>
      <c r="D24" s="17" t="s">
        <v>1052</v>
      </c>
      <c r="E24" s="11" t="s">
        <v>988</v>
      </c>
      <c r="F24" s="11" t="s">
        <v>988</v>
      </c>
      <c r="G24" s="30" t="n">
        <v>100</v>
      </c>
      <c r="H24" s="4" t="str">
        <f aca="false">IF(G24&gt;=80,"범주 1 (채택)",IF(G24&gt;=20,"범주 2 (토론)","범주 3 (기각)"))</f>
        <v>범주 1 (채택)</v>
      </c>
      <c r="I24" s="12" t="s">
        <v>1056</v>
      </c>
      <c r="J24" s="27" t="n">
        <f aca="false">COUNTIF(연결!$D$5:$D$35,A24)+COUNTIF(연결!$E$5:$E$35,A24)</f>
        <v>4</v>
      </c>
    </row>
    <row r="25" customFormat="false" ht="15" hidden="false" customHeight="false" outlineLevel="0" collapsed="false">
      <c r="A25" s="4" t="s">
        <v>800</v>
      </c>
      <c r="B25" s="6" t="s">
        <v>1057</v>
      </c>
      <c r="C25" s="11" t="s">
        <v>1058</v>
      </c>
      <c r="D25" s="17" t="s">
        <v>1052</v>
      </c>
      <c r="E25" s="11" t="s">
        <v>988</v>
      </c>
      <c r="F25" s="11" t="s">
        <v>988</v>
      </c>
      <c r="G25" s="30" t="n">
        <v>74</v>
      </c>
      <c r="H25" s="4" t="str">
        <f aca="false">IF(G25&gt;=80,"범주 1 (채택)",IF(G25&gt;=20,"범주 2 (토론)","범주 3 (기각)"))</f>
        <v>범주 2 (토론)</v>
      </c>
      <c r="I25" s="12" t="s">
        <v>1059</v>
      </c>
      <c r="J25" s="27" t="n">
        <f aca="false">COUNTIF(연결!$D$5:$D$35,A25)+COUNTIF(연결!$E$5:$E$35,A25)</f>
        <v>2</v>
      </c>
    </row>
    <row r="26" customFormat="false" ht="15" hidden="false" customHeight="false" outlineLevel="0" collapsed="false">
      <c r="A26" s="4" t="s">
        <v>821</v>
      </c>
      <c r="B26" s="6" t="s">
        <v>1060</v>
      </c>
      <c r="C26" s="11" t="s">
        <v>1061</v>
      </c>
      <c r="D26" s="17" t="s">
        <v>1052</v>
      </c>
      <c r="E26" s="11" t="s">
        <v>988</v>
      </c>
      <c r="F26" s="11" t="s">
        <v>988</v>
      </c>
      <c r="G26" s="30" t="n">
        <v>3</v>
      </c>
      <c r="H26" s="4" t="str">
        <f aca="false">IF(G26&gt;=80,"범주 1 (채택)",IF(G26&gt;=20,"범주 2 (토론)","범주 3 (기각)"))</f>
        <v>범주 3 (기각)</v>
      </c>
      <c r="I26" s="12" t="s">
        <v>1062</v>
      </c>
      <c r="J26" s="27" t="n">
        <f aca="false">COUNTIF(연결!$D$5:$D$35,A26)+COUNTIF(연결!$E$5:$E$35,A26)</f>
        <v>1</v>
      </c>
    </row>
    <row r="28" customFormat="false" ht="36" hidden="false" customHeight="true" outlineLevel="0" collapsed="false">
      <c r="A28" s="31" t="s">
        <v>1063</v>
      </c>
      <c r="B28" s="31"/>
      <c r="C28" s="31"/>
      <c r="D28" s="31"/>
      <c r="E28" s="31"/>
      <c r="F28" s="31"/>
      <c r="G28" s="31"/>
      <c r="H28" s="31"/>
      <c r="I28" s="31"/>
      <c r="J28" s="31"/>
    </row>
  </sheetData>
  <mergeCells count="1">
    <mergeCell ref="A28:J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24"/>
    <col collapsed="false" customWidth="true" hidden="false" outlineLevel="0" max="4" min="4" style="0" width="16"/>
    <col collapsed="false" customWidth="true" hidden="false" outlineLevel="0" max="6" min="5" style="0" width="9"/>
    <col collapsed="false" customWidth="true" hidden="false" outlineLevel="0" max="7" min="7" style="0" width="20"/>
  </cols>
  <sheetData>
    <row r="1" customFormat="false" ht="19.4" hidden="false" customHeight="false" outlineLevel="0" collapsed="false">
      <c r="A1" s="7" t="s">
        <v>1064</v>
      </c>
    </row>
    <row r="2" customFormat="false" ht="15" hidden="false" customHeight="false" outlineLevel="0" collapsed="false">
      <c r="A2" s="22" t="s">
        <v>1065</v>
      </c>
    </row>
    <row r="4" customFormat="false" ht="26.1" hidden="false" customHeight="false" outlineLevel="0" collapsed="false">
      <c r="A4" s="9" t="s">
        <v>1066</v>
      </c>
      <c r="B4" s="9" t="s">
        <v>1067</v>
      </c>
      <c r="C4" s="9" t="s">
        <v>1068</v>
      </c>
      <c r="D4" s="9" t="s">
        <v>70</v>
      </c>
      <c r="E4" s="9" t="s">
        <v>826</v>
      </c>
      <c r="F4" s="9" t="s">
        <v>8</v>
      </c>
      <c r="G4" s="9" t="s">
        <v>1069</v>
      </c>
    </row>
    <row r="5" customFormat="false" ht="15" hidden="false" customHeight="false" outlineLevel="0" collapsed="false">
      <c r="A5" s="4" t="s">
        <v>656</v>
      </c>
      <c r="B5" s="4" t="s">
        <v>869</v>
      </c>
      <c r="C5" s="4" t="s">
        <v>657</v>
      </c>
      <c r="D5" s="6" t="s">
        <v>1070</v>
      </c>
      <c r="E5" s="4" t="s">
        <v>653</v>
      </c>
      <c r="F5" s="4" t="s">
        <v>659</v>
      </c>
      <c r="G5" s="6" t="s">
        <v>1071</v>
      </c>
    </row>
    <row r="6" customFormat="false" ht="15" hidden="false" customHeight="false" outlineLevel="0" collapsed="false">
      <c r="A6" s="4" t="s">
        <v>656</v>
      </c>
      <c r="B6" s="4" t="s">
        <v>869</v>
      </c>
      <c r="C6" s="4" t="s">
        <v>667</v>
      </c>
      <c r="D6" s="6" t="s">
        <v>1070</v>
      </c>
      <c r="E6" s="4" t="s">
        <v>665</v>
      </c>
      <c r="F6" s="4" t="s">
        <v>659</v>
      </c>
      <c r="G6" s="6" t="s">
        <v>1071</v>
      </c>
    </row>
    <row r="7" customFormat="false" ht="15" hidden="false" customHeight="false" outlineLevel="0" collapsed="false">
      <c r="A7" s="4" t="s">
        <v>657</v>
      </c>
      <c r="B7" s="4" t="s">
        <v>877</v>
      </c>
      <c r="C7" s="4" t="s">
        <v>667</v>
      </c>
      <c r="D7" s="6" t="s">
        <v>876</v>
      </c>
      <c r="E7" s="4" t="s">
        <v>373</v>
      </c>
      <c r="F7" s="4" t="s">
        <v>659</v>
      </c>
      <c r="G7" s="6" t="s">
        <v>1071</v>
      </c>
    </row>
    <row r="8" customFormat="false" ht="15" hidden="false" customHeight="false" outlineLevel="0" collapsed="false">
      <c r="A8" s="4" t="s">
        <v>656</v>
      </c>
      <c r="B8" s="4" t="s">
        <v>869</v>
      </c>
      <c r="C8" s="4" t="s">
        <v>677</v>
      </c>
      <c r="D8" s="6" t="s">
        <v>1070</v>
      </c>
      <c r="E8" s="4" t="s">
        <v>675</v>
      </c>
      <c r="F8" s="4" t="s">
        <v>659</v>
      </c>
      <c r="G8" s="6" t="s">
        <v>1071</v>
      </c>
    </row>
    <row r="9" customFormat="false" ht="15" hidden="false" customHeight="false" outlineLevel="0" collapsed="false">
      <c r="A9" s="4" t="s">
        <v>656</v>
      </c>
      <c r="B9" s="4" t="s">
        <v>869</v>
      </c>
      <c r="C9" s="4" t="s">
        <v>682</v>
      </c>
      <c r="D9" s="6" t="s">
        <v>1070</v>
      </c>
      <c r="E9" s="4" t="s">
        <v>680</v>
      </c>
      <c r="F9" s="4" t="s">
        <v>659</v>
      </c>
      <c r="G9" s="6" t="s">
        <v>1071</v>
      </c>
    </row>
    <row r="10" customFormat="false" ht="15" hidden="false" customHeight="false" outlineLevel="0" collapsed="false">
      <c r="A10" s="4" t="s">
        <v>657</v>
      </c>
      <c r="B10" s="4" t="s">
        <v>877</v>
      </c>
      <c r="C10" s="4" t="s">
        <v>687</v>
      </c>
      <c r="D10" s="6" t="s">
        <v>876</v>
      </c>
      <c r="E10" s="4" t="s">
        <v>381</v>
      </c>
      <c r="F10" s="4" t="s">
        <v>659</v>
      </c>
      <c r="G10" s="6" t="s">
        <v>1071</v>
      </c>
    </row>
    <row r="11" customFormat="false" ht="15" hidden="false" customHeight="false" outlineLevel="0" collapsed="false">
      <c r="A11" s="4" t="s">
        <v>687</v>
      </c>
      <c r="B11" s="4" t="s">
        <v>885</v>
      </c>
      <c r="C11" s="4" t="s">
        <v>692</v>
      </c>
      <c r="D11" s="6" t="s">
        <v>1072</v>
      </c>
      <c r="E11" s="4" t="s">
        <v>385</v>
      </c>
      <c r="F11" s="4" t="s">
        <v>659</v>
      </c>
      <c r="G11" s="6" t="s">
        <v>1071</v>
      </c>
    </row>
    <row r="12" customFormat="false" ht="15" hidden="false" customHeight="false" outlineLevel="0" collapsed="false">
      <c r="A12" s="4" t="s">
        <v>687</v>
      </c>
      <c r="B12" s="4" t="s">
        <v>885</v>
      </c>
      <c r="C12" s="4" t="s">
        <v>697</v>
      </c>
      <c r="D12" s="6" t="s">
        <v>1072</v>
      </c>
      <c r="E12" s="4" t="s">
        <v>389</v>
      </c>
      <c r="F12" s="4" t="s">
        <v>659</v>
      </c>
      <c r="G12" s="6" t="s">
        <v>1071</v>
      </c>
    </row>
    <row r="13" customFormat="false" ht="15" hidden="false" customHeight="false" outlineLevel="0" collapsed="false">
      <c r="A13" s="4" t="s">
        <v>667</v>
      </c>
      <c r="B13" s="4" t="s">
        <v>869</v>
      </c>
      <c r="C13" s="4" t="s">
        <v>697</v>
      </c>
      <c r="D13" s="6" t="s">
        <v>1070</v>
      </c>
      <c r="E13" s="4" t="s">
        <v>393</v>
      </c>
      <c r="F13" s="4" t="s">
        <v>659</v>
      </c>
      <c r="G13" s="6" t="s">
        <v>1071</v>
      </c>
    </row>
    <row r="14" customFormat="false" ht="15" hidden="false" customHeight="false" outlineLevel="0" collapsed="false">
      <c r="A14" s="4" t="s">
        <v>705</v>
      </c>
      <c r="B14" s="4" t="s">
        <v>928</v>
      </c>
      <c r="C14" s="4" t="s">
        <v>692</v>
      </c>
      <c r="D14" s="6" t="s">
        <v>927</v>
      </c>
      <c r="E14" s="4" t="s">
        <v>703</v>
      </c>
      <c r="F14" s="4" t="s">
        <v>707</v>
      </c>
      <c r="G14" s="6" t="s">
        <v>1071</v>
      </c>
    </row>
    <row r="15" customFormat="false" ht="15" hidden="false" customHeight="false" outlineLevel="0" collapsed="false">
      <c r="A15" s="4" t="s">
        <v>657</v>
      </c>
      <c r="B15" s="4" t="s">
        <v>869</v>
      </c>
      <c r="C15" s="4" t="s">
        <v>705</v>
      </c>
      <c r="D15" s="6" t="s">
        <v>1070</v>
      </c>
      <c r="E15" s="4" t="s">
        <v>573</v>
      </c>
      <c r="F15" s="4" t="s">
        <v>714</v>
      </c>
      <c r="G15" s="6" t="s">
        <v>1071</v>
      </c>
    </row>
    <row r="16" customFormat="false" ht="15" hidden="false" customHeight="false" outlineLevel="0" collapsed="false">
      <c r="A16" s="4" t="s">
        <v>697</v>
      </c>
      <c r="B16" s="4" t="s">
        <v>885</v>
      </c>
      <c r="C16" s="4" t="s">
        <v>722</v>
      </c>
      <c r="D16" s="6" t="s">
        <v>1072</v>
      </c>
      <c r="E16" s="4" t="s">
        <v>402</v>
      </c>
      <c r="F16" s="4" t="s">
        <v>707</v>
      </c>
      <c r="G16" s="6" t="s">
        <v>1071</v>
      </c>
    </row>
    <row r="17" customFormat="false" ht="15" hidden="false" customHeight="false" outlineLevel="0" collapsed="false">
      <c r="A17" s="4" t="s">
        <v>722</v>
      </c>
      <c r="B17" s="4" t="s">
        <v>923</v>
      </c>
      <c r="C17" s="4" t="s">
        <v>727</v>
      </c>
      <c r="D17" s="6" t="s">
        <v>922</v>
      </c>
      <c r="E17" s="4" t="s">
        <v>725</v>
      </c>
      <c r="F17" s="4" t="s">
        <v>659</v>
      </c>
      <c r="G17" s="6" t="s">
        <v>1071</v>
      </c>
    </row>
    <row r="18" customFormat="false" ht="15" hidden="false" customHeight="false" outlineLevel="0" collapsed="false">
      <c r="A18" s="4" t="s">
        <v>722</v>
      </c>
      <c r="B18" s="4" t="s">
        <v>923</v>
      </c>
      <c r="C18" s="4" t="s">
        <v>733</v>
      </c>
      <c r="D18" s="6" t="s">
        <v>922</v>
      </c>
      <c r="E18" s="4" t="s">
        <v>414</v>
      </c>
      <c r="F18" s="4" t="s">
        <v>659</v>
      </c>
      <c r="G18" s="6" t="s">
        <v>1071</v>
      </c>
    </row>
    <row r="19" customFormat="false" ht="15" hidden="false" customHeight="false" outlineLevel="0" collapsed="false">
      <c r="A19" s="4" t="s">
        <v>697</v>
      </c>
      <c r="B19" s="4" t="s">
        <v>893</v>
      </c>
      <c r="C19" s="4" t="s">
        <v>739</v>
      </c>
      <c r="D19" s="6" t="s">
        <v>1073</v>
      </c>
      <c r="E19" s="4" t="s">
        <v>737</v>
      </c>
      <c r="F19" s="4" t="s">
        <v>659</v>
      </c>
      <c r="G19" s="6" t="s">
        <v>1071</v>
      </c>
    </row>
    <row r="20" customFormat="false" ht="15" hidden="false" customHeight="false" outlineLevel="0" collapsed="false">
      <c r="A20" s="4" t="s">
        <v>739</v>
      </c>
      <c r="B20" s="4" t="s">
        <v>907</v>
      </c>
      <c r="C20" s="4" t="s">
        <v>697</v>
      </c>
      <c r="D20" s="6" t="s">
        <v>1074</v>
      </c>
      <c r="E20" s="4" t="s">
        <v>743</v>
      </c>
      <c r="F20" s="4" t="s">
        <v>659</v>
      </c>
      <c r="G20" s="6" t="s">
        <v>1071</v>
      </c>
    </row>
    <row r="21" customFormat="false" ht="15" hidden="false" customHeight="false" outlineLevel="0" collapsed="false">
      <c r="A21" s="4" t="s">
        <v>697</v>
      </c>
      <c r="B21" s="4" t="s">
        <v>869</v>
      </c>
      <c r="C21" s="4" t="s">
        <v>752</v>
      </c>
      <c r="D21" s="6" t="s">
        <v>1070</v>
      </c>
      <c r="E21" s="4" t="s">
        <v>750</v>
      </c>
      <c r="F21" s="4" t="s">
        <v>714</v>
      </c>
      <c r="G21" s="6" t="s">
        <v>1071</v>
      </c>
    </row>
    <row r="22" customFormat="false" ht="15" hidden="false" customHeight="false" outlineLevel="0" collapsed="false">
      <c r="A22" s="4" t="s">
        <v>761</v>
      </c>
      <c r="B22" s="4" t="s">
        <v>915</v>
      </c>
      <c r="C22" s="4" t="s">
        <v>762</v>
      </c>
      <c r="D22" s="6" t="s">
        <v>914</v>
      </c>
      <c r="E22" s="4" t="s">
        <v>758</v>
      </c>
      <c r="F22" s="4" t="s">
        <v>659</v>
      </c>
      <c r="G22" s="6" t="s">
        <v>1071</v>
      </c>
    </row>
    <row r="23" customFormat="false" ht="15" hidden="false" customHeight="false" outlineLevel="0" collapsed="false">
      <c r="A23" s="4" t="s">
        <v>677</v>
      </c>
      <c r="B23" s="4" t="s">
        <v>915</v>
      </c>
      <c r="C23" s="4" t="s">
        <v>762</v>
      </c>
      <c r="D23" s="6" t="s">
        <v>914</v>
      </c>
      <c r="E23" s="4" t="s">
        <v>766</v>
      </c>
      <c r="F23" s="4" t="s">
        <v>659</v>
      </c>
      <c r="G23" s="6" t="s">
        <v>1071</v>
      </c>
    </row>
    <row r="24" customFormat="false" ht="15" hidden="false" customHeight="false" outlineLevel="0" collapsed="false">
      <c r="A24" s="4" t="s">
        <v>682</v>
      </c>
      <c r="B24" s="4" t="s">
        <v>915</v>
      </c>
      <c r="C24" s="4" t="s">
        <v>762</v>
      </c>
      <c r="D24" s="6" t="s">
        <v>914</v>
      </c>
      <c r="E24" s="4" t="s">
        <v>770</v>
      </c>
      <c r="F24" s="4" t="s">
        <v>659</v>
      </c>
      <c r="G24" s="6" t="s">
        <v>1071</v>
      </c>
    </row>
    <row r="25" customFormat="false" ht="15" hidden="false" customHeight="false" outlineLevel="0" collapsed="false">
      <c r="A25" s="4" t="s">
        <v>774</v>
      </c>
      <c r="B25" s="4" t="s">
        <v>899</v>
      </c>
      <c r="C25" s="4" t="s">
        <v>667</v>
      </c>
      <c r="D25" s="6" t="s">
        <v>898</v>
      </c>
      <c r="E25" s="4" t="s">
        <v>431</v>
      </c>
      <c r="F25" s="4" t="s">
        <v>659</v>
      </c>
      <c r="G25" s="6" t="s">
        <v>1071</v>
      </c>
    </row>
    <row r="26" customFormat="false" ht="15" hidden="false" customHeight="false" outlineLevel="0" collapsed="false">
      <c r="A26" s="4" t="s">
        <v>774</v>
      </c>
      <c r="B26" s="4" t="s">
        <v>907</v>
      </c>
      <c r="C26" s="4" t="s">
        <v>779</v>
      </c>
      <c r="D26" s="6" t="s">
        <v>1074</v>
      </c>
      <c r="E26" s="4" t="s">
        <v>440</v>
      </c>
      <c r="F26" s="4" t="s">
        <v>659</v>
      </c>
      <c r="G26" s="6" t="s">
        <v>1071</v>
      </c>
    </row>
    <row r="27" customFormat="false" ht="15" hidden="false" customHeight="false" outlineLevel="0" collapsed="false">
      <c r="A27" s="4" t="s">
        <v>722</v>
      </c>
      <c r="B27" s="4" t="s">
        <v>899</v>
      </c>
      <c r="C27" s="4" t="s">
        <v>774</v>
      </c>
      <c r="D27" s="6" t="s">
        <v>898</v>
      </c>
      <c r="E27" s="4" t="s">
        <v>782</v>
      </c>
      <c r="F27" s="4" t="s">
        <v>659</v>
      </c>
      <c r="G27" s="6" t="s">
        <v>1071</v>
      </c>
    </row>
    <row r="28" customFormat="false" ht="15" hidden="false" customHeight="false" outlineLevel="0" collapsed="false">
      <c r="A28" s="4" t="s">
        <v>739</v>
      </c>
      <c r="B28" s="4" t="s">
        <v>899</v>
      </c>
      <c r="C28" s="4" t="s">
        <v>774</v>
      </c>
      <c r="D28" s="6" t="s">
        <v>898</v>
      </c>
      <c r="E28" s="4" t="s">
        <v>786</v>
      </c>
      <c r="F28" s="4" t="s">
        <v>659</v>
      </c>
      <c r="G28" s="6" t="s">
        <v>1071</v>
      </c>
    </row>
    <row r="29" customFormat="false" ht="15" hidden="false" customHeight="false" outlineLevel="0" collapsed="false">
      <c r="A29" s="4" t="s">
        <v>774</v>
      </c>
      <c r="B29" s="4" t="s">
        <v>915</v>
      </c>
      <c r="C29" s="4" t="s">
        <v>722</v>
      </c>
      <c r="D29" s="6" t="s">
        <v>914</v>
      </c>
      <c r="E29" s="4" t="s">
        <v>790</v>
      </c>
      <c r="F29" s="4" t="s">
        <v>659</v>
      </c>
      <c r="G29" s="6" t="s">
        <v>1071</v>
      </c>
    </row>
    <row r="30" customFormat="false" ht="15" hidden="false" customHeight="false" outlineLevel="0" collapsed="false">
      <c r="A30" s="4" t="s">
        <v>774</v>
      </c>
      <c r="B30" s="4" t="s">
        <v>915</v>
      </c>
      <c r="C30" s="4" t="s">
        <v>739</v>
      </c>
      <c r="D30" s="6" t="s">
        <v>914</v>
      </c>
      <c r="E30" s="4" t="s">
        <v>794</v>
      </c>
      <c r="F30" s="4" t="s">
        <v>659</v>
      </c>
      <c r="G30" s="6" t="s">
        <v>1071</v>
      </c>
    </row>
    <row r="31" customFormat="false" ht="15" hidden="false" customHeight="false" outlineLevel="0" collapsed="false">
      <c r="A31" s="4" t="s">
        <v>799</v>
      </c>
      <c r="B31" s="4" t="s">
        <v>941</v>
      </c>
      <c r="C31" s="4" t="s">
        <v>800</v>
      </c>
      <c r="D31" s="6" t="s">
        <v>940</v>
      </c>
      <c r="E31" s="4" t="s">
        <v>449</v>
      </c>
      <c r="F31" s="4" t="s">
        <v>659</v>
      </c>
      <c r="G31" s="6" t="s">
        <v>1071</v>
      </c>
    </row>
    <row r="32" customFormat="false" ht="15" hidden="false" customHeight="false" outlineLevel="0" collapsed="false">
      <c r="A32" s="4" t="s">
        <v>800</v>
      </c>
      <c r="B32" s="4" t="s">
        <v>869</v>
      </c>
      <c r="C32" s="4" t="s">
        <v>806</v>
      </c>
      <c r="D32" s="6" t="s">
        <v>1070</v>
      </c>
      <c r="E32" s="4" t="s">
        <v>453</v>
      </c>
      <c r="F32" s="4" t="s">
        <v>659</v>
      </c>
      <c r="G32" s="6" t="s">
        <v>1071</v>
      </c>
    </row>
    <row r="33" customFormat="false" ht="15" hidden="false" customHeight="false" outlineLevel="0" collapsed="false">
      <c r="A33" s="4" t="s">
        <v>806</v>
      </c>
      <c r="B33" s="4" t="s">
        <v>885</v>
      </c>
      <c r="C33" s="4" t="s">
        <v>810</v>
      </c>
      <c r="D33" s="6" t="s">
        <v>1072</v>
      </c>
      <c r="E33" s="4" t="s">
        <v>462</v>
      </c>
      <c r="F33" s="4" t="s">
        <v>714</v>
      </c>
      <c r="G33" s="6" t="s">
        <v>1071</v>
      </c>
    </row>
    <row r="34" customFormat="false" ht="15" hidden="false" customHeight="false" outlineLevel="0" collapsed="false">
      <c r="A34" s="4" t="s">
        <v>705</v>
      </c>
      <c r="B34" s="4" t="s">
        <v>928</v>
      </c>
      <c r="C34" s="4" t="s">
        <v>799</v>
      </c>
      <c r="D34" s="6" t="s">
        <v>927</v>
      </c>
      <c r="E34" s="4" t="s">
        <v>815</v>
      </c>
      <c r="F34" s="4" t="s">
        <v>659</v>
      </c>
      <c r="G34" s="6" t="s">
        <v>1071</v>
      </c>
    </row>
    <row r="35" customFormat="false" ht="15" hidden="false" customHeight="false" outlineLevel="0" collapsed="false">
      <c r="A35" s="4" t="s">
        <v>705</v>
      </c>
      <c r="B35" s="4" t="s">
        <v>928</v>
      </c>
      <c r="C35" s="4" t="s">
        <v>821</v>
      </c>
      <c r="D35" s="6" t="s">
        <v>927</v>
      </c>
      <c r="E35" s="4" t="s">
        <v>457</v>
      </c>
      <c r="F35" s="4" t="s">
        <v>659</v>
      </c>
      <c r="G35" s="6" t="s">
        <v>1071</v>
      </c>
    </row>
    <row r="36" customFormat="false" ht="15" hidden="false" customHeight="false" outlineLevel="0" collapsed="false">
      <c r="A36" s="4" t="s">
        <v>1075</v>
      </c>
      <c r="B36" s="4" t="s">
        <v>1076</v>
      </c>
      <c r="C36" s="4" t="s">
        <v>1077</v>
      </c>
      <c r="D36" s="4"/>
      <c r="E36" s="4" t="s">
        <v>653</v>
      </c>
      <c r="F36" s="4" t="s">
        <v>659</v>
      </c>
      <c r="G36" s="4" t="s">
        <v>1078</v>
      </c>
    </row>
    <row r="37" customFormat="false" ht="15" hidden="false" customHeight="false" outlineLevel="0" collapsed="false">
      <c r="A37" s="4" t="s">
        <v>1075</v>
      </c>
      <c r="B37" s="4" t="s">
        <v>1079</v>
      </c>
      <c r="C37" s="4" t="s">
        <v>656</v>
      </c>
      <c r="D37" s="4"/>
      <c r="E37" s="4" t="s">
        <v>653</v>
      </c>
      <c r="F37" s="4" t="s">
        <v>659</v>
      </c>
      <c r="G37" s="4" t="s">
        <v>1078</v>
      </c>
    </row>
    <row r="38" customFormat="false" ht="15" hidden="false" customHeight="false" outlineLevel="0" collapsed="false">
      <c r="A38" s="4" t="s">
        <v>1075</v>
      </c>
      <c r="B38" s="4" t="s">
        <v>1080</v>
      </c>
      <c r="C38" s="4" t="s">
        <v>657</v>
      </c>
      <c r="D38" s="4"/>
      <c r="E38" s="4" t="s">
        <v>653</v>
      </c>
      <c r="F38" s="4" t="s">
        <v>659</v>
      </c>
      <c r="G38" s="4" t="s">
        <v>1078</v>
      </c>
    </row>
    <row r="39" customFormat="false" ht="15" hidden="false" customHeight="false" outlineLevel="0" collapsed="false">
      <c r="A39" s="4" t="s">
        <v>1075</v>
      </c>
      <c r="B39" s="4" t="s">
        <v>1081</v>
      </c>
      <c r="C39" s="4" t="s">
        <v>869</v>
      </c>
      <c r="D39" s="4"/>
      <c r="E39" s="4" t="s">
        <v>653</v>
      </c>
      <c r="F39" s="4" t="s">
        <v>659</v>
      </c>
      <c r="G39" s="4" t="s">
        <v>1078</v>
      </c>
    </row>
    <row r="40" customFormat="false" ht="25.35" hidden="false" customHeight="false" outlineLevel="0" collapsed="false">
      <c r="A40" s="4" t="s">
        <v>1075</v>
      </c>
      <c r="B40" s="4" t="s">
        <v>1082</v>
      </c>
      <c r="C40" s="4" t="s">
        <v>1083</v>
      </c>
      <c r="D40" s="4"/>
      <c r="E40" s="4" t="s">
        <v>653</v>
      </c>
      <c r="F40" s="4" t="s">
        <v>659</v>
      </c>
      <c r="G40" s="4" t="s">
        <v>1078</v>
      </c>
    </row>
    <row r="41" customFormat="false" ht="25.35" hidden="false" customHeight="false" outlineLevel="0" collapsed="false">
      <c r="A41" s="4" t="s">
        <v>1075</v>
      </c>
      <c r="B41" s="4" t="s">
        <v>1084</v>
      </c>
      <c r="C41" s="4" t="s">
        <v>1085</v>
      </c>
      <c r="D41" s="4"/>
      <c r="E41" s="4" t="s">
        <v>653</v>
      </c>
      <c r="F41" s="4" t="s">
        <v>659</v>
      </c>
      <c r="G41" s="4" t="s">
        <v>1078</v>
      </c>
    </row>
    <row r="42" customFormat="false" ht="15" hidden="false" customHeight="false" outlineLevel="0" collapsed="false">
      <c r="A42" s="4" t="s">
        <v>1075</v>
      </c>
      <c r="B42" s="4" t="s">
        <v>1086</v>
      </c>
      <c r="C42" s="4" t="s">
        <v>1087</v>
      </c>
      <c r="D42" s="4"/>
      <c r="E42" s="4" t="s">
        <v>653</v>
      </c>
      <c r="F42" s="4" t="s">
        <v>659</v>
      </c>
      <c r="G42" s="4" t="s">
        <v>1078</v>
      </c>
    </row>
    <row r="43" customFormat="false" ht="25.35" hidden="false" customHeight="false" outlineLevel="0" collapsed="false">
      <c r="A43" s="4" t="s">
        <v>1075</v>
      </c>
      <c r="B43" s="4" t="s">
        <v>1088</v>
      </c>
      <c r="C43" s="4" t="s">
        <v>1089</v>
      </c>
      <c r="D43" s="4"/>
      <c r="E43" s="4" t="s">
        <v>653</v>
      </c>
      <c r="F43" s="4" t="s">
        <v>659</v>
      </c>
      <c r="G43" s="4" t="s">
        <v>1078</v>
      </c>
    </row>
    <row r="44" customFormat="false" ht="15" hidden="false" customHeight="false" outlineLevel="0" collapsed="false">
      <c r="A44" s="4" t="s">
        <v>1075</v>
      </c>
      <c r="B44" s="4" t="s">
        <v>1090</v>
      </c>
      <c r="C44" s="4" t="s">
        <v>1091</v>
      </c>
      <c r="D44" s="4"/>
      <c r="E44" s="4" t="s">
        <v>653</v>
      </c>
      <c r="F44" s="4" t="s">
        <v>659</v>
      </c>
      <c r="G44" s="4" t="s">
        <v>1078</v>
      </c>
    </row>
    <row r="45" customFormat="false" ht="15" hidden="false" customHeight="false" outlineLevel="0" collapsed="false">
      <c r="A45" s="4" t="s">
        <v>1092</v>
      </c>
      <c r="B45" s="4" t="s">
        <v>1076</v>
      </c>
      <c r="C45" s="4" t="s">
        <v>1077</v>
      </c>
      <c r="D45" s="4"/>
      <c r="E45" s="4" t="s">
        <v>665</v>
      </c>
      <c r="F45" s="4" t="s">
        <v>659</v>
      </c>
      <c r="G45" s="4" t="s">
        <v>1078</v>
      </c>
    </row>
    <row r="46" customFormat="false" ht="15" hidden="false" customHeight="false" outlineLevel="0" collapsed="false">
      <c r="A46" s="4" t="s">
        <v>1092</v>
      </c>
      <c r="B46" s="4" t="s">
        <v>1079</v>
      </c>
      <c r="C46" s="4" t="s">
        <v>656</v>
      </c>
      <c r="D46" s="4"/>
      <c r="E46" s="4" t="s">
        <v>665</v>
      </c>
      <c r="F46" s="4" t="s">
        <v>659</v>
      </c>
      <c r="G46" s="4" t="s">
        <v>1078</v>
      </c>
    </row>
    <row r="47" customFormat="false" ht="15" hidden="false" customHeight="false" outlineLevel="0" collapsed="false">
      <c r="A47" s="4" t="s">
        <v>1092</v>
      </c>
      <c r="B47" s="4" t="s">
        <v>1080</v>
      </c>
      <c r="C47" s="4" t="s">
        <v>667</v>
      </c>
      <c r="D47" s="4"/>
      <c r="E47" s="4" t="s">
        <v>665</v>
      </c>
      <c r="F47" s="4" t="s">
        <v>659</v>
      </c>
      <c r="G47" s="4" t="s">
        <v>1078</v>
      </c>
    </row>
    <row r="48" customFormat="false" ht="15" hidden="false" customHeight="false" outlineLevel="0" collapsed="false">
      <c r="A48" s="4" t="s">
        <v>1092</v>
      </c>
      <c r="B48" s="4" t="s">
        <v>1081</v>
      </c>
      <c r="C48" s="4" t="s">
        <v>869</v>
      </c>
      <c r="D48" s="4"/>
      <c r="E48" s="4" t="s">
        <v>665</v>
      </c>
      <c r="F48" s="4" t="s">
        <v>659</v>
      </c>
      <c r="G48" s="4" t="s">
        <v>1078</v>
      </c>
    </row>
    <row r="49" customFormat="false" ht="25.35" hidden="false" customHeight="false" outlineLevel="0" collapsed="false">
      <c r="A49" s="4" t="s">
        <v>1092</v>
      </c>
      <c r="B49" s="4" t="s">
        <v>1082</v>
      </c>
      <c r="C49" s="4" t="s">
        <v>1093</v>
      </c>
      <c r="D49" s="4"/>
      <c r="E49" s="4" t="s">
        <v>665</v>
      </c>
      <c r="F49" s="4" t="s">
        <v>659</v>
      </c>
      <c r="G49" s="4" t="s">
        <v>1078</v>
      </c>
    </row>
    <row r="50" customFormat="false" ht="25.35" hidden="false" customHeight="false" outlineLevel="0" collapsed="false">
      <c r="A50" s="4" t="s">
        <v>1092</v>
      </c>
      <c r="B50" s="4" t="s">
        <v>1084</v>
      </c>
      <c r="C50" s="4" t="s">
        <v>1094</v>
      </c>
      <c r="D50" s="4"/>
      <c r="E50" s="4" t="s">
        <v>665</v>
      </c>
      <c r="F50" s="4" t="s">
        <v>659</v>
      </c>
      <c r="G50" s="4" t="s">
        <v>1078</v>
      </c>
    </row>
    <row r="51" customFormat="false" ht="15" hidden="false" customHeight="false" outlineLevel="0" collapsed="false">
      <c r="A51" s="4" t="s">
        <v>1092</v>
      </c>
      <c r="B51" s="4" t="s">
        <v>1086</v>
      </c>
      <c r="C51" s="4" t="s">
        <v>1095</v>
      </c>
      <c r="D51" s="4"/>
      <c r="E51" s="4" t="s">
        <v>665</v>
      </c>
      <c r="F51" s="4" t="s">
        <v>659</v>
      </c>
      <c r="G51" s="4" t="s">
        <v>1078</v>
      </c>
    </row>
    <row r="52" customFormat="false" ht="25.35" hidden="false" customHeight="false" outlineLevel="0" collapsed="false">
      <c r="A52" s="4" t="s">
        <v>1092</v>
      </c>
      <c r="B52" s="4" t="s">
        <v>1088</v>
      </c>
      <c r="C52" s="4" t="s">
        <v>1096</v>
      </c>
      <c r="D52" s="4"/>
      <c r="E52" s="4" t="s">
        <v>665</v>
      </c>
      <c r="F52" s="4" t="s">
        <v>659</v>
      </c>
      <c r="G52" s="4" t="s">
        <v>1078</v>
      </c>
    </row>
    <row r="53" customFormat="false" ht="15" hidden="false" customHeight="false" outlineLevel="0" collapsed="false">
      <c r="A53" s="4" t="s">
        <v>1092</v>
      </c>
      <c r="B53" s="4" t="s">
        <v>1090</v>
      </c>
      <c r="C53" s="4" t="s">
        <v>1097</v>
      </c>
      <c r="D53" s="4"/>
      <c r="E53" s="4" t="s">
        <v>665</v>
      </c>
      <c r="F53" s="4" t="s">
        <v>659</v>
      </c>
      <c r="G53" s="4" t="s">
        <v>1078</v>
      </c>
    </row>
    <row r="54" customFormat="false" ht="15" hidden="false" customHeight="false" outlineLevel="0" collapsed="false">
      <c r="A54" s="4" t="s">
        <v>1098</v>
      </c>
      <c r="B54" s="4" t="s">
        <v>1076</v>
      </c>
      <c r="C54" s="4" t="s">
        <v>1077</v>
      </c>
      <c r="D54" s="4"/>
      <c r="E54" s="4" t="s">
        <v>373</v>
      </c>
      <c r="F54" s="4" t="s">
        <v>659</v>
      </c>
      <c r="G54" s="4" t="s">
        <v>1078</v>
      </c>
    </row>
    <row r="55" customFormat="false" ht="15" hidden="false" customHeight="false" outlineLevel="0" collapsed="false">
      <c r="A55" s="4" t="s">
        <v>1098</v>
      </c>
      <c r="B55" s="4" t="s">
        <v>1079</v>
      </c>
      <c r="C55" s="4" t="s">
        <v>657</v>
      </c>
      <c r="D55" s="4"/>
      <c r="E55" s="4" t="s">
        <v>373</v>
      </c>
      <c r="F55" s="4" t="s">
        <v>659</v>
      </c>
      <c r="G55" s="4" t="s">
        <v>1078</v>
      </c>
    </row>
    <row r="56" customFormat="false" ht="15" hidden="false" customHeight="false" outlineLevel="0" collapsed="false">
      <c r="A56" s="4" t="s">
        <v>1098</v>
      </c>
      <c r="B56" s="4" t="s">
        <v>1080</v>
      </c>
      <c r="C56" s="4" t="s">
        <v>667</v>
      </c>
      <c r="D56" s="4"/>
      <c r="E56" s="4" t="s">
        <v>373</v>
      </c>
      <c r="F56" s="4" t="s">
        <v>659</v>
      </c>
      <c r="G56" s="4" t="s">
        <v>1078</v>
      </c>
    </row>
    <row r="57" customFormat="false" ht="15" hidden="false" customHeight="false" outlineLevel="0" collapsed="false">
      <c r="A57" s="4" t="s">
        <v>1098</v>
      </c>
      <c r="B57" s="4" t="s">
        <v>1081</v>
      </c>
      <c r="C57" s="4" t="s">
        <v>877</v>
      </c>
      <c r="D57" s="4"/>
      <c r="E57" s="4" t="s">
        <v>373</v>
      </c>
      <c r="F57" s="4" t="s">
        <v>659</v>
      </c>
      <c r="G57" s="4" t="s">
        <v>1078</v>
      </c>
    </row>
    <row r="58" customFormat="false" ht="25.35" hidden="false" customHeight="false" outlineLevel="0" collapsed="false">
      <c r="A58" s="4" t="s">
        <v>1098</v>
      </c>
      <c r="B58" s="4" t="s">
        <v>1082</v>
      </c>
      <c r="C58" s="4" t="s">
        <v>1099</v>
      </c>
      <c r="D58" s="4"/>
      <c r="E58" s="4" t="s">
        <v>373</v>
      </c>
      <c r="F58" s="4" t="s">
        <v>659</v>
      </c>
      <c r="G58" s="4" t="s">
        <v>1078</v>
      </c>
    </row>
    <row r="59" customFormat="false" ht="25.35" hidden="false" customHeight="false" outlineLevel="0" collapsed="false">
      <c r="A59" s="4" t="s">
        <v>1098</v>
      </c>
      <c r="B59" s="4" t="s">
        <v>1084</v>
      </c>
      <c r="C59" s="4" t="s">
        <v>1100</v>
      </c>
      <c r="D59" s="4"/>
      <c r="E59" s="4" t="s">
        <v>373</v>
      </c>
      <c r="F59" s="4" t="s">
        <v>659</v>
      </c>
      <c r="G59" s="4" t="s">
        <v>1078</v>
      </c>
    </row>
    <row r="60" customFormat="false" ht="15" hidden="false" customHeight="false" outlineLevel="0" collapsed="false">
      <c r="A60" s="4" t="s">
        <v>1098</v>
      </c>
      <c r="B60" s="4" t="s">
        <v>1086</v>
      </c>
      <c r="C60" s="4" t="s">
        <v>1101</v>
      </c>
      <c r="D60" s="4"/>
      <c r="E60" s="4" t="s">
        <v>373</v>
      </c>
      <c r="F60" s="4" t="s">
        <v>659</v>
      </c>
      <c r="G60" s="4" t="s">
        <v>1078</v>
      </c>
    </row>
    <row r="61" customFormat="false" ht="25.35" hidden="false" customHeight="false" outlineLevel="0" collapsed="false">
      <c r="A61" s="4" t="s">
        <v>1098</v>
      </c>
      <c r="B61" s="4" t="s">
        <v>1088</v>
      </c>
      <c r="C61" s="4" t="s">
        <v>1102</v>
      </c>
      <c r="D61" s="4"/>
      <c r="E61" s="4" t="s">
        <v>373</v>
      </c>
      <c r="F61" s="4" t="s">
        <v>659</v>
      </c>
      <c r="G61" s="4" t="s">
        <v>1078</v>
      </c>
    </row>
    <row r="62" customFormat="false" ht="15" hidden="false" customHeight="false" outlineLevel="0" collapsed="false">
      <c r="A62" s="4" t="s">
        <v>1098</v>
      </c>
      <c r="B62" s="4" t="s">
        <v>1090</v>
      </c>
      <c r="C62" s="4" t="s">
        <v>1103</v>
      </c>
      <c r="D62" s="4"/>
      <c r="E62" s="4" t="s">
        <v>373</v>
      </c>
      <c r="F62" s="4" t="s">
        <v>659</v>
      </c>
      <c r="G62" s="4" t="s">
        <v>1078</v>
      </c>
    </row>
    <row r="63" customFormat="false" ht="15" hidden="false" customHeight="false" outlineLevel="0" collapsed="false">
      <c r="A63" s="4" t="s">
        <v>1104</v>
      </c>
      <c r="B63" s="4" t="s">
        <v>1076</v>
      </c>
      <c r="C63" s="4" t="s">
        <v>1077</v>
      </c>
      <c r="D63" s="4"/>
      <c r="E63" s="4" t="s">
        <v>675</v>
      </c>
      <c r="F63" s="4" t="s">
        <v>659</v>
      </c>
      <c r="G63" s="4" t="s">
        <v>1078</v>
      </c>
    </row>
    <row r="64" customFormat="false" ht="15" hidden="false" customHeight="false" outlineLevel="0" collapsed="false">
      <c r="A64" s="4" t="s">
        <v>1104</v>
      </c>
      <c r="B64" s="4" t="s">
        <v>1079</v>
      </c>
      <c r="C64" s="4" t="s">
        <v>656</v>
      </c>
      <c r="D64" s="4"/>
      <c r="E64" s="4" t="s">
        <v>675</v>
      </c>
      <c r="F64" s="4" t="s">
        <v>659</v>
      </c>
      <c r="G64" s="4" t="s">
        <v>1078</v>
      </c>
    </row>
    <row r="65" customFormat="false" ht="15" hidden="false" customHeight="false" outlineLevel="0" collapsed="false">
      <c r="A65" s="4" t="s">
        <v>1104</v>
      </c>
      <c r="B65" s="4" t="s">
        <v>1080</v>
      </c>
      <c r="C65" s="4" t="s">
        <v>677</v>
      </c>
      <c r="D65" s="4"/>
      <c r="E65" s="4" t="s">
        <v>675</v>
      </c>
      <c r="F65" s="4" t="s">
        <v>659</v>
      </c>
      <c r="G65" s="4" t="s">
        <v>1078</v>
      </c>
    </row>
    <row r="66" customFormat="false" ht="15" hidden="false" customHeight="false" outlineLevel="0" collapsed="false">
      <c r="A66" s="4" t="s">
        <v>1104</v>
      </c>
      <c r="B66" s="4" t="s">
        <v>1081</v>
      </c>
      <c r="C66" s="4" t="s">
        <v>869</v>
      </c>
      <c r="D66" s="4"/>
      <c r="E66" s="4" t="s">
        <v>675</v>
      </c>
      <c r="F66" s="4" t="s">
        <v>659</v>
      </c>
      <c r="G66" s="4" t="s">
        <v>1078</v>
      </c>
    </row>
    <row r="67" customFormat="false" ht="25.35" hidden="false" customHeight="false" outlineLevel="0" collapsed="false">
      <c r="A67" s="4" t="s">
        <v>1104</v>
      </c>
      <c r="B67" s="4" t="s">
        <v>1082</v>
      </c>
      <c r="C67" s="4" t="s">
        <v>1105</v>
      </c>
      <c r="D67" s="4"/>
      <c r="E67" s="4" t="s">
        <v>675</v>
      </c>
      <c r="F67" s="4" t="s">
        <v>659</v>
      </c>
      <c r="G67" s="4" t="s">
        <v>1078</v>
      </c>
    </row>
    <row r="68" customFormat="false" ht="25.35" hidden="false" customHeight="false" outlineLevel="0" collapsed="false">
      <c r="A68" s="4" t="s">
        <v>1104</v>
      </c>
      <c r="B68" s="4" t="s">
        <v>1084</v>
      </c>
      <c r="C68" s="4" t="s">
        <v>1106</v>
      </c>
      <c r="D68" s="4"/>
      <c r="E68" s="4" t="s">
        <v>675</v>
      </c>
      <c r="F68" s="4" t="s">
        <v>659</v>
      </c>
      <c r="G68" s="4" t="s">
        <v>1078</v>
      </c>
    </row>
    <row r="69" customFormat="false" ht="15" hidden="false" customHeight="false" outlineLevel="0" collapsed="false">
      <c r="A69" s="4" t="s">
        <v>1104</v>
      </c>
      <c r="B69" s="4" t="s">
        <v>1086</v>
      </c>
      <c r="C69" s="4" t="s">
        <v>1107</v>
      </c>
      <c r="D69" s="4"/>
      <c r="E69" s="4" t="s">
        <v>675</v>
      </c>
      <c r="F69" s="4" t="s">
        <v>659</v>
      </c>
      <c r="G69" s="4" t="s">
        <v>1078</v>
      </c>
    </row>
    <row r="70" customFormat="false" ht="25.35" hidden="false" customHeight="false" outlineLevel="0" collapsed="false">
      <c r="A70" s="4" t="s">
        <v>1104</v>
      </c>
      <c r="B70" s="4" t="s">
        <v>1088</v>
      </c>
      <c r="C70" s="4" t="s">
        <v>1108</v>
      </c>
      <c r="D70" s="4"/>
      <c r="E70" s="4" t="s">
        <v>675</v>
      </c>
      <c r="F70" s="4" t="s">
        <v>659</v>
      </c>
      <c r="G70" s="4" t="s">
        <v>1078</v>
      </c>
    </row>
    <row r="71" customFormat="false" ht="15" hidden="false" customHeight="false" outlineLevel="0" collapsed="false">
      <c r="A71" s="4" t="s">
        <v>1104</v>
      </c>
      <c r="B71" s="4" t="s">
        <v>1090</v>
      </c>
      <c r="C71" s="4" t="s">
        <v>1109</v>
      </c>
      <c r="D71" s="4"/>
      <c r="E71" s="4" t="s">
        <v>675</v>
      </c>
      <c r="F71" s="4" t="s">
        <v>659</v>
      </c>
      <c r="G71" s="4" t="s">
        <v>1078</v>
      </c>
    </row>
    <row r="72" customFormat="false" ht="15" hidden="false" customHeight="false" outlineLevel="0" collapsed="false">
      <c r="A72" s="4" t="s">
        <v>1110</v>
      </c>
      <c r="B72" s="4" t="s">
        <v>1076</v>
      </c>
      <c r="C72" s="4" t="s">
        <v>1077</v>
      </c>
      <c r="D72" s="4"/>
      <c r="E72" s="4" t="s">
        <v>680</v>
      </c>
      <c r="F72" s="4" t="s">
        <v>659</v>
      </c>
      <c r="G72" s="4" t="s">
        <v>1078</v>
      </c>
    </row>
    <row r="73" customFormat="false" ht="15" hidden="false" customHeight="false" outlineLevel="0" collapsed="false">
      <c r="A73" s="4" t="s">
        <v>1110</v>
      </c>
      <c r="B73" s="4" t="s">
        <v>1079</v>
      </c>
      <c r="C73" s="4" t="s">
        <v>656</v>
      </c>
      <c r="D73" s="4"/>
      <c r="E73" s="4" t="s">
        <v>680</v>
      </c>
      <c r="F73" s="4" t="s">
        <v>659</v>
      </c>
      <c r="G73" s="4" t="s">
        <v>1078</v>
      </c>
    </row>
    <row r="74" customFormat="false" ht="15" hidden="false" customHeight="false" outlineLevel="0" collapsed="false">
      <c r="A74" s="4" t="s">
        <v>1110</v>
      </c>
      <c r="B74" s="4" t="s">
        <v>1080</v>
      </c>
      <c r="C74" s="4" t="s">
        <v>682</v>
      </c>
      <c r="D74" s="4"/>
      <c r="E74" s="4" t="s">
        <v>680</v>
      </c>
      <c r="F74" s="4" t="s">
        <v>659</v>
      </c>
      <c r="G74" s="4" t="s">
        <v>1078</v>
      </c>
    </row>
    <row r="75" customFormat="false" ht="15" hidden="false" customHeight="false" outlineLevel="0" collapsed="false">
      <c r="A75" s="4" t="s">
        <v>1110</v>
      </c>
      <c r="B75" s="4" t="s">
        <v>1081</v>
      </c>
      <c r="C75" s="4" t="s">
        <v>869</v>
      </c>
      <c r="D75" s="4"/>
      <c r="E75" s="4" t="s">
        <v>680</v>
      </c>
      <c r="F75" s="4" t="s">
        <v>659</v>
      </c>
      <c r="G75" s="4" t="s">
        <v>1078</v>
      </c>
    </row>
    <row r="76" customFormat="false" ht="25.35" hidden="false" customHeight="false" outlineLevel="0" collapsed="false">
      <c r="A76" s="4" t="s">
        <v>1110</v>
      </c>
      <c r="B76" s="4" t="s">
        <v>1082</v>
      </c>
      <c r="C76" s="4" t="s">
        <v>1111</v>
      </c>
      <c r="D76" s="4"/>
      <c r="E76" s="4" t="s">
        <v>680</v>
      </c>
      <c r="F76" s="4" t="s">
        <v>659</v>
      </c>
      <c r="G76" s="4" t="s">
        <v>1078</v>
      </c>
    </row>
    <row r="77" customFormat="false" ht="25.35" hidden="false" customHeight="false" outlineLevel="0" collapsed="false">
      <c r="A77" s="4" t="s">
        <v>1110</v>
      </c>
      <c r="B77" s="4" t="s">
        <v>1084</v>
      </c>
      <c r="C77" s="4" t="s">
        <v>1112</v>
      </c>
      <c r="D77" s="4"/>
      <c r="E77" s="4" t="s">
        <v>680</v>
      </c>
      <c r="F77" s="4" t="s">
        <v>659</v>
      </c>
      <c r="G77" s="4" t="s">
        <v>1078</v>
      </c>
    </row>
    <row r="78" customFormat="false" ht="15" hidden="false" customHeight="false" outlineLevel="0" collapsed="false">
      <c r="A78" s="4" t="s">
        <v>1110</v>
      </c>
      <c r="B78" s="4" t="s">
        <v>1086</v>
      </c>
      <c r="C78" s="4" t="s">
        <v>1113</v>
      </c>
      <c r="D78" s="4"/>
      <c r="E78" s="4" t="s">
        <v>680</v>
      </c>
      <c r="F78" s="4" t="s">
        <v>659</v>
      </c>
      <c r="G78" s="4" t="s">
        <v>1078</v>
      </c>
    </row>
    <row r="79" customFormat="false" ht="25.35" hidden="false" customHeight="false" outlineLevel="0" collapsed="false">
      <c r="A79" s="4" t="s">
        <v>1110</v>
      </c>
      <c r="B79" s="4" t="s">
        <v>1088</v>
      </c>
      <c r="C79" s="4" t="s">
        <v>1114</v>
      </c>
      <c r="D79" s="4"/>
      <c r="E79" s="4" t="s">
        <v>680</v>
      </c>
      <c r="F79" s="4" t="s">
        <v>659</v>
      </c>
      <c r="G79" s="4" t="s">
        <v>1078</v>
      </c>
    </row>
    <row r="80" customFormat="false" ht="15" hidden="false" customHeight="false" outlineLevel="0" collapsed="false">
      <c r="A80" s="4" t="s">
        <v>1110</v>
      </c>
      <c r="B80" s="4" t="s">
        <v>1090</v>
      </c>
      <c r="C80" s="4" t="s">
        <v>1115</v>
      </c>
      <c r="D80" s="4"/>
      <c r="E80" s="4" t="s">
        <v>680</v>
      </c>
      <c r="F80" s="4" t="s">
        <v>659</v>
      </c>
      <c r="G80" s="4" t="s">
        <v>1078</v>
      </c>
    </row>
    <row r="81" customFormat="false" ht="15" hidden="false" customHeight="false" outlineLevel="0" collapsed="false">
      <c r="A81" s="4" t="s">
        <v>1116</v>
      </c>
      <c r="B81" s="4" t="s">
        <v>1076</v>
      </c>
      <c r="C81" s="4" t="s">
        <v>1077</v>
      </c>
      <c r="D81" s="4"/>
      <c r="E81" s="4" t="s">
        <v>381</v>
      </c>
      <c r="F81" s="4" t="s">
        <v>659</v>
      </c>
      <c r="G81" s="4" t="s">
        <v>1078</v>
      </c>
    </row>
    <row r="82" customFormat="false" ht="15" hidden="false" customHeight="false" outlineLevel="0" collapsed="false">
      <c r="A82" s="4" t="s">
        <v>1116</v>
      </c>
      <c r="B82" s="4" t="s">
        <v>1079</v>
      </c>
      <c r="C82" s="4" t="s">
        <v>657</v>
      </c>
      <c r="D82" s="4"/>
      <c r="E82" s="4" t="s">
        <v>381</v>
      </c>
      <c r="F82" s="4" t="s">
        <v>659</v>
      </c>
      <c r="G82" s="4" t="s">
        <v>1078</v>
      </c>
    </row>
    <row r="83" customFormat="false" ht="15" hidden="false" customHeight="false" outlineLevel="0" collapsed="false">
      <c r="A83" s="4" t="s">
        <v>1116</v>
      </c>
      <c r="B83" s="4" t="s">
        <v>1080</v>
      </c>
      <c r="C83" s="4" t="s">
        <v>687</v>
      </c>
      <c r="D83" s="4"/>
      <c r="E83" s="4" t="s">
        <v>381</v>
      </c>
      <c r="F83" s="4" t="s">
        <v>659</v>
      </c>
      <c r="G83" s="4" t="s">
        <v>1078</v>
      </c>
    </row>
    <row r="84" customFormat="false" ht="15" hidden="false" customHeight="false" outlineLevel="0" collapsed="false">
      <c r="A84" s="4" t="s">
        <v>1116</v>
      </c>
      <c r="B84" s="4" t="s">
        <v>1081</v>
      </c>
      <c r="C84" s="4" t="s">
        <v>877</v>
      </c>
      <c r="D84" s="4"/>
      <c r="E84" s="4" t="s">
        <v>381</v>
      </c>
      <c r="F84" s="4" t="s">
        <v>659</v>
      </c>
      <c r="G84" s="4" t="s">
        <v>1078</v>
      </c>
    </row>
    <row r="85" customFormat="false" ht="25.35" hidden="false" customHeight="false" outlineLevel="0" collapsed="false">
      <c r="A85" s="4" t="s">
        <v>1116</v>
      </c>
      <c r="B85" s="4" t="s">
        <v>1082</v>
      </c>
      <c r="C85" s="4" t="s">
        <v>1117</v>
      </c>
      <c r="D85" s="4"/>
      <c r="E85" s="4" t="s">
        <v>381</v>
      </c>
      <c r="F85" s="4" t="s">
        <v>659</v>
      </c>
      <c r="G85" s="4" t="s">
        <v>1078</v>
      </c>
    </row>
    <row r="86" customFormat="false" ht="25.35" hidden="false" customHeight="false" outlineLevel="0" collapsed="false">
      <c r="A86" s="4" t="s">
        <v>1116</v>
      </c>
      <c r="B86" s="4" t="s">
        <v>1084</v>
      </c>
      <c r="C86" s="4" t="s">
        <v>1118</v>
      </c>
      <c r="D86" s="4"/>
      <c r="E86" s="4" t="s">
        <v>381</v>
      </c>
      <c r="F86" s="4" t="s">
        <v>659</v>
      </c>
      <c r="G86" s="4" t="s">
        <v>1078</v>
      </c>
    </row>
    <row r="87" customFormat="false" ht="15" hidden="false" customHeight="false" outlineLevel="0" collapsed="false">
      <c r="A87" s="4" t="s">
        <v>1116</v>
      </c>
      <c r="B87" s="4" t="s">
        <v>1086</v>
      </c>
      <c r="C87" s="4" t="s">
        <v>1119</v>
      </c>
      <c r="D87" s="4"/>
      <c r="E87" s="4" t="s">
        <v>381</v>
      </c>
      <c r="F87" s="4" t="s">
        <v>659</v>
      </c>
      <c r="G87" s="4" t="s">
        <v>1078</v>
      </c>
    </row>
    <row r="88" customFormat="false" ht="25.35" hidden="false" customHeight="false" outlineLevel="0" collapsed="false">
      <c r="A88" s="4" t="s">
        <v>1116</v>
      </c>
      <c r="B88" s="4" t="s">
        <v>1088</v>
      </c>
      <c r="C88" s="4" t="s">
        <v>1120</v>
      </c>
      <c r="D88" s="4"/>
      <c r="E88" s="4" t="s">
        <v>381</v>
      </c>
      <c r="F88" s="4" t="s">
        <v>659</v>
      </c>
      <c r="G88" s="4" t="s">
        <v>1078</v>
      </c>
    </row>
    <row r="89" customFormat="false" ht="15" hidden="false" customHeight="false" outlineLevel="0" collapsed="false">
      <c r="A89" s="4" t="s">
        <v>1116</v>
      </c>
      <c r="B89" s="4" t="s">
        <v>1090</v>
      </c>
      <c r="C89" s="4" t="s">
        <v>1121</v>
      </c>
      <c r="D89" s="4"/>
      <c r="E89" s="4" t="s">
        <v>381</v>
      </c>
      <c r="F89" s="4" t="s">
        <v>659</v>
      </c>
      <c r="G89" s="4" t="s">
        <v>1078</v>
      </c>
    </row>
    <row r="90" customFormat="false" ht="15" hidden="false" customHeight="false" outlineLevel="0" collapsed="false">
      <c r="A90" s="4" t="s">
        <v>1122</v>
      </c>
      <c r="B90" s="4" t="s">
        <v>1076</v>
      </c>
      <c r="C90" s="4" t="s">
        <v>1077</v>
      </c>
      <c r="D90" s="4"/>
      <c r="E90" s="4" t="s">
        <v>385</v>
      </c>
      <c r="F90" s="4" t="s">
        <v>659</v>
      </c>
      <c r="G90" s="4" t="s">
        <v>1078</v>
      </c>
    </row>
    <row r="91" customFormat="false" ht="15" hidden="false" customHeight="false" outlineLevel="0" collapsed="false">
      <c r="A91" s="4" t="s">
        <v>1122</v>
      </c>
      <c r="B91" s="4" t="s">
        <v>1079</v>
      </c>
      <c r="C91" s="4" t="s">
        <v>687</v>
      </c>
      <c r="D91" s="4"/>
      <c r="E91" s="4" t="s">
        <v>385</v>
      </c>
      <c r="F91" s="4" t="s">
        <v>659</v>
      </c>
      <c r="G91" s="4" t="s">
        <v>1078</v>
      </c>
    </row>
    <row r="92" customFormat="false" ht="15" hidden="false" customHeight="false" outlineLevel="0" collapsed="false">
      <c r="A92" s="4" t="s">
        <v>1122</v>
      </c>
      <c r="B92" s="4" t="s">
        <v>1080</v>
      </c>
      <c r="C92" s="4" t="s">
        <v>692</v>
      </c>
      <c r="D92" s="4"/>
      <c r="E92" s="4" t="s">
        <v>385</v>
      </c>
      <c r="F92" s="4" t="s">
        <v>659</v>
      </c>
      <c r="G92" s="4" t="s">
        <v>1078</v>
      </c>
    </row>
    <row r="93" customFormat="false" ht="15" hidden="false" customHeight="false" outlineLevel="0" collapsed="false">
      <c r="A93" s="4" t="s">
        <v>1122</v>
      </c>
      <c r="B93" s="4" t="s">
        <v>1081</v>
      </c>
      <c r="C93" s="4" t="s">
        <v>885</v>
      </c>
      <c r="D93" s="4"/>
      <c r="E93" s="4" t="s">
        <v>385</v>
      </c>
      <c r="F93" s="4" t="s">
        <v>659</v>
      </c>
      <c r="G93" s="4" t="s">
        <v>1078</v>
      </c>
    </row>
    <row r="94" customFormat="false" ht="25.35" hidden="false" customHeight="false" outlineLevel="0" collapsed="false">
      <c r="A94" s="4" t="s">
        <v>1122</v>
      </c>
      <c r="B94" s="4" t="s">
        <v>1082</v>
      </c>
      <c r="C94" s="4" t="s">
        <v>1123</v>
      </c>
      <c r="D94" s="4"/>
      <c r="E94" s="4" t="s">
        <v>385</v>
      </c>
      <c r="F94" s="4" t="s">
        <v>659</v>
      </c>
      <c r="G94" s="4" t="s">
        <v>1078</v>
      </c>
    </row>
    <row r="95" customFormat="false" ht="25.35" hidden="false" customHeight="false" outlineLevel="0" collapsed="false">
      <c r="A95" s="4" t="s">
        <v>1122</v>
      </c>
      <c r="B95" s="4" t="s">
        <v>1084</v>
      </c>
      <c r="C95" s="4" t="s">
        <v>1124</v>
      </c>
      <c r="D95" s="4"/>
      <c r="E95" s="4" t="s">
        <v>385</v>
      </c>
      <c r="F95" s="4" t="s">
        <v>659</v>
      </c>
      <c r="G95" s="4" t="s">
        <v>1078</v>
      </c>
    </row>
    <row r="96" customFormat="false" ht="15" hidden="false" customHeight="false" outlineLevel="0" collapsed="false">
      <c r="A96" s="4" t="s">
        <v>1122</v>
      </c>
      <c r="B96" s="4" t="s">
        <v>1086</v>
      </c>
      <c r="C96" s="4" t="s">
        <v>1125</v>
      </c>
      <c r="D96" s="4"/>
      <c r="E96" s="4" t="s">
        <v>385</v>
      </c>
      <c r="F96" s="4" t="s">
        <v>659</v>
      </c>
      <c r="G96" s="4" t="s">
        <v>1078</v>
      </c>
    </row>
    <row r="97" customFormat="false" ht="25.35" hidden="false" customHeight="false" outlineLevel="0" collapsed="false">
      <c r="A97" s="4" t="s">
        <v>1122</v>
      </c>
      <c r="B97" s="4" t="s">
        <v>1088</v>
      </c>
      <c r="C97" s="4" t="s">
        <v>1126</v>
      </c>
      <c r="D97" s="4"/>
      <c r="E97" s="4" t="s">
        <v>385</v>
      </c>
      <c r="F97" s="4" t="s">
        <v>659</v>
      </c>
      <c r="G97" s="4" t="s">
        <v>1078</v>
      </c>
    </row>
    <row r="98" customFormat="false" ht="15" hidden="false" customHeight="false" outlineLevel="0" collapsed="false">
      <c r="A98" s="4" t="s">
        <v>1122</v>
      </c>
      <c r="B98" s="4" t="s">
        <v>1090</v>
      </c>
      <c r="C98" s="4" t="s">
        <v>1127</v>
      </c>
      <c r="D98" s="4"/>
      <c r="E98" s="4" t="s">
        <v>385</v>
      </c>
      <c r="F98" s="4" t="s">
        <v>659</v>
      </c>
      <c r="G98" s="4" t="s">
        <v>1078</v>
      </c>
    </row>
    <row r="99" customFormat="false" ht="15" hidden="false" customHeight="false" outlineLevel="0" collapsed="false">
      <c r="A99" s="4" t="s">
        <v>1128</v>
      </c>
      <c r="B99" s="4" t="s">
        <v>1076</v>
      </c>
      <c r="C99" s="4" t="s">
        <v>1077</v>
      </c>
      <c r="D99" s="4"/>
      <c r="E99" s="4" t="s">
        <v>389</v>
      </c>
      <c r="F99" s="4" t="s">
        <v>659</v>
      </c>
      <c r="G99" s="4" t="s">
        <v>1078</v>
      </c>
    </row>
    <row r="100" customFormat="false" ht="15" hidden="false" customHeight="false" outlineLevel="0" collapsed="false">
      <c r="A100" s="4" t="s">
        <v>1128</v>
      </c>
      <c r="B100" s="4" t="s">
        <v>1079</v>
      </c>
      <c r="C100" s="4" t="s">
        <v>687</v>
      </c>
      <c r="D100" s="4"/>
      <c r="E100" s="4" t="s">
        <v>389</v>
      </c>
      <c r="F100" s="4" t="s">
        <v>659</v>
      </c>
      <c r="G100" s="4" t="s">
        <v>1078</v>
      </c>
    </row>
    <row r="101" customFormat="false" ht="15" hidden="false" customHeight="false" outlineLevel="0" collapsed="false">
      <c r="A101" s="4" t="s">
        <v>1128</v>
      </c>
      <c r="B101" s="4" t="s">
        <v>1080</v>
      </c>
      <c r="C101" s="4" t="s">
        <v>697</v>
      </c>
      <c r="D101" s="4"/>
      <c r="E101" s="4" t="s">
        <v>389</v>
      </c>
      <c r="F101" s="4" t="s">
        <v>659</v>
      </c>
      <c r="G101" s="4" t="s">
        <v>1078</v>
      </c>
    </row>
    <row r="102" customFormat="false" ht="15" hidden="false" customHeight="false" outlineLevel="0" collapsed="false">
      <c r="A102" s="4" t="s">
        <v>1128</v>
      </c>
      <c r="B102" s="4" t="s">
        <v>1081</v>
      </c>
      <c r="C102" s="4" t="s">
        <v>885</v>
      </c>
      <c r="D102" s="4"/>
      <c r="E102" s="4" t="s">
        <v>389</v>
      </c>
      <c r="F102" s="4" t="s">
        <v>659</v>
      </c>
      <c r="G102" s="4" t="s">
        <v>1078</v>
      </c>
    </row>
    <row r="103" customFormat="false" ht="25.35" hidden="false" customHeight="false" outlineLevel="0" collapsed="false">
      <c r="A103" s="4" t="s">
        <v>1128</v>
      </c>
      <c r="B103" s="4" t="s">
        <v>1082</v>
      </c>
      <c r="C103" s="4" t="s">
        <v>1129</v>
      </c>
      <c r="D103" s="4"/>
      <c r="E103" s="4" t="s">
        <v>389</v>
      </c>
      <c r="F103" s="4" t="s">
        <v>659</v>
      </c>
      <c r="G103" s="4" t="s">
        <v>1078</v>
      </c>
    </row>
    <row r="104" customFormat="false" ht="25.35" hidden="false" customHeight="false" outlineLevel="0" collapsed="false">
      <c r="A104" s="4" t="s">
        <v>1128</v>
      </c>
      <c r="B104" s="4" t="s">
        <v>1084</v>
      </c>
      <c r="C104" s="4" t="s">
        <v>1130</v>
      </c>
      <c r="D104" s="4"/>
      <c r="E104" s="4" t="s">
        <v>389</v>
      </c>
      <c r="F104" s="4" t="s">
        <v>659</v>
      </c>
      <c r="G104" s="4" t="s">
        <v>1078</v>
      </c>
    </row>
    <row r="105" customFormat="false" ht="15" hidden="false" customHeight="false" outlineLevel="0" collapsed="false">
      <c r="A105" s="4" t="s">
        <v>1128</v>
      </c>
      <c r="B105" s="4" t="s">
        <v>1086</v>
      </c>
      <c r="C105" s="4" t="s">
        <v>1131</v>
      </c>
      <c r="D105" s="4"/>
      <c r="E105" s="4" t="s">
        <v>389</v>
      </c>
      <c r="F105" s="4" t="s">
        <v>659</v>
      </c>
      <c r="G105" s="4" t="s">
        <v>1078</v>
      </c>
    </row>
    <row r="106" customFormat="false" ht="25.35" hidden="false" customHeight="false" outlineLevel="0" collapsed="false">
      <c r="A106" s="4" t="s">
        <v>1128</v>
      </c>
      <c r="B106" s="4" t="s">
        <v>1088</v>
      </c>
      <c r="C106" s="4" t="s">
        <v>1132</v>
      </c>
      <c r="D106" s="4"/>
      <c r="E106" s="4" t="s">
        <v>389</v>
      </c>
      <c r="F106" s="4" t="s">
        <v>659</v>
      </c>
      <c r="G106" s="4" t="s">
        <v>1078</v>
      </c>
    </row>
    <row r="107" customFormat="false" ht="15" hidden="false" customHeight="false" outlineLevel="0" collapsed="false">
      <c r="A107" s="4" t="s">
        <v>1128</v>
      </c>
      <c r="B107" s="4" t="s">
        <v>1090</v>
      </c>
      <c r="C107" s="4" t="s">
        <v>1133</v>
      </c>
      <c r="D107" s="4"/>
      <c r="E107" s="4" t="s">
        <v>389</v>
      </c>
      <c r="F107" s="4" t="s">
        <v>659</v>
      </c>
      <c r="G107" s="4" t="s">
        <v>1078</v>
      </c>
    </row>
    <row r="108" customFormat="false" ht="15" hidden="false" customHeight="false" outlineLevel="0" collapsed="false">
      <c r="A108" s="4" t="s">
        <v>1134</v>
      </c>
      <c r="B108" s="4" t="s">
        <v>1076</v>
      </c>
      <c r="C108" s="4" t="s">
        <v>1077</v>
      </c>
      <c r="D108" s="4"/>
      <c r="E108" s="4" t="s">
        <v>393</v>
      </c>
      <c r="F108" s="4" t="s">
        <v>659</v>
      </c>
      <c r="G108" s="4" t="s">
        <v>1078</v>
      </c>
    </row>
    <row r="109" customFormat="false" ht="15" hidden="false" customHeight="false" outlineLevel="0" collapsed="false">
      <c r="A109" s="4" t="s">
        <v>1134</v>
      </c>
      <c r="B109" s="4" t="s">
        <v>1079</v>
      </c>
      <c r="C109" s="4" t="s">
        <v>667</v>
      </c>
      <c r="D109" s="4"/>
      <c r="E109" s="4" t="s">
        <v>393</v>
      </c>
      <c r="F109" s="4" t="s">
        <v>659</v>
      </c>
      <c r="G109" s="4" t="s">
        <v>1078</v>
      </c>
    </row>
    <row r="110" customFormat="false" ht="15" hidden="false" customHeight="false" outlineLevel="0" collapsed="false">
      <c r="A110" s="4" t="s">
        <v>1134</v>
      </c>
      <c r="B110" s="4" t="s">
        <v>1080</v>
      </c>
      <c r="C110" s="4" t="s">
        <v>697</v>
      </c>
      <c r="D110" s="4"/>
      <c r="E110" s="4" t="s">
        <v>393</v>
      </c>
      <c r="F110" s="4" t="s">
        <v>659</v>
      </c>
      <c r="G110" s="4" t="s">
        <v>1078</v>
      </c>
    </row>
    <row r="111" customFormat="false" ht="15" hidden="false" customHeight="false" outlineLevel="0" collapsed="false">
      <c r="A111" s="4" t="s">
        <v>1134</v>
      </c>
      <c r="B111" s="4" t="s">
        <v>1081</v>
      </c>
      <c r="C111" s="4" t="s">
        <v>869</v>
      </c>
      <c r="D111" s="4"/>
      <c r="E111" s="4" t="s">
        <v>393</v>
      </c>
      <c r="F111" s="4" t="s">
        <v>659</v>
      </c>
      <c r="G111" s="4" t="s">
        <v>1078</v>
      </c>
    </row>
    <row r="112" customFormat="false" ht="25.35" hidden="false" customHeight="false" outlineLevel="0" collapsed="false">
      <c r="A112" s="4" t="s">
        <v>1134</v>
      </c>
      <c r="B112" s="4" t="s">
        <v>1082</v>
      </c>
      <c r="C112" s="4" t="s">
        <v>1135</v>
      </c>
      <c r="D112" s="4"/>
      <c r="E112" s="4" t="s">
        <v>393</v>
      </c>
      <c r="F112" s="4" t="s">
        <v>659</v>
      </c>
      <c r="G112" s="4" t="s">
        <v>1078</v>
      </c>
    </row>
    <row r="113" customFormat="false" ht="25.35" hidden="false" customHeight="false" outlineLevel="0" collapsed="false">
      <c r="A113" s="4" t="s">
        <v>1134</v>
      </c>
      <c r="B113" s="4" t="s">
        <v>1084</v>
      </c>
      <c r="C113" s="4" t="s">
        <v>1136</v>
      </c>
      <c r="D113" s="4"/>
      <c r="E113" s="4" t="s">
        <v>393</v>
      </c>
      <c r="F113" s="4" t="s">
        <v>659</v>
      </c>
      <c r="G113" s="4" t="s">
        <v>1078</v>
      </c>
    </row>
    <row r="114" customFormat="false" ht="15" hidden="false" customHeight="false" outlineLevel="0" collapsed="false">
      <c r="A114" s="4" t="s">
        <v>1134</v>
      </c>
      <c r="B114" s="4" t="s">
        <v>1086</v>
      </c>
      <c r="C114" s="4" t="s">
        <v>1137</v>
      </c>
      <c r="D114" s="4"/>
      <c r="E114" s="4" t="s">
        <v>393</v>
      </c>
      <c r="F114" s="4" t="s">
        <v>659</v>
      </c>
      <c r="G114" s="4" t="s">
        <v>1078</v>
      </c>
    </row>
    <row r="115" customFormat="false" ht="25.35" hidden="false" customHeight="false" outlineLevel="0" collapsed="false">
      <c r="A115" s="4" t="s">
        <v>1134</v>
      </c>
      <c r="B115" s="4" t="s">
        <v>1088</v>
      </c>
      <c r="C115" s="4" t="s">
        <v>1138</v>
      </c>
      <c r="D115" s="4"/>
      <c r="E115" s="4" t="s">
        <v>393</v>
      </c>
      <c r="F115" s="4" t="s">
        <v>659</v>
      </c>
      <c r="G115" s="4" t="s">
        <v>1078</v>
      </c>
    </row>
    <row r="116" customFormat="false" ht="15" hidden="false" customHeight="false" outlineLevel="0" collapsed="false">
      <c r="A116" s="4" t="s">
        <v>1134</v>
      </c>
      <c r="B116" s="4" t="s">
        <v>1090</v>
      </c>
      <c r="C116" s="4" t="s">
        <v>1139</v>
      </c>
      <c r="D116" s="4"/>
      <c r="E116" s="4" t="s">
        <v>393</v>
      </c>
      <c r="F116" s="4" t="s">
        <v>659</v>
      </c>
      <c r="G116" s="4" t="s">
        <v>1078</v>
      </c>
    </row>
    <row r="117" customFormat="false" ht="15" hidden="false" customHeight="false" outlineLevel="0" collapsed="false">
      <c r="A117" s="4" t="s">
        <v>1140</v>
      </c>
      <c r="B117" s="4" t="s">
        <v>1076</v>
      </c>
      <c r="C117" s="4" t="s">
        <v>1077</v>
      </c>
      <c r="D117" s="4"/>
      <c r="E117" s="4" t="s">
        <v>703</v>
      </c>
      <c r="F117" s="4" t="s">
        <v>707</v>
      </c>
      <c r="G117" s="4" t="s">
        <v>1078</v>
      </c>
    </row>
    <row r="118" customFormat="false" ht="15" hidden="false" customHeight="false" outlineLevel="0" collapsed="false">
      <c r="A118" s="4" t="s">
        <v>1140</v>
      </c>
      <c r="B118" s="4" t="s">
        <v>1079</v>
      </c>
      <c r="C118" s="4" t="s">
        <v>705</v>
      </c>
      <c r="D118" s="4"/>
      <c r="E118" s="4" t="s">
        <v>703</v>
      </c>
      <c r="F118" s="4" t="s">
        <v>707</v>
      </c>
      <c r="G118" s="4" t="s">
        <v>1078</v>
      </c>
    </row>
    <row r="119" customFormat="false" ht="15" hidden="false" customHeight="false" outlineLevel="0" collapsed="false">
      <c r="A119" s="4" t="s">
        <v>1140</v>
      </c>
      <c r="B119" s="4" t="s">
        <v>1080</v>
      </c>
      <c r="C119" s="4" t="s">
        <v>692</v>
      </c>
      <c r="D119" s="4"/>
      <c r="E119" s="4" t="s">
        <v>703</v>
      </c>
      <c r="F119" s="4" t="s">
        <v>707</v>
      </c>
      <c r="G119" s="4" t="s">
        <v>1078</v>
      </c>
    </row>
    <row r="120" customFormat="false" ht="15" hidden="false" customHeight="false" outlineLevel="0" collapsed="false">
      <c r="A120" s="4" t="s">
        <v>1140</v>
      </c>
      <c r="B120" s="4" t="s">
        <v>1081</v>
      </c>
      <c r="C120" s="4" t="s">
        <v>928</v>
      </c>
      <c r="D120" s="4"/>
      <c r="E120" s="4" t="s">
        <v>703</v>
      </c>
      <c r="F120" s="4" t="s">
        <v>707</v>
      </c>
      <c r="G120" s="4" t="s">
        <v>1078</v>
      </c>
    </row>
    <row r="121" customFormat="false" ht="25.35" hidden="false" customHeight="false" outlineLevel="0" collapsed="false">
      <c r="A121" s="4" t="s">
        <v>1140</v>
      </c>
      <c r="B121" s="4" t="s">
        <v>1082</v>
      </c>
      <c r="C121" s="4" t="s">
        <v>1141</v>
      </c>
      <c r="D121" s="4"/>
      <c r="E121" s="4" t="s">
        <v>703</v>
      </c>
      <c r="F121" s="4" t="s">
        <v>707</v>
      </c>
      <c r="G121" s="4" t="s">
        <v>1078</v>
      </c>
    </row>
    <row r="122" customFormat="false" ht="25.35" hidden="false" customHeight="false" outlineLevel="0" collapsed="false">
      <c r="A122" s="4" t="s">
        <v>1140</v>
      </c>
      <c r="B122" s="4" t="s">
        <v>1084</v>
      </c>
      <c r="C122" s="4" t="s">
        <v>1142</v>
      </c>
      <c r="D122" s="4"/>
      <c r="E122" s="4" t="s">
        <v>703</v>
      </c>
      <c r="F122" s="4" t="s">
        <v>707</v>
      </c>
      <c r="G122" s="4" t="s">
        <v>1078</v>
      </c>
    </row>
    <row r="123" customFormat="false" ht="15" hidden="false" customHeight="false" outlineLevel="0" collapsed="false">
      <c r="A123" s="4" t="s">
        <v>1140</v>
      </c>
      <c r="B123" s="4" t="s">
        <v>1086</v>
      </c>
      <c r="C123" s="4" t="s">
        <v>1143</v>
      </c>
      <c r="D123" s="4"/>
      <c r="E123" s="4" t="s">
        <v>703</v>
      </c>
      <c r="F123" s="4" t="s">
        <v>707</v>
      </c>
      <c r="G123" s="4" t="s">
        <v>1078</v>
      </c>
    </row>
    <row r="124" customFormat="false" ht="25.35" hidden="false" customHeight="false" outlineLevel="0" collapsed="false">
      <c r="A124" s="4" t="s">
        <v>1140</v>
      </c>
      <c r="B124" s="4" t="s">
        <v>1088</v>
      </c>
      <c r="C124" s="4" t="s">
        <v>1144</v>
      </c>
      <c r="D124" s="4"/>
      <c r="E124" s="4" t="s">
        <v>703</v>
      </c>
      <c r="F124" s="4" t="s">
        <v>707</v>
      </c>
      <c r="G124" s="4" t="s">
        <v>1078</v>
      </c>
    </row>
    <row r="125" customFormat="false" ht="15" hidden="false" customHeight="false" outlineLevel="0" collapsed="false">
      <c r="A125" s="4" t="s">
        <v>1140</v>
      </c>
      <c r="B125" s="4" t="s">
        <v>1090</v>
      </c>
      <c r="C125" s="4" t="s">
        <v>1145</v>
      </c>
      <c r="D125" s="4"/>
      <c r="E125" s="4" t="s">
        <v>703</v>
      </c>
      <c r="F125" s="4" t="s">
        <v>707</v>
      </c>
      <c r="G125" s="4" t="s">
        <v>1078</v>
      </c>
    </row>
    <row r="126" customFormat="false" ht="15" hidden="false" customHeight="false" outlineLevel="0" collapsed="false">
      <c r="A126" s="4" t="s">
        <v>1146</v>
      </c>
      <c r="B126" s="4" t="s">
        <v>1076</v>
      </c>
      <c r="C126" s="4" t="s">
        <v>1077</v>
      </c>
      <c r="D126" s="4"/>
      <c r="E126" s="4" t="s">
        <v>573</v>
      </c>
      <c r="F126" s="4" t="s">
        <v>714</v>
      </c>
      <c r="G126" s="4" t="s">
        <v>1078</v>
      </c>
    </row>
    <row r="127" customFormat="false" ht="15" hidden="false" customHeight="false" outlineLevel="0" collapsed="false">
      <c r="A127" s="4" t="s">
        <v>1146</v>
      </c>
      <c r="B127" s="4" t="s">
        <v>1079</v>
      </c>
      <c r="C127" s="4" t="s">
        <v>657</v>
      </c>
      <c r="D127" s="4"/>
      <c r="E127" s="4" t="s">
        <v>573</v>
      </c>
      <c r="F127" s="4" t="s">
        <v>714</v>
      </c>
      <c r="G127" s="4" t="s">
        <v>1078</v>
      </c>
    </row>
    <row r="128" customFormat="false" ht="15" hidden="false" customHeight="false" outlineLevel="0" collapsed="false">
      <c r="A128" s="4" t="s">
        <v>1146</v>
      </c>
      <c r="B128" s="4" t="s">
        <v>1080</v>
      </c>
      <c r="C128" s="4" t="s">
        <v>705</v>
      </c>
      <c r="D128" s="4"/>
      <c r="E128" s="4" t="s">
        <v>573</v>
      </c>
      <c r="F128" s="4" t="s">
        <v>714</v>
      </c>
      <c r="G128" s="4" t="s">
        <v>1078</v>
      </c>
    </row>
    <row r="129" customFormat="false" ht="15" hidden="false" customHeight="false" outlineLevel="0" collapsed="false">
      <c r="A129" s="4" t="s">
        <v>1146</v>
      </c>
      <c r="B129" s="4" t="s">
        <v>1081</v>
      </c>
      <c r="C129" s="4" t="s">
        <v>869</v>
      </c>
      <c r="D129" s="4"/>
      <c r="E129" s="4" t="s">
        <v>573</v>
      </c>
      <c r="F129" s="4" t="s">
        <v>714</v>
      </c>
      <c r="G129" s="4" t="s">
        <v>1078</v>
      </c>
    </row>
    <row r="130" customFormat="false" ht="25.35" hidden="false" customHeight="false" outlineLevel="0" collapsed="false">
      <c r="A130" s="4" t="s">
        <v>1146</v>
      </c>
      <c r="B130" s="4" t="s">
        <v>1082</v>
      </c>
      <c r="C130" s="4" t="s">
        <v>1147</v>
      </c>
      <c r="D130" s="4"/>
      <c r="E130" s="4" t="s">
        <v>573</v>
      </c>
      <c r="F130" s="4" t="s">
        <v>714</v>
      </c>
      <c r="G130" s="4" t="s">
        <v>1078</v>
      </c>
    </row>
    <row r="131" customFormat="false" ht="25.35" hidden="false" customHeight="false" outlineLevel="0" collapsed="false">
      <c r="A131" s="4" t="s">
        <v>1146</v>
      </c>
      <c r="B131" s="4" t="s">
        <v>1084</v>
      </c>
      <c r="C131" s="4" t="s">
        <v>1148</v>
      </c>
      <c r="D131" s="4"/>
      <c r="E131" s="4" t="s">
        <v>573</v>
      </c>
      <c r="F131" s="4" t="s">
        <v>714</v>
      </c>
      <c r="G131" s="4" t="s">
        <v>1078</v>
      </c>
    </row>
    <row r="132" customFormat="false" ht="15" hidden="false" customHeight="false" outlineLevel="0" collapsed="false">
      <c r="A132" s="4" t="s">
        <v>1146</v>
      </c>
      <c r="B132" s="4" t="s">
        <v>1086</v>
      </c>
      <c r="C132" s="4" t="s">
        <v>1149</v>
      </c>
      <c r="D132" s="4"/>
      <c r="E132" s="4" t="s">
        <v>573</v>
      </c>
      <c r="F132" s="4" t="s">
        <v>714</v>
      </c>
      <c r="G132" s="4" t="s">
        <v>1078</v>
      </c>
    </row>
    <row r="133" customFormat="false" ht="25.35" hidden="false" customHeight="false" outlineLevel="0" collapsed="false">
      <c r="A133" s="4" t="s">
        <v>1146</v>
      </c>
      <c r="B133" s="4" t="s">
        <v>1088</v>
      </c>
      <c r="C133" s="4" t="s">
        <v>1150</v>
      </c>
      <c r="D133" s="4"/>
      <c r="E133" s="4" t="s">
        <v>573</v>
      </c>
      <c r="F133" s="4" t="s">
        <v>714</v>
      </c>
      <c r="G133" s="4" t="s">
        <v>1078</v>
      </c>
    </row>
    <row r="134" customFormat="false" ht="15" hidden="false" customHeight="false" outlineLevel="0" collapsed="false">
      <c r="A134" s="4" t="s">
        <v>1146</v>
      </c>
      <c r="B134" s="4" t="s">
        <v>1090</v>
      </c>
      <c r="C134" s="4" t="s">
        <v>1151</v>
      </c>
      <c r="D134" s="4"/>
      <c r="E134" s="4" t="s">
        <v>573</v>
      </c>
      <c r="F134" s="4" t="s">
        <v>714</v>
      </c>
      <c r="G134" s="4" t="s">
        <v>1078</v>
      </c>
    </row>
    <row r="135" customFormat="false" ht="15" hidden="false" customHeight="false" outlineLevel="0" collapsed="false">
      <c r="A135" s="4" t="s">
        <v>1152</v>
      </c>
      <c r="B135" s="4" t="s">
        <v>1076</v>
      </c>
      <c r="C135" s="4" t="s">
        <v>1077</v>
      </c>
      <c r="D135" s="4"/>
      <c r="E135" s="4" t="s">
        <v>402</v>
      </c>
      <c r="F135" s="4" t="s">
        <v>707</v>
      </c>
      <c r="G135" s="4" t="s">
        <v>1078</v>
      </c>
    </row>
    <row r="136" customFormat="false" ht="15" hidden="false" customHeight="false" outlineLevel="0" collapsed="false">
      <c r="A136" s="4" t="s">
        <v>1152</v>
      </c>
      <c r="B136" s="4" t="s">
        <v>1079</v>
      </c>
      <c r="C136" s="4" t="s">
        <v>697</v>
      </c>
      <c r="D136" s="4"/>
      <c r="E136" s="4" t="s">
        <v>402</v>
      </c>
      <c r="F136" s="4" t="s">
        <v>707</v>
      </c>
      <c r="G136" s="4" t="s">
        <v>1078</v>
      </c>
    </row>
    <row r="137" customFormat="false" ht="15" hidden="false" customHeight="false" outlineLevel="0" collapsed="false">
      <c r="A137" s="4" t="s">
        <v>1152</v>
      </c>
      <c r="B137" s="4" t="s">
        <v>1080</v>
      </c>
      <c r="C137" s="4" t="s">
        <v>722</v>
      </c>
      <c r="D137" s="4"/>
      <c r="E137" s="4" t="s">
        <v>402</v>
      </c>
      <c r="F137" s="4" t="s">
        <v>707</v>
      </c>
      <c r="G137" s="4" t="s">
        <v>1078</v>
      </c>
    </row>
    <row r="138" customFormat="false" ht="15" hidden="false" customHeight="false" outlineLevel="0" collapsed="false">
      <c r="A138" s="4" t="s">
        <v>1152</v>
      </c>
      <c r="B138" s="4" t="s">
        <v>1081</v>
      </c>
      <c r="C138" s="4" t="s">
        <v>885</v>
      </c>
      <c r="D138" s="4"/>
      <c r="E138" s="4" t="s">
        <v>402</v>
      </c>
      <c r="F138" s="4" t="s">
        <v>707</v>
      </c>
      <c r="G138" s="4" t="s">
        <v>1078</v>
      </c>
    </row>
    <row r="139" customFormat="false" ht="25.35" hidden="false" customHeight="false" outlineLevel="0" collapsed="false">
      <c r="A139" s="4" t="s">
        <v>1152</v>
      </c>
      <c r="B139" s="4" t="s">
        <v>1082</v>
      </c>
      <c r="C139" s="4" t="s">
        <v>1153</v>
      </c>
      <c r="D139" s="4"/>
      <c r="E139" s="4" t="s">
        <v>402</v>
      </c>
      <c r="F139" s="4" t="s">
        <v>707</v>
      </c>
      <c r="G139" s="4" t="s">
        <v>1078</v>
      </c>
    </row>
    <row r="140" customFormat="false" ht="25.35" hidden="false" customHeight="false" outlineLevel="0" collapsed="false">
      <c r="A140" s="4" t="s">
        <v>1152</v>
      </c>
      <c r="B140" s="4" t="s">
        <v>1084</v>
      </c>
      <c r="C140" s="4" t="s">
        <v>1154</v>
      </c>
      <c r="D140" s="4"/>
      <c r="E140" s="4" t="s">
        <v>402</v>
      </c>
      <c r="F140" s="4" t="s">
        <v>707</v>
      </c>
      <c r="G140" s="4" t="s">
        <v>1078</v>
      </c>
    </row>
    <row r="141" customFormat="false" ht="15" hidden="false" customHeight="false" outlineLevel="0" collapsed="false">
      <c r="A141" s="4" t="s">
        <v>1152</v>
      </c>
      <c r="B141" s="4" t="s">
        <v>1086</v>
      </c>
      <c r="C141" s="4" t="s">
        <v>1155</v>
      </c>
      <c r="D141" s="4"/>
      <c r="E141" s="4" t="s">
        <v>402</v>
      </c>
      <c r="F141" s="4" t="s">
        <v>707</v>
      </c>
      <c r="G141" s="4" t="s">
        <v>1078</v>
      </c>
    </row>
    <row r="142" customFormat="false" ht="25.35" hidden="false" customHeight="false" outlineLevel="0" collapsed="false">
      <c r="A142" s="4" t="s">
        <v>1152</v>
      </c>
      <c r="B142" s="4" t="s">
        <v>1088</v>
      </c>
      <c r="C142" s="4" t="s">
        <v>1156</v>
      </c>
      <c r="D142" s="4"/>
      <c r="E142" s="4" t="s">
        <v>402</v>
      </c>
      <c r="F142" s="4" t="s">
        <v>707</v>
      </c>
      <c r="G142" s="4" t="s">
        <v>1078</v>
      </c>
    </row>
    <row r="143" customFormat="false" ht="15" hidden="false" customHeight="false" outlineLevel="0" collapsed="false">
      <c r="A143" s="4" t="s">
        <v>1152</v>
      </c>
      <c r="B143" s="4" t="s">
        <v>1090</v>
      </c>
      <c r="C143" s="4" t="s">
        <v>1157</v>
      </c>
      <c r="D143" s="4"/>
      <c r="E143" s="4" t="s">
        <v>402</v>
      </c>
      <c r="F143" s="4" t="s">
        <v>707</v>
      </c>
      <c r="G143" s="4" t="s">
        <v>1078</v>
      </c>
    </row>
    <row r="144" customFormat="false" ht="15" hidden="false" customHeight="false" outlineLevel="0" collapsed="false">
      <c r="A144" s="4" t="s">
        <v>1158</v>
      </c>
      <c r="B144" s="4" t="s">
        <v>1076</v>
      </c>
      <c r="C144" s="4" t="s">
        <v>1077</v>
      </c>
      <c r="D144" s="4"/>
      <c r="E144" s="4" t="s">
        <v>725</v>
      </c>
      <c r="F144" s="4" t="s">
        <v>659</v>
      </c>
      <c r="G144" s="4" t="s">
        <v>1078</v>
      </c>
    </row>
    <row r="145" customFormat="false" ht="15" hidden="false" customHeight="false" outlineLevel="0" collapsed="false">
      <c r="A145" s="4" t="s">
        <v>1158</v>
      </c>
      <c r="B145" s="4" t="s">
        <v>1079</v>
      </c>
      <c r="C145" s="4" t="s">
        <v>722</v>
      </c>
      <c r="D145" s="4"/>
      <c r="E145" s="4" t="s">
        <v>725</v>
      </c>
      <c r="F145" s="4" t="s">
        <v>659</v>
      </c>
      <c r="G145" s="4" t="s">
        <v>1078</v>
      </c>
    </row>
    <row r="146" customFormat="false" ht="15" hidden="false" customHeight="false" outlineLevel="0" collapsed="false">
      <c r="A146" s="4" t="s">
        <v>1158</v>
      </c>
      <c r="B146" s="4" t="s">
        <v>1080</v>
      </c>
      <c r="C146" s="4" t="s">
        <v>727</v>
      </c>
      <c r="D146" s="4"/>
      <c r="E146" s="4" t="s">
        <v>725</v>
      </c>
      <c r="F146" s="4" t="s">
        <v>659</v>
      </c>
      <c r="G146" s="4" t="s">
        <v>1078</v>
      </c>
    </row>
    <row r="147" customFormat="false" ht="15" hidden="false" customHeight="false" outlineLevel="0" collapsed="false">
      <c r="A147" s="4" t="s">
        <v>1158</v>
      </c>
      <c r="B147" s="4" t="s">
        <v>1081</v>
      </c>
      <c r="C147" s="4" t="s">
        <v>923</v>
      </c>
      <c r="D147" s="4"/>
      <c r="E147" s="4" t="s">
        <v>725</v>
      </c>
      <c r="F147" s="4" t="s">
        <v>659</v>
      </c>
      <c r="G147" s="4" t="s">
        <v>1078</v>
      </c>
    </row>
    <row r="148" customFormat="false" ht="25.35" hidden="false" customHeight="false" outlineLevel="0" collapsed="false">
      <c r="A148" s="4" t="s">
        <v>1158</v>
      </c>
      <c r="B148" s="4" t="s">
        <v>1082</v>
      </c>
      <c r="C148" s="4" t="s">
        <v>1159</v>
      </c>
      <c r="D148" s="4"/>
      <c r="E148" s="4" t="s">
        <v>725</v>
      </c>
      <c r="F148" s="4" t="s">
        <v>659</v>
      </c>
      <c r="G148" s="4" t="s">
        <v>1078</v>
      </c>
    </row>
    <row r="149" customFormat="false" ht="25.35" hidden="false" customHeight="false" outlineLevel="0" collapsed="false">
      <c r="A149" s="4" t="s">
        <v>1158</v>
      </c>
      <c r="B149" s="4" t="s">
        <v>1084</v>
      </c>
      <c r="C149" s="4" t="s">
        <v>1160</v>
      </c>
      <c r="D149" s="4"/>
      <c r="E149" s="4" t="s">
        <v>725</v>
      </c>
      <c r="F149" s="4" t="s">
        <v>659</v>
      </c>
      <c r="G149" s="4" t="s">
        <v>1078</v>
      </c>
    </row>
    <row r="150" customFormat="false" ht="15" hidden="false" customHeight="false" outlineLevel="0" collapsed="false">
      <c r="A150" s="4" t="s">
        <v>1158</v>
      </c>
      <c r="B150" s="4" t="s">
        <v>1086</v>
      </c>
      <c r="C150" s="4" t="s">
        <v>1161</v>
      </c>
      <c r="D150" s="4"/>
      <c r="E150" s="4" t="s">
        <v>725</v>
      </c>
      <c r="F150" s="4" t="s">
        <v>659</v>
      </c>
      <c r="G150" s="4" t="s">
        <v>1078</v>
      </c>
    </row>
    <row r="151" customFormat="false" ht="25.35" hidden="false" customHeight="false" outlineLevel="0" collapsed="false">
      <c r="A151" s="4" t="s">
        <v>1158</v>
      </c>
      <c r="B151" s="4" t="s">
        <v>1088</v>
      </c>
      <c r="C151" s="4" t="s">
        <v>1162</v>
      </c>
      <c r="D151" s="4"/>
      <c r="E151" s="4" t="s">
        <v>725</v>
      </c>
      <c r="F151" s="4" t="s">
        <v>659</v>
      </c>
      <c r="G151" s="4" t="s">
        <v>1078</v>
      </c>
    </row>
    <row r="152" customFormat="false" ht="15" hidden="false" customHeight="false" outlineLevel="0" collapsed="false">
      <c r="A152" s="4" t="s">
        <v>1158</v>
      </c>
      <c r="B152" s="4" t="s">
        <v>1090</v>
      </c>
      <c r="C152" s="4" t="s">
        <v>1163</v>
      </c>
      <c r="D152" s="4"/>
      <c r="E152" s="4" t="s">
        <v>725</v>
      </c>
      <c r="F152" s="4" t="s">
        <v>659</v>
      </c>
      <c r="G152" s="4" t="s">
        <v>1078</v>
      </c>
    </row>
    <row r="153" customFormat="false" ht="15" hidden="false" customHeight="false" outlineLevel="0" collapsed="false">
      <c r="A153" s="4" t="s">
        <v>1164</v>
      </c>
      <c r="B153" s="4" t="s">
        <v>1076</v>
      </c>
      <c r="C153" s="4" t="s">
        <v>1077</v>
      </c>
      <c r="D153" s="4"/>
      <c r="E153" s="4" t="s">
        <v>414</v>
      </c>
      <c r="F153" s="4" t="s">
        <v>659</v>
      </c>
      <c r="G153" s="4" t="s">
        <v>1078</v>
      </c>
    </row>
    <row r="154" customFormat="false" ht="15" hidden="false" customHeight="false" outlineLevel="0" collapsed="false">
      <c r="A154" s="4" t="s">
        <v>1164</v>
      </c>
      <c r="B154" s="4" t="s">
        <v>1079</v>
      </c>
      <c r="C154" s="4" t="s">
        <v>722</v>
      </c>
      <c r="D154" s="4"/>
      <c r="E154" s="4" t="s">
        <v>414</v>
      </c>
      <c r="F154" s="4" t="s">
        <v>659</v>
      </c>
      <c r="G154" s="4" t="s">
        <v>1078</v>
      </c>
    </row>
    <row r="155" customFormat="false" ht="15" hidden="false" customHeight="false" outlineLevel="0" collapsed="false">
      <c r="A155" s="4" t="s">
        <v>1164</v>
      </c>
      <c r="B155" s="4" t="s">
        <v>1080</v>
      </c>
      <c r="C155" s="4" t="s">
        <v>733</v>
      </c>
      <c r="D155" s="4"/>
      <c r="E155" s="4" t="s">
        <v>414</v>
      </c>
      <c r="F155" s="4" t="s">
        <v>659</v>
      </c>
      <c r="G155" s="4" t="s">
        <v>1078</v>
      </c>
    </row>
    <row r="156" customFormat="false" ht="15" hidden="false" customHeight="false" outlineLevel="0" collapsed="false">
      <c r="A156" s="4" t="s">
        <v>1164</v>
      </c>
      <c r="B156" s="4" t="s">
        <v>1081</v>
      </c>
      <c r="C156" s="4" t="s">
        <v>923</v>
      </c>
      <c r="D156" s="4"/>
      <c r="E156" s="4" t="s">
        <v>414</v>
      </c>
      <c r="F156" s="4" t="s">
        <v>659</v>
      </c>
      <c r="G156" s="4" t="s">
        <v>1078</v>
      </c>
    </row>
    <row r="157" customFormat="false" ht="25.35" hidden="false" customHeight="false" outlineLevel="0" collapsed="false">
      <c r="A157" s="4" t="s">
        <v>1164</v>
      </c>
      <c r="B157" s="4" t="s">
        <v>1082</v>
      </c>
      <c r="C157" s="4" t="s">
        <v>1165</v>
      </c>
      <c r="D157" s="4"/>
      <c r="E157" s="4" t="s">
        <v>414</v>
      </c>
      <c r="F157" s="4" t="s">
        <v>659</v>
      </c>
      <c r="G157" s="4" t="s">
        <v>1078</v>
      </c>
    </row>
    <row r="158" customFormat="false" ht="25.35" hidden="false" customHeight="false" outlineLevel="0" collapsed="false">
      <c r="A158" s="4" t="s">
        <v>1164</v>
      </c>
      <c r="B158" s="4" t="s">
        <v>1084</v>
      </c>
      <c r="C158" s="4" t="s">
        <v>1166</v>
      </c>
      <c r="D158" s="4"/>
      <c r="E158" s="4" t="s">
        <v>414</v>
      </c>
      <c r="F158" s="4" t="s">
        <v>659</v>
      </c>
      <c r="G158" s="4" t="s">
        <v>1078</v>
      </c>
    </row>
    <row r="159" customFormat="false" ht="15" hidden="false" customHeight="false" outlineLevel="0" collapsed="false">
      <c r="A159" s="4" t="s">
        <v>1164</v>
      </c>
      <c r="B159" s="4" t="s">
        <v>1086</v>
      </c>
      <c r="C159" s="4" t="s">
        <v>1167</v>
      </c>
      <c r="D159" s="4"/>
      <c r="E159" s="4" t="s">
        <v>414</v>
      </c>
      <c r="F159" s="4" t="s">
        <v>659</v>
      </c>
      <c r="G159" s="4" t="s">
        <v>1078</v>
      </c>
    </row>
    <row r="160" customFormat="false" ht="25.35" hidden="false" customHeight="false" outlineLevel="0" collapsed="false">
      <c r="A160" s="4" t="s">
        <v>1164</v>
      </c>
      <c r="B160" s="4" t="s">
        <v>1088</v>
      </c>
      <c r="C160" s="4" t="s">
        <v>1168</v>
      </c>
      <c r="D160" s="4"/>
      <c r="E160" s="4" t="s">
        <v>414</v>
      </c>
      <c r="F160" s="4" t="s">
        <v>659</v>
      </c>
      <c r="G160" s="4" t="s">
        <v>1078</v>
      </c>
    </row>
    <row r="161" customFormat="false" ht="15" hidden="false" customHeight="false" outlineLevel="0" collapsed="false">
      <c r="A161" s="4" t="s">
        <v>1164</v>
      </c>
      <c r="B161" s="4" t="s">
        <v>1090</v>
      </c>
      <c r="C161" s="4" t="s">
        <v>1169</v>
      </c>
      <c r="D161" s="4"/>
      <c r="E161" s="4" t="s">
        <v>414</v>
      </c>
      <c r="F161" s="4" t="s">
        <v>659</v>
      </c>
      <c r="G161" s="4" t="s">
        <v>1078</v>
      </c>
    </row>
    <row r="162" customFormat="false" ht="15" hidden="false" customHeight="false" outlineLevel="0" collapsed="false">
      <c r="A162" s="4" t="s">
        <v>1170</v>
      </c>
      <c r="B162" s="4" t="s">
        <v>1076</v>
      </c>
      <c r="C162" s="4" t="s">
        <v>1077</v>
      </c>
      <c r="D162" s="4"/>
      <c r="E162" s="4" t="s">
        <v>737</v>
      </c>
      <c r="F162" s="4" t="s">
        <v>659</v>
      </c>
      <c r="G162" s="4" t="s">
        <v>1078</v>
      </c>
    </row>
    <row r="163" customFormat="false" ht="15" hidden="false" customHeight="false" outlineLevel="0" collapsed="false">
      <c r="A163" s="4" t="s">
        <v>1170</v>
      </c>
      <c r="B163" s="4" t="s">
        <v>1079</v>
      </c>
      <c r="C163" s="4" t="s">
        <v>697</v>
      </c>
      <c r="D163" s="4"/>
      <c r="E163" s="4" t="s">
        <v>737</v>
      </c>
      <c r="F163" s="4" t="s">
        <v>659</v>
      </c>
      <c r="G163" s="4" t="s">
        <v>1078</v>
      </c>
    </row>
    <row r="164" customFormat="false" ht="15" hidden="false" customHeight="false" outlineLevel="0" collapsed="false">
      <c r="A164" s="4" t="s">
        <v>1170</v>
      </c>
      <c r="B164" s="4" t="s">
        <v>1080</v>
      </c>
      <c r="C164" s="4" t="s">
        <v>739</v>
      </c>
      <c r="D164" s="4"/>
      <c r="E164" s="4" t="s">
        <v>737</v>
      </c>
      <c r="F164" s="4" t="s">
        <v>659</v>
      </c>
      <c r="G164" s="4" t="s">
        <v>1078</v>
      </c>
    </row>
    <row r="165" customFormat="false" ht="15" hidden="false" customHeight="false" outlineLevel="0" collapsed="false">
      <c r="A165" s="4" t="s">
        <v>1170</v>
      </c>
      <c r="B165" s="4" t="s">
        <v>1081</v>
      </c>
      <c r="C165" s="4" t="s">
        <v>893</v>
      </c>
      <c r="D165" s="4"/>
      <c r="E165" s="4" t="s">
        <v>737</v>
      </c>
      <c r="F165" s="4" t="s">
        <v>659</v>
      </c>
      <c r="G165" s="4" t="s">
        <v>1078</v>
      </c>
    </row>
    <row r="166" customFormat="false" ht="25.35" hidden="false" customHeight="false" outlineLevel="0" collapsed="false">
      <c r="A166" s="4" t="s">
        <v>1170</v>
      </c>
      <c r="B166" s="4" t="s">
        <v>1082</v>
      </c>
      <c r="C166" s="4" t="s">
        <v>1171</v>
      </c>
      <c r="D166" s="4"/>
      <c r="E166" s="4" t="s">
        <v>737</v>
      </c>
      <c r="F166" s="4" t="s">
        <v>659</v>
      </c>
      <c r="G166" s="4" t="s">
        <v>1078</v>
      </c>
    </row>
    <row r="167" customFormat="false" ht="25.35" hidden="false" customHeight="false" outlineLevel="0" collapsed="false">
      <c r="A167" s="4" t="s">
        <v>1170</v>
      </c>
      <c r="B167" s="4" t="s">
        <v>1084</v>
      </c>
      <c r="C167" s="4" t="s">
        <v>1172</v>
      </c>
      <c r="D167" s="4"/>
      <c r="E167" s="4" t="s">
        <v>737</v>
      </c>
      <c r="F167" s="4" t="s">
        <v>659</v>
      </c>
      <c r="G167" s="4" t="s">
        <v>1078</v>
      </c>
    </row>
    <row r="168" customFormat="false" ht="15" hidden="false" customHeight="false" outlineLevel="0" collapsed="false">
      <c r="A168" s="4" t="s">
        <v>1170</v>
      </c>
      <c r="B168" s="4" t="s">
        <v>1086</v>
      </c>
      <c r="C168" s="4" t="s">
        <v>1173</v>
      </c>
      <c r="D168" s="4"/>
      <c r="E168" s="4" t="s">
        <v>737</v>
      </c>
      <c r="F168" s="4" t="s">
        <v>659</v>
      </c>
      <c r="G168" s="4" t="s">
        <v>1078</v>
      </c>
    </row>
    <row r="169" customFormat="false" ht="25.35" hidden="false" customHeight="false" outlineLevel="0" collapsed="false">
      <c r="A169" s="4" t="s">
        <v>1170</v>
      </c>
      <c r="B169" s="4" t="s">
        <v>1088</v>
      </c>
      <c r="C169" s="4" t="s">
        <v>1174</v>
      </c>
      <c r="D169" s="4"/>
      <c r="E169" s="4" t="s">
        <v>737</v>
      </c>
      <c r="F169" s="4" t="s">
        <v>659</v>
      </c>
      <c r="G169" s="4" t="s">
        <v>1078</v>
      </c>
    </row>
    <row r="170" customFormat="false" ht="15" hidden="false" customHeight="false" outlineLevel="0" collapsed="false">
      <c r="A170" s="4" t="s">
        <v>1170</v>
      </c>
      <c r="B170" s="4" t="s">
        <v>1090</v>
      </c>
      <c r="C170" s="4" t="s">
        <v>1175</v>
      </c>
      <c r="D170" s="4"/>
      <c r="E170" s="4" t="s">
        <v>737</v>
      </c>
      <c r="F170" s="4" t="s">
        <v>659</v>
      </c>
      <c r="G170" s="4" t="s">
        <v>1078</v>
      </c>
    </row>
    <row r="171" customFormat="false" ht="15" hidden="false" customHeight="false" outlineLevel="0" collapsed="false">
      <c r="A171" s="4" t="s">
        <v>1176</v>
      </c>
      <c r="B171" s="4" t="s">
        <v>1076</v>
      </c>
      <c r="C171" s="4" t="s">
        <v>1077</v>
      </c>
      <c r="D171" s="4"/>
      <c r="E171" s="4" t="s">
        <v>743</v>
      </c>
      <c r="F171" s="4" t="s">
        <v>659</v>
      </c>
      <c r="G171" s="4" t="s">
        <v>1078</v>
      </c>
    </row>
    <row r="172" customFormat="false" ht="15" hidden="false" customHeight="false" outlineLevel="0" collapsed="false">
      <c r="A172" s="4" t="s">
        <v>1176</v>
      </c>
      <c r="B172" s="4" t="s">
        <v>1079</v>
      </c>
      <c r="C172" s="4" t="s">
        <v>739</v>
      </c>
      <c r="D172" s="4"/>
      <c r="E172" s="4" t="s">
        <v>743</v>
      </c>
      <c r="F172" s="4" t="s">
        <v>659</v>
      </c>
      <c r="G172" s="4" t="s">
        <v>1078</v>
      </c>
    </row>
    <row r="173" customFormat="false" ht="15" hidden="false" customHeight="false" outlineLevel="0" collapsed="false">
      <c r="A173" s="4" t="s">
        <v>1176</v>
      </c>
      <c r="B173" s="4" t="s">
        <v>1080</v>
      </c>
      <c r="C173" s="4" t="s">
        <v>697</v>
      </c>
      <c r="D173" s="4"/>
      <c r="E173" s="4" t="s">
        <v>743</v>
      </c>
      <c r="F173" s="4" t="s">
        <v>659</v>
      </c>
      <c r="G173" s="4" t="s">
        <v>1078</v>
      </c>
    </row>
    <row r="174" customFormat="false" ht="15" hidden="false" customHeight="false" outlineLevel="0" collapsed="false">
      <c r="A174" s="4" t="s">
        <v>1176</v>
      </c>
      <c r="B174" s="4" t="s">
        <v>1081</v>
      </c>
      <c r="C174" s="4" t="s">
        <v>907</v>
      </c>
      <c r="D174" s="4"/>
      <c r="E174" s="4" t="s">
        <v>743</v>
      </c>
      <c r="F174" s="4" t="s">
        <v>659</v>
      </c>
      <c r="G174" s="4" t="s">
        <v>1078</v>
      </c>
    </row>
    <row r="175" customFormat="false" ht="25.35" hidden="false" customHeight="false" outlineLevel="0" collapsed="false">
      <c r="A175" s="4" t="s">
        <v>1176</v>
      </c>
      <c r="B175" s="4" t="s">
        <v>1082</v>
      </c>
      <c r="C175" s="4" t="s">
        <v>1177</v>
      </c>
      <c r="D175" s="4"/>
      <c r="E175" s="4" t="s">
        <v>743</v>
      </c>
      <c r="F175" s="4" t="s">
        <v>659</v>
      </c>
      <c r="G175" s="4" t="s">
        <v>1078</v>
      </c>
    </row>
    <row r="176" customFormat="false" ht="25.35" hidden="false" customHeight="false" outlineLevel="0" collapsed="false">
      <c r="A176" s="4" t="s">
        <v>1176</v>
      </c>
      <c r="B176" s="4" t="s">
        <v>1084</v>
      </c>
      <c r="C176" s="4" t="s">
        <v>1178</v>
      </c>
      <c r="D176" s="4"/>
      <c r="E176" s="4" t="s">
        <v>743</v>
      </c>
      <c r="F176" s="4" t="s">
        <v>659</v>
      </c>
      <c r="G176" s="4" t="s">
        <v>1078</v>
      </c>
    </row>
    <row r="177" customFormat="false" ht="15" hidden="false" customHeight="false" outlineLevel="0" collapsed="false">
      <c r="A177" s="4" t="s">
        <v>1176</v>
      </c>
      <c r="B177" s="4" t="s">
        <v>1086</v>
      </c>
      <c r="C177" s="4" t="s">
        <v>1179</v>
      </c>
      <c r="D177" s="4"/>
      <c r="E177" s="4" t="s">
        <v>743</v>
      </c>
      <c r="F177" s="4" t="s">
        <v>659</v>
      </c>
      <c r="G177" s="4" t="s">
        <v>1078</v>
      </c>
    </row>
    <row r="178" customFormat="false" ht="25.35" hidden="false" customHeight="false" outlineLevel="0" collapsed="false">
      <c r="A178" s="4" t="s">
        <v>1176</v>
      </c>
      <c r="B178" s="4" t="s">
        <v>1088</v>
      </c>
      <c r="C178" s="4" t="s">
        <v>1180</v>
      </c>
      <c r="D178" s="4"/>
      <c r="E178" s="4" t="s">
        <v>743</v>
      </c>
      <c r="F178" s="4" t="s">
        <v>659</v>
      </c>
      <c r="G178" s="4" t="s">
        <v>1078</v>
      </c>
    </row>
    <row r="179" customFormat="false" ht="15" hidden="false" customHeight="false" outlineLevel="0" collapsed="false">
      <c r="A179" s="4" t="s">
        <v>1176</v>
      </c>
      <c r="B179" s="4" t="s">
        <v>1090</v>
      </c>
      <c r="C179" s="4" t="s">
        <v>1181</v>
      </c>
      <c r="D179" s="4"/>
      <c r="E179" s="4" t="s">
        <v>743</v>
      </c>
      <c r="F179" s="4" t="s">
        <v>659</v>
      </c>
      <c r="G179" s="4" t="s">
        <v>1078</v>
      </c>
    </row>
    <row r="180" customFormat="false" ht="25.35" hidden="false" customHeight="false" outlineLevel="0" collapsed="false">
      <c r="A180" s="4" t="s">
        <v>1176</v>
      </c>
      <c r="B180" s="4" t="s">
        <v>1182</v>
      </c>
      <c r="C180" s="4" t="s">
        <v>1183</v>
      </c>
      <c r="D180" s="4"/>
      <c r="E180" s="4" t="s">
        <v>743</v>
      </c>
      <c r="F180" s="4" t="s">
        <v>659</v>
      </c>
      <c r="G180" s="4" t="s">
        <v>1078</v>
      </c>
    </row>
    <row r="181" customFormat="false" ht="15" hidden="false" customHeight="false" outlineLevel="0" collapsed="false">
      <c r="A181" s="4" t="s">
        <v>1184</v>
      </c>
      <c r="B181" s="4" t="s">
        <v>1076</v>
      </c>
      <c r="C181" s="4" t="s">
        <v>1077</v>
      </c>
      <c r="D181" s="4"/>
      <c r="E181" s="4" t="s">
        <v>750</v>
      </c>
      <c r="F181" s="4" t="s">
        <v>714</v>
      </c>
      <c r="G181" s="4" t="s">
        <v>1078</v>
      </c>
    </row>
    <row r="182" customFormat="false" ht="15" hidden="false" customHeight="false" outlineLevel="0" collapsed="false">
      <c r="A182" s="4" t="s">
        <v>1184</v>
      </c>
      <c r="B182" s="4" t="s">
        <v>1079</v>
      </c>
      <c r="C182" s="4" t="s">
        <v>697</v>
      </c>
      <c r="D182" s="4"/>
      <c r="E182" s="4" t="s">
        <v>750</v>
      </c>
      <c r="F182" s="4" t="s">
        <v>714</v>
      </c>
      <c r="G182" s="4" t="s">
        <v>1078</v>
      </c>
    </row>
    <row r="183" customFormat="false" ht="15" hidden="false" customHeight="false" outlineLevel="0" collapsed="false">
      <c r="A183" s="4" t="s">
        <v>1184</v>
      </c>
      <c r="B183" s="4" t="s">
        <v>1080</v>
      </c>
      <c r="C183" s="4" t="s">
        <v>752</v>
      </c>
      <c r="D183" s="4"/>
      <c r="E183" s="4" t="s">
        <v>750</v>
      </c>
      <c r="F183" s="4" t="s">
        <v>714</v>
      </c>
      <c r="G183" s="4" t="s">
        <v>1078</v>
      </c>
    </row>
    <row r="184" customFormat="false" ht="15" hidden="false" customHeight="false" outlineLevel="0" collapsed="false">
      <c r="A184" s="4" t="s">
        <v>1184</v>
      </c>
      <c r="B184" s="4" t="s">
        <v>1081</v>
      </c>
      <c r="C184" s="4" t="s">
        <v>869</v>
      </c>
      <c r="D184" s="4"/>
      <c r="E184" s="4" t="s">
        <v>750</v>
      </c>
      <c r="F184" s="4" t="s">
        <v>714</v>
      </c>
      <c r="G184" s="4" t="s">
        <v>1078</v>
      </c>
    </row>
    <row r="185" customFormat="false" ht="25.35" hidden="false" customHeight="false" outlineLevel="0" collapsed="false">
      <c r="A185" s="4" t="s">
        <v>1184</v>
      </c>
      <c r="B185" s="4" t="s">
        <v>1082</v>
      </c>
      <c r="C185" s="4" t="s">
        <v>1185</v>
      </c>
      <c r="D185" s="4"/>
      <c r="E185" s="4" t="s">
        <v>750</v>
      </c>
      <c r="F185" s="4" t="s">
        <v>714</v>
      </c>
      <c r="G185" s="4" t="s">
        <v>1078</v>
      </c>
    </row>
    <row r="186" customFormat="false" ht="25.35" hidden="false" customHeight="false" outlineLevel="0" collapsed="false">
      <c r="A186" s="4" t="s">
        <v>1184</v>
      </c>
      <c r="B186" s="4" t="s">
        <v>1084</v>
      </c>
      <c r="C186" s="4" t="s">
        <v>1186</v>
      </c>
      <c r="D186" s="4"/>
      <c r="E186" s="4" t="s">
        <v>750</v>
      </c>
      <c r="F186" s="4" t="s">
        <v>714</v>
      </c>
      <c r="G186" s="4" t="s">
        <v>1078</v>
      </c>
    </row>
    <row r="187" customFormat="false" ht="15" hidden="false" customHeight="false" outlineLevel="0" collapsed="false">
      <c r="A187" s="4" t="s">
        <v>1184</v>
      </c>
      <c r="B187" s="4" t="s">
        <v>1086</v>
      </c>
      <c r="C187" s="4" t="s">
        <v>1187</v>
      </c>
      <c r="D187" s="4"/>
      <c r="E187" s="4" t="s">
        <v>750</v>
      </c>
      <c r="F187" s="4" t="s">
        <v>714</v>
      </c>
      <c r="G187" s="4" t="s">
        <v>1078</v>
      </c>
    </row>
    <row r="188" customFormat="false" ht="25.35" hidden="false" customHeight="false" outlineLevel="0" collapsed="false">
      <c r="A188" s="4" t="s">
        <v>1184</v>
      </c>
      <c r="B188" s="4" t="s">
        <v>1088</v>
      </c>
      <c r="C188" s="4" t="s">
        <v>1188</v>
      </c>
      <c r="D188" s="4"/>
      <c r="E188" s="4" t="s">
        <v>750</v>
      </c>
      <c r="F188" s="4" t="s">
        <v>714</v>
      </c>
      <c r="G188" s="4" t="s">
        <v>1078</v>
      </c>
    </row>
    <row r="189" customFormat="false" ht="15" hidden="false" customHeight="false" outlineLevel="0" collapsed="false">
      <c r="A189" s="4" t="s">
        <v>1184</v>
      </c>
      <c r="B189" s="4" t="s">
        <v>1090</v>
      </c>
      <c r="C189" s="4" t="s">
        <v>1189</v>
      </c>
      <c r="D189" s="4"/>
      <c r="E189" s="4" t="s">
        <v>750</v>
      </c>
      <c r="F189" s="4" t="s">
        <v>714</v>
      </c>
      <c r="G189" s="4" t="s">
        <v>1078</v>
      </c>
    </row>
    <row r="190" customFormat="false" ht="15" hidden="false" customHeight="false" outlineLevel="0" collapsed="false">
      <c r="A190" s="4" t="s">
        <v>1190</v>
      </c>
      <c r="B190" s="4" t="s">
        <v>1076</v>
      </c>
      <c r="C190" s="4" t="s">
        <v>1077</v>
      </c>
      <c r="D190" s="4"/>
      <c r="E190" s="4" t="s">
        <v>758</v>
      </c>
      <c r="F190" s="4" t="s">
        <v>659</v>
      </c>
      <c r="G190" s="4" t="s">
        <v>1078</v>
      </c>
    </row>
    <row r="191" customFormat="false" ht="15" hidden="false" customHeight="false" outlineLevel="0" collapsed="false">
      <c r="A191" s="4" t="s">
        <v>1190</v>
      </c>
      <c r="B191" s="4" t="s">
        <v>1079</v>
      </c>
      <c r="C191" s="4" t="s">
        <v>761</v>
      </c>
      <c r="D191" s="4"/>
      <c r="E191" s="4" t="s">
        <v>758</v>
      </c>
      <c r="F191" s="4" t="s">
        <v>659</v>
      </c>
      <c r="G191" s="4" t="s">
        <v>1078</v>
      </c>
    </row>
    <row r="192" customFormat="false" ht="15" hidden="false" customHeight="false" outlineLevel="0" collapsed="false">
      <c r="A192" s="4" t="s">
        <v>1190</v>
      </c>
      <c r="B192" s="4" t="s">
        <v>1080</v>
      </c>
      <c r="C192" s="4" t="s">
        <v>762</v>
      </c>
      <c r="D192" s="4"/>
      <c r="E192" s="4" t="s">
        <v>758</v>
      </c>
      <c r="F192" s="4" t="s">
        <v>659</v>
      </c>
      <c r="G192" s="4" t="s">
        <v>1078</v>
      </c>
    </row>
    <row r="193" customFormat="false" ht="15" hidden="false" customHeight="false" outlineLevel="0" collapsed="false">
      <c r="A193" s="4" t="s">
        <v>1190</v>
      </c>
      <c r="B193" s="4" t="s">
        <v>1081</v>
      </c>
      <c r="C193" s="4" t="s">
        <v>915</v>
      </c>
      <c r="D193" s="4"/>
      <c r="E193" s="4" t="s">
        <v>758</v>
      </c>
      <c r="F193" s="4" t="s">
        <v>659</v>
      </c>
      <c r="G193" s="4" t="s">
        <v>1078</v>
      </c>
    </row>
    <row r="194" customFormat="false" ht="25.35" hidden="false" customHeight="false" outlineLevel="0" collapsed="false">
      <c r="A194" s="4" t="s">
        <v>1190</v>
      </c>
      <c r="B194" s="4" t="s">
        <v>1082</v>
      </c>
      <c r="C194" s="4" t="s">
        <v>1191</v>
      </c>
      <c r="D194" s="4"/>
      <c r="E194" s="4" t="s">
        <v>758</v>
      </c>
      <c r="F194" s="4" t="s">
        <v>659</v>
      </c>
      <c r="G194" s="4" t="s">
        <v>1078</v>
      </c>
    </row>
    <row r="195" customFormat="false" ht="25.35" hidden="false" customHeight="false" outlineLevel="0" collapsed="false">
      <c r="A195" s="4" t="s">
        <v>1190</v>
      </c>
      <c r="B195" s="4" t="s">
        <v>1084</v>
      </c>
      <c r="C195" s="4" t="s">
        <v>1192</v>
      </c>
      <c r="D195" s="4"/>
      <c r="E195" s="4" t="s">
        <v>758</v>
      </c>
      <c r="F195" s="4" t="s">
        <v>659</v>
      </c>
      <c r="G195" s="4" t="s">
        <v>1078</v>
      </c>
    </row>
    <row r="196" customFormat="false" ht="15" hidden="false" customHeight="false" outlineLevel="0" collapsed="false">
      <c r="A196" s="4" t="s">
        <v>1190</v>
      </c>
      <c r="B196" s="4" t="s">
        <v>1086</v>
      </c>
      <c r="C196" s="4" t="s">
        <v>1193</v>
      </c>
      <c r="D196" s="4"/>
      <c r="E196" s="4" t="s">
        <v>758</v>
      </c>
      <c r="F196" s="4" t="s">
        <v>659</v>
      </c>
      <c r="G196" s="4" t="s">
        <v>1078</v>
      </c>
    </row>
    <row r="197" customFormat="false" ht="25.35" hidden="false" customHeight="false" outlineLevel="0" collapsed="false">
      <c r="A197" s="4" t="s">
        <v>1190</v>
      </c>
      <c r="B197" s="4" t="s">
        <v>1088</v>
      </c>
      <c r="C197" s="4" t="s">
        <v>1194</v>
      </c>
      <c r="D197" s="4"/>
      <c r="E197" s="4" t="s">
        <v>758</v>
      </c>
      <c r="F197" s="4" t="s">
        <v>659</v>
      </c>
      <c r="G197" s="4" t="s">
        <v>1078</v>
      </c>
    </row>
    <row r="198" customFormat="false" ht="15" hidden="false" customHeight="false" outlineLevel="0" collapsed="false">
      <c r="A198" s="4" t="s">
        <v>1190</v>
      </c>
      <c r="B198" s="4" t="s">
        <v>1090</v>
      </c>
      <c r="C198" s="4" t="s">
        <v>1195</v>
      </c>
      <c r="D198" s="4"/>
      <c r="E198" s="4" t="s">
        <v>758</v>
      </c>
      <c r="F198" s="4" t="s">
        <v>659</v>
      </c>
      <c r="G198" s="4" t="s">
        <v>1078</v>
      </c>
    </row>
    <row r="199" customFormat="false" ht="25.35" hidden="false" customHeight="false" outlineLevel="0" collapsed="false">
      <c r="A199" s="4" t="s">
        <v>1190</v>
      </c>
      <c r="B199" s="4" t="s">
        <v>1182</v>
      </c>
      <c r="C199" s="4" t="s">
        <v>1196</v>
      </c>
      <c r="D199" s="4"/>
      <c r="E199" s="4" t="s">
        <v>758</v>
      </c>
      <c r="F199" s="4" t="s">
        <v>659</v>
      </c>
      <c r="G199" s="4" t="s">
        <v>1078</v>
      </c>
    </row>
    <row r="200" customFormat="false" ht="15" hidden="false" customHeight="false" outlineLevel="0" collapsed="false">
      <c r="A200" s="4" t="s">
        <v>1197</v>
      </c>
      <c r="B200" s="4" t="s">
        <v>1076</v>
      </c>
      <c r="C200" s="4" t="s">
        <v>1077</v>
      </c>
      <c r="D200" s="4"/>
      <c r="E200" s="4" t="s">
        <v>766</v>
      </c>
      <c r="F200" s="4" t="s">
        <v>659</v>
      </c>
      <c r="G200" s="4" t="s">
        <v>1078</v>
      </c>
    </row>
    <row r="201" customFormat="false" ht="15" hidden="false" customHeight="false" outlineLevel="0" collapsed="false">
      <c r="A201" s="4" t="s">
        <v>1197</v>
      </c>
      <c r="B201" s="4" t="s">
        <v>1079</v>
      </c>
      <c r="C201" s="4" t="s">
        <v>677</v>
      </c>
      <c r="D201" s="4"/>
      <c r="E201" s="4" t="s">
        <v>766</v>
      </c>
      <c r="F201" s="4" t="s">
        <v>659</v>
      </c>
      <c r="G201" s="4" t="s">
        <v>1078</v>
      </c>
    </row>
    <row r="202" customFormat="false" ht="15" hidden="false" customHeight="false" outlineLevel="0" collapsed="false">
      <c r="A202" s="4" t="s">
        <v>1197</v>
      </c>
      <c r="B202" s="4" t="s">
        <v>1080</v>
      </c>
      <c r="C202" s="4" t="s">
        <v>762</v>
      </c>
      <c r="D202" s="4"/>
      <c r="E202" s="4" t="s">
        <v>766</v>
      </c>
      <c r="F202" s="4" t="s">
        <v>659</v>
      </c>
      <c r="G202" s="4" t="s">
        <v>1078</v>
      </c>
    </row>
    <row r="203" customFormat="false" ht="15" hidden="false" customHeight="false" outlineLevel="0" collapsed="false">
      <c r="A203" s="4" t="s">
        <v>1197</v>
      </c>
      <c r="B203" s="4" t="s">
        <v>1081</v>
      </c>
      <c r="C203" s="4" t="s">
        <v>915</v>
      </c>
      <c r="D203" s="4"/>
      <c r="E203" s="4" t="s">
        <v>766</v>
      </c>
      <c r="F203" s="4" t="s">
        <v>659</v>
      </c>
      <c r="G203" s="4" t="s">
        <v>1078</v>
      </c>
    </row>
    <row r="204" customFormat="false" ht="25.35" hidden="false" customHeight="false" outlineLevel="0" collapsed="false">
      <c r="A204" s="4" t="s">
        <v>1197</v>
      </c>
      <c r="B204" s="4" t="s">
        <v>1082</v>
      </c>
      <c r="C204" s="4" t="s">
        <v>1198</v>
      </c>
      <c r="D204" s="4"/>
      <c r="E204" s="4" t="s">
        <v>766</v>
      </c>
      <c r="F204" s="4" t="s">
        <v>659</v>
      </c>
      <c r="G204" s="4" t="s">
        <v>1078</v>
      </c>
    </row>
    <row r="205" customFormat="false" ht="25.35" hidden="false" customHeight="false" outlineLevel="0" collapsed="false">
      <c r="A205" s="4" t="s">
        <v>1197</v>
      </c>
      <c r="B205" s="4" t="s">
        <v>1084</v>
      </c>
      <c r="C205" s="4" t="s">
        <v>1199</v>
      </c>
      <c r="D205" s="4"/>
      <c r="E205" s="4" t="s">
        <v>766</v>
      </c>
      <c r="F205" s="4" t="s">
        <v>659</v>
      </c>
      <c r="G205" s="4" t="s">
        <v>1078</v>
      </c>
    </row>
    <row r="206" customFormat="false" ht="15" hidden="false" customHeight="false" outlineLevel="0" collapsed="false">
      <c r="A206" s="4" t="s">
        <v>1197</v>
      </c>
      <c r="B206" s="4" t="s">
        <v>1086</v>
      </c>
      <c r="C206" s="4" t="s">
        <v>1200</v>
      </c>
      <c r="D206" s="4"/>
      <c r="E206" s="4" t="s">
        <v>766</v>
      </c>
      <c r="F206" s="4" t="s">
        <v>659</v>
      </c>
      <c r="G206" s="4" t="s">
        <v>1078</v>
      </c>
    </row>
    <row r="207" customFormat="false" ht="25.35" hidden="false" customHeight="false" outlineLevel="0" collapsed="false">
      <c r="A207" s="4" t="s">
        <v>1197</v>
      </c>
      <c r="B207" s="4" t="s">
        <v>1088</v>
      </c>
      <c r="C207" s="4" t="s">
        <v>1201</v>
      </c>
      <c r="D207" s="4"/>
      <c r="E207" s="4" t="s">
        <v>766</v>
      </c>
      <c r="F207" s="4" t="s">
        <v>659</v>
      </c>
      <c r="G207" s="4" t="s">
        <v>1078</v>
      </c>
    </row>
    <row r="208" customFormat="false" ht="15" hidden="false" customHeight="false" outlineLevel="0" collapsed="false">
      <c r="A208" s="4" t="s">
        <v>1197</v>
      </c>
      <c r="B208" s="4" t="s">
        <v>1090</v>
      </c>
      <c r="C208" s="4" t="s">
        <v>1202</v>
      </c>
      <c r="D208" s="4"/>
      <c r="E208" s="4" t="s">
        <v>766</v>
      </c>
      <c r="F208" s="4" t="s">
        <v>659</v>
      </c>
      <c r="G208" s="4" t="s">
        <v>1078</v>
      </c>
    </row>
    <row r="209" customFormat="false" ht="25.35" hidden="false" customHeight="false" outlineLevel="0" collapsed="false">
      <c r="A209" s="4" t="s">
        <v>1197</v>
      </c>
      <c r="B209" s="4" t="s">
        <v>1182</v>
      </c>
      <c r="C209" s="4" t="s">
        <v>1203</v>
      </c>
      <c r="D209" s="4"/>
      <c r="E209" s="4" t="s">
        <v>766</v>
      </c>
      <c r="F209" s="4" t="s">
        <v>659</v>
      </c>
      <c r="G209" s="4" t="s">
        <v>1078</v>
      </c>
    </row>
    <row r="210" customFormat="false" ht="15" hidden="false" customHeight="false" outlineLevel="0" collapsed="false">
      <c r="A210" s="4" t="s">
        <v>1204</v>
      </c>
      <c r="B210" s="4" t="s">
        <v>1076</v>
      </c>
      <c r="C210" s="4" t="s">
        <v>1077</v>
      </c>
      <c r="D210" s="4"/>
      <c r="E210" s="4" t="s">
        <v>770</v>
      </c>
      <c r="F210" s="4" t="s">
        <v>659</v>
      </c>
      <c r="G210" s="4" t="s">
        <v>1078</v>
      </c>
    </row>
    <row r="211" customFormat="false" ht="15" hidden="false" customHeight="false" outlineLevel="0" collapsed="false">
      <c r="A211" s="4" t="s">
        <v>1204</v>
      </c>
      <c r="B211" s="4" t="s">
        <v>1079</v>
      </c>
      <c r="C211" s="4" t="s">
        <v>682</v>
      </c>
      <c r="D211" s="4"/>
      <c r="E211" s="4" t="s">
        <v>770</v>
      </c>
      <c r="F211" s="4" t="s">
        <v>659</v>
      </c>
      <c r="G211" s="4" t="s">
        <v>1078</v>
      </c>
    </row>
    <row r="212" customFormat="false" ht="15" hidden="false" customHeight="false" outlineLevel="0" collapsed="false">
      <c r="A212" s="4" t="s">
        <v>1204</v>
      </c>
      <c r="B212" s="4" t="s">
        <v>1080</v>
      </c>
      <c r="C212" s="4" t="s">
        <v>762</v>
      </c>
      <c r="D212" s="4"/>
      <c r="E212" s="4" t="s">
        <v>770</v>
      </c>
      <c r="F212" s="4" t="s">
        <v>659</v>
      </c>
      <c r="G212" s="4" t="s">
        <v>1078</v>
      </c>
    </row>
    <row r="213" customFormat="false" ht="15" hidden="false" customHeight="false" outlineLevel="0" collapsed="false">
      <c r="A213" s="4" t="s">
        <v>1204</v>
      </c>
      <c r="B213" s="4" t="s">
        <v>1081</v>
      </c>
      <c r="C213" s="4" t="s">
        <v>915</v>
      </c>
      <c r="D213" s="4"/>
      <c r="E213" s="4" t="s">
        <v>770</v>
      </c>
      <c r="F213" s="4" t="s">
        <v>659</v>
      </c>
      <c r="G213" s="4" t="s">
        <v>1078</v>
      </c>
    </row>
    <row r="214" customFormat="false" ht="25.35" hidden="false" customHeight="false" outlineLevel="0" collapsed="false">
      <c r="A214" s="4" t="s">
        <v>1204</v>
      </c>
      <c r="B214" s="4" t="s">
        <v>1082</v>
      </c>
      <c r="C214" s="4" t="s">
        <v>1205</v>
      </c>
      <c r="D214" s="4"/>
      <c r="E214" s="4" t="s">
        <v>770</v>
      </c>
      <c r="F214" s="4" t="s">
        <v>659</v>
      </c>
      <c r="G214" s="4" t="s">
        <v>1078</v>
      </c>
    </row>
    <row r="215" customFormat="false" ht="25.35" hidden="false" customHeight="false" outlineLevel="0" collapsed="false">
      <c r="A215" s="4" t="s">
        <v>1204</v>
      </c>
      <c r="B215" s="4" t="s">
        <v>1084</v>
      </c>
      <c r="C215" s="4" t="s">
        <v>1206</v>
      </c>
      <c r="D215" s="4"/>
      <c r="E215" s="4" t="s">
        <v>770</v>
      </c>
      <c r="F215" s="4" t="s">
        <v>659</v>
      </c>
      <c r="G215" s="4" t="s">
        <v>1078</v>
      </c>
    </row>
    <row r="216" customFormat="false" ht="15" hidden="false" customHeight="false" outlineLevel="0" collapsed="false">
      <c r="A216" s="4" t="s">
        <v>1204</v>
      </c>
      <c r="B216" s="4" t="s">
        <v>1086</v>
      </c>
      <c r="C216" s="4" t="s">
        <v>1207</v>
      </c>
      <c r="D216" s="4"/>
      <c r="E216" s="4" t="s">
        <v>770</v>
      </c>
      <c r="F216" s="4" t="s">
        <v>659</v>
      </c>
      <c r="G216" s="4" t="s">
        <v>1078</v>
      </c>
    </row>
    <row r="217" customFormat="false" ht="25.35" hidden="false" customHeight="false" outlineLevel="0" collapsed="false">
      <c r="A217" s="4" t="s">
        <v>1204</v>
      </c>
      <c r="B217" s="4" t="s">
        <v>1088</v>
      </c>
      <c r="C217" s="4" t="s">
        <v>1208</v>
      </c>
      <c r="D217" s="4"/>
      <c r="E217" s="4" t="s">
        <v>770</v>
      </c>
      <c r="F217" s="4" t="s">
        <v>659</v>
      </c>
      <c r="G217" s="4" t="s">
        <v>1078</v>
      </c>
    </row>
    <row r="218" customFormat="false" ht="15" hidden="false" customHeight="false" outlineLevel="0" collapsed="false">
      <c r="A218" s="4" t="s">
        <v>1204</v>
      </c>
      <c r="B218" s="4" t="s">
        <v>1090</v>
      </c>
      <c r="C218" s="4" t="s">
        <v>1209</v>
      </c>
      <c r="D218" s="4"/>
      <c r="E218" s="4" t="s">
        <v>770</v>
      </c>
      <c r="F218" s="4" t="s">
        <v>659</v>
      </c>
      <c r="G218" s="4" t="s">
        <v>1078</v>
      </c>
    </row>
    <row r="219" customFormat="false" ht="25.35" hidden="false" customHeight="false" outlineLevel="0" collapsed="false">
      <c r="A219" s="4" t="s">
        <v>1204</v>
      </c>
      <c r="B219" s="4" t="s">
        <v>1182</v>
      </c>
      <c r="C219" s="4" t="s">
        <v>1210</v>
      </c>
      <c r="D219" s="4"/>
      <c r="E219" s="4" t="s">
        <v>770</v>
      </c>
      <c r="F219" s="4" t="s">
        <v>659</v>
      </c>
      <c r="G219" s="4" t="s">
        <v>1078</v>
      </c>
    </row>
    <row r="220" customFormat="false" ht="15" hidden="false" customHeight="false" outlineLevel="0" collapsed="false">
      <c r="A220" s="4" t="s">
        <v>1211</v>
      </c>
      <c r="B220" s="4" t="s">
        <v>1076</v>
      </c>
      <c r="C220" s="4" t="s">
        <v>1077</v>
      </c>
      <c r="D220" s="4"/>
      <c r="E220" s="4" t="s">
        <v>431</v>
      </c>
      <c r="F220" s="4" t="s">
        <v>659</v>
      </c>
      <c r="G220" s="4" t="s">
        <v>1078</v>
      </c>
    </row>
    <row r="221" customFormat="false" ht="15" hidden="false" customHeight="false" outlineLevel="0" collapsed="false">
      <c r="A221" s="4" t="s">
        <v>1211</v>
      </c>
      <c r="B221" s="4" t="s">
        <v>1079</v>
      </c>
      <c r="C221" s="4" t="s">
        <v>774</v>
      </c>
      <c r="D221" s="4"/>
      <c r="E221" s="4" t="s">
        <v>431</v>
      </c>
      <c r="F221" s="4" t="s">
        <v>659</v>
      </c>
      <c r="G221" s="4" t="s">
        <v>1078</v>
      </c>
    </row>
    <row r="222" customFormat="false" ht="15" hidden="false" customHeight="false" outlineLevel="0" collapsed="false">
      <c r="A222" s="4" t="s">
        <v>1211</v>
      </c>
      <c r="B222" s="4" t="s">
        <v>1080</v>
      </c>
      <c r="C222" s="4" t="s">
        <v>667</v>
      </c>
      <c r="D222" s="4"/>
      <c r="E222" s="4" t="s">
        <v>431</v>
      </c>
      <c r="F222" s="4" t="s">
        <v>659</v>
      </c>
      <c r="G222" s="4" t="s">
        <v>1078</v>
      </c>
    </row>
    <row r="223" customFormat="false" ht="15" hidden="false" customHeight="false" outlineLevel="0" collapsed="false">
      <c r="A223" s="4" t="s">
        <v>1211</v>
      </c>
      <c r="B223" s="4" t="s">
        <v>1081</v>
      </c>
      <c r="C223" s="4" t="s">
        <v>899</v>
      </c>
      <c r="D223" s="4"/>
      <c r="E223" s="4" t="s">
        <v>431</v>
      </c>
      <c r="F223" s="4" t="s">
        <v>659</v>
      </c>
      <c r="G223" s="4" t="s">
        <v>1078</v>
      </c>
    </row>
    <row r="224" customFormat="false" ht="25.35" hidden="false" customHeight="false" outlineLevel="0" collapsed="false">
      <c r="A224" s="4" t="s">
        <v>1211</v>
      </c>
      <c r="B224" s="4" t="s">
        <v>1082</v>
      </c>
      <c r="C224" s="4" t="s">
        <v>1212</v>
      </c>
      <c r="D224" s="4"/>
      <c r="E224" s="4" t="s">
        <v>431</v>
      </c>
      <c r="F224" s="4" t="s">
        <v>659</v>
      </c>
      <c r="G224" s="4" t="s">
        <v>1078</v>
      </c>
    </row>
    <row r="225" customFormat="false" ht="25.35" hidden="false" customHeight="false" outlineLevel="0" collapsed="false">
      <c r="A225" s="4" t="s">
        <v>1211</v>
      </c>
      <c r="B225" s="4" t="s">
        <v>1084</v>
      </c>
      <c r="C225" s="4" t="s">
        <v>1213</v>
      </c>
      <c r="D225" s="4"/>
      <c r="E225" s="4" t="s">
        <v>431</v>
      </c>
      <c r="F225" s="4" t="s">
        <v>659</v>
      </c>
      <c r="G225" s="4" t="s">
        <v>1078</v>
      </c>
    </row>
    <row r="226" customFormat="false" ht="15" hidden="false" customHeight="false" outlineLevel="0" collapsed="false">
      <c r="A226" s="4" t="s">
        <v>1211</v>
      </c>
      <c r="B226" s="4" t="s">
        <v>1086</v>
      </c>
      <c r="C226" s="4" t="s">
        <v>1214</v>
      </c>
      <c r="D226" s="4"/>
      <c r="E226" s="4" t="s">
        <v>431</v>
      </c>
      <c r="F226" s="4" t="s">
        <v>659</v>
      </c>
      <c r="G226" s="4" t="s">
        <v>1078</v>
      </c>
    </row>
    <row r="227" customFormat="false" ht="25.35" hidden="false" customHeight="false" outlineLevel="0" collapsed="false">
      <c r="A227" s="4" t="s">
        <v>1211</v>
      </c>
      <c r="B227" s="4" t="s">
        <v>1088</v>
      </c>
      <c r="C227" s="4" t="s">
        <v>1215</v>
      </c>
      <c r="D227" s="4"/>
      <c r="E227" s="4" t="s">
        <v>431</v>
      </c>
      <c r="F227" s="4" t="s">
        <v>659</v>
      </c>
      <c r="G227" s="4" t="s">
        <v>1078</v>
      </c>
    </row>
    <row r="228" customFormat="false" ht="15" hidden="false" customHeight="false" outlineLevel="0" collapsed="false">
      <c r="A228" s="4" t="s">
        <v>1211</v>
      </c>
      <c r="B228" s="4" t="s">
        <v>1090</v>
      </c>
      <c r="C228" s="4" t="s">
        <v>1216</v>
      </c>
      <c r="D228" s="4"/>
      <c r="E228" s="4" t="s">
        <v>431</v>
      </c>
      <c r="F228" s="4" t="s">
        <v>659</v>
      </c>
      <c r="G228" s="4" t="s">
        <v>1078</v>
      </c>
    </row>
    <row r="229" customFormat="false" ht="15" hidden="false" customHeight="false" outlineLevel="0" collapsed="false">
      <c r="A229" s="4" t="s">
        <v>1217</v>
      </c>
      <c r="B229" s="4" t="s">
        <v>1076</v>
      </c>
      <c r="C229" s="4" t="s">
        <v>1077</v>
      </c>
      <c r="D229" s="4"/>
      <c r="E229" s="4" t="s">
        <v>440</v>
      </c>
      <c r="F229" s="4" t="s">
        <v>659</v>
      </c>
      <c r="G229" s="4" t="s">
        <v>1078</v>
      </c>
    </row>
    <row r="230" customFormat="false" ht="15" hidden="false" customHeight="false" outlineLevel="0" collapsed="false">
      <c r="A230" s="4" t="s">
        <v>1217</v>
      </c>
      <c r="B230" s="4" t="s">
        <v>1079</v>
      </c>
      <c r="C230" s="4" t="s">
        <v>774</v>
      </c>
      <c r="D230" s="4"/>
      <c r="E230" s="4" t="s">
        <v>440</v>
      </c>
      <c r="F230" s="4" t="s">
        <v>659</v>
      </c>
      <c r="G230" s="4" t="s">
        <v>1078</v>
      </c>
    </row>
    <row r="231" customFormat="false" ht="15" hidden="false" customHeight="false" outlineLevel="0" collapsed="false">
      <c r="A231" s="4" t="s">
        <v>1217</v>
      </c>
      <c r="B231" s="4" t="s">
        <v>1080</v>
      </c>
      <c r="C231" s="4" t="s">
        <v>779</v>
      </c>
      <c r="D231" s="4"/>
      <c r="E231" s="4" t="s">
        <v>440</v>
      </c>
      <c r="F231" s="4" t="s">
        <v>659</v>
      </c>
      <c r="G231" s="4" t="s">
        <v>1078</v>
      </c>
    </row>
    <row r="232" customFormat="false" ht="15" hidden="false" customHeight="false" outlineLevel="0" collapsed="false">
      <c r="A232" s="4" t="s">
        <v>1217</v>
      </c>
      <c r="B232" s="4" t="s">
        <v>1081</v>
      </c>
      <c r="C232" s="4" t="s">
        <v>907</v>
      </c>
      <c r="D232" s="4"/>
      <c r="E232" s="4" t="s">
        <v>440</v>
      </c>
      <c r="F232" s="4" t="s">
        <v>659</v>
      </c>
      <c r="G232" s="4" t="s">
        <v>1078</v>
      </c>
    </row>
    <row r="233" customFormat="false" ht="25.35" hidden="false" customHeight="false" outlineLevel="0" collapsed="false">
      <c r="A233" s="4" t="s">
        <v>1217</v>
      </c>
      <c r="B233" s="4" t="s">
        <v>1082</v>
      </c>
      <c r="C233" s="4" t="s">
        <v>1218</v>
      </c>
      <c r="D233" s="4"/>
      <c r="E233" s="4" t="s">
        <v>440</v>
      </c>
      <c r="F233" s="4" t="s">
        <v>659</v>
      </c>
      <c r="G233" s="4" t="s">
        <v>1078</v>
      </c>
    </row>
    <row r="234" customFormat="false" ht="25.35" hidden="false" customHeight="false" outlineLevel="0" collapsed="false">
      <c r="A234" s="4" t="s">
        <v>1217</v>
      </c>
      <c r="B234" s="4" t="s">
        <v>1084</v>
      </c>
      <c r="C234" s="4" t="s">
        <v>1219</v>
      </c>
      <c r="D234" s="4"/>
      <c r="E234" s="4" t="s">
        <v>440</v>
      </c>
      <c r="F234" s="4" t="s">
        <v>659</v>
      </c>
      <c r="G234" s="4" t="s">
        <v>1078</v>
      </c>
    </row>
    <row r="235" customFormat="false" ht="15" hidden="false" customHeight="false" outlineLevel="0" collapsed="false">
      <c r="A235" s="4" t="s">
        <v>1217</v>
      </c>
      <c r="B235" s="4" t="s">
        <v>1086</v>
      </c>
      <c r="C235" s="4" t="s">
        <v>1220</v>
      </c>
      <c r="D235" s="4"/>
      <c r="E235" s="4" t="s">
        <v>440</v>
      </c>
      <c r="F235" s="4" t="s">
        <v>659</v>
      </c>
      <c r="G235" s="4" t="s">
        <v>1078</v>
      </c>
    </row>
    <row r="236" customFormat="false" ht="25.35" hidden="false" customHeight="false" outlineLevel="0" collapsed="false">
      <c r="A236" s="4" t="s">
        <v>1217</v>
      </c>
      <c r="B236" s="4" t="s">
        <v>1088</v>
      </c>
      <c r="C236" s="4" t="s">
        <v>1221</v>
      </c>
      <c r="D236" s="4"/>
      <c r="E236" s="4" t="s">
        <v>440</v>
      </c>
      <c r="F236" s="4" t="s">
        <v>659</v>
      </c>
      <c r="G236" s="4" t="s">
        <v>1078</v>
      </c>
    </row>
    <row r="237" customFormat="false" ht="15" hidden="false" customHeight="false" outlineLevel="0" collapsed="false">
      <c r="A237" s="4" t="s">
        <v>1217</v>
      </c>
      <c r="B237" s="4" t="s">
        <v>1090</v>
      </c>
      <c r="C237" s="4" t="s">
        <v>1222</v>
      </c>
      <c r="D237" s="4"/>
      <c r="E237" s="4" t="s">
        <v>440</v>
      </c>
      <c r="F237" s="4" t="s">
        <v>659</v>
      </c>
      <c r="G237" s="4" t="s">
        <v>1078</v>
      </c>
    </row>
    <row r="238" customFormat="false" ht="15" hidden="false" customHeight="false" outlineLevel="0" collapsed="false">
      <c r="A238" s="4" t="s">
        <v>1223</v>
      </c>
      <c r="B238" s="4" t="s">
        <v>1076</v>
      </c>
      <c r="C238" s="4" t="s">
        <v>1077</v>
      </c>
      <c r="D238" s="4"/>
      <c r="E238" s="4" t="s">
        <v>782</v>
      </c>
      <c r="F238" s="4" t="s">
        <v>659</v>
      </c>
      <c r="G238" s="4" t="s">
        <v>1078</v>
      </c>
    </row>
    <row r="239" customFormat="false" ht="15" hidden="false" customHeight="false" outlineLevel="0" collapsed="false">
      <c r="A239" s="4" t="s">
        <v>1223</v>
      </c>
      <c r="B239" s="4" t="s">
        <v>1079</v>
      </c>
      <c r="C239" s="4" t="s">
        <v>722</v>
      </c>
      <c r="D239" s="4"/>
      <c r="E239" s="4" t="s">
        <v>782</v>
      </c>
      <c r="F239" s="4" t="s">
        <v>659</v>
      </c>
      <c r="G239" s="4" t="s">
        <v>1078</v>
      </c>
    </row>
    <row r="240" customFormat="false" ht="15" hidden="false" customHeight="false" outlineLevel="0" collapsed="false">
      <c r="A240" s="4" t="s">
        <v>1223</v>
      </c>
      <c r="B240" s="4" t="s">
        <v>1080</v>
      </c>
      <c r="C240" s="4" t="s">
        <v>774</v>
      </c>
      <c r="D240" s="4"/>
      <c r="E240" s="4" t="s">
        <v>782</v>
      </c>
      <c r="F240" s="4" t="s">
        <v>659</v>
      </c>
      <c r="G240" s="4" t="s">
        <v>1078</v>
      </c>
    </row>
    <row r="241" customFormat="false" ht="15" hidden="false" customHeight="false" outlineLevel="0" collapsed="false">
      <c r="A241" s="4" t="s">
        <v>1223</v>
      </c>
      <c r="B241" s="4" t="s">
        <v>1081</v>
      </c>
      <c r="C241" s="4" t="s">
        <v>899</v>
      </c>
      <c r="D241" s="4"/>
      <c r="E241" s="4" t="s">
        <v>782</v>
      </c>
      <c r="F241" s="4" t="s">
        <v>659</v>
      </c>
      <c r="G241" s="4" t="s">
        <v>1078</v>
      </c>
    </row>
    <row r="242" customFormat="false" ht="25.35" hidden="false" customHeight="false" outlineLevel="0" collapsed="false">
      <c r="A242" s="4" t="s">
        <v>1223</v>
      </c>
      <c r="B242" s="4" t="s">
        <v>1082</v>
      </c>
      <c r="C242" s="4" t="s">
        <v>1224</v>
      </c>
      <c r="D242" s="4"/>
      <c r="E242" s="4" t="s">
        <v>782</v>
      </c>
      <c r="F242" s="4" t="s">
        <v>659</v>
      </c>
      <c r="G242" s="4" t="s">
        <v>1078</v>
      </c>
    </row>
    <row r="243" customFormat="false" ht="25.35" hidden="false" customHeight="false" outlineLevel="0" collapsed="false">
      <c r="A243" s="4" t="s">
        <v>1223</v>
      </c>
      <c r="B243" s="4" t="s">
        <v>1084</v>
      </c>
      <c r="C243" s="4" t="s">
        <v>1225</v>
      </c>
      <c r="D243" s="4"/>
      <c r="E243" s="4" t="s">
        <v>782</v>
      </c>
      <c r="F243" s="4" t="s">
        <v>659</v>
      </c>
      <c r="G243" s="4" t="s">
        <v>1078</v>
      </c>
    </row>
    <row r="244" customFormat="false" ht="15" hidden="false" customHeight="false" outlineLevel="0" collapsed="false">
      <c r="A244" s="4" t="s">
        <v>1223</v>
      </c>
      <c r="B244" s="4" t="s">
        <v>1086</v>
      </c>
      <c r="C244" s="4" t="s">
        <v>1226</v>
      </c>
      <c r="D244" s="4"/>
      <c r="E244" s="4" t="s">
        <v>782</v>
      </c>
      <c r="F244" s="4" t="s">
        <v>659</v>
      </c>
      <c r="G244" s="4" t="s">
        <v>1078</v>
      </c>
    </row>
    <row r="245" customFormat="false" ht="25.35" hidden="false" customHeight="false" outlineLevel="0" collapsed="false">
      <c r="A245" s="4" t="s">
        <v>1223</v>
      </c>
      <c r="B245" s="4" t="s">
        <v>1088</v>
      </c>
      <c r="C245" s="4" t="s">
        <v>1227</v>
      </c>
      <c r="D245" s="4"/>
      <c r="E245" s="4" t="s">
        <v>782</v>
      </c>
      <c r="F245" s="4" t="s">
        <v>659</v>
      </c>
      <c r="G245" s="4" t="s">
        <v>1078</v>
      </c>
    </row>
    <row r="246" customFormat="false" ht="15" hidden="false" customHeight="false" outlineLevel="0" collapsed="false">
      <c r="A246" s="4" t="s">
        <v>1223</v>
      </c>
      <c r="B246" s="4" t="s">
        <v>1090</v>
      </c>
      <c r="C246" s="4" t="s">
        <v>1228</v>
      </c>
      <c r="D246" s="4"/>
      <c r="E246" s="4" t="s">
        <v>782</v>
      </c>
      <c r="F246" s="4" t="s">
        <v>659</v>
      </c>
      <c r="G246" s="4" t="s">
        <v>1078</v>
      </c>
    </row>
    <row r="247" customFormat="false" ht="25.35" hidden="false" customHeight="false" outlineLevel="0" collapsed="false">
      <c r="A247" s="4" t="s">
        <v>1223</v>
      </c>
      <c r="B247" s="4" t="s">
        <v>1182</v>
      </c>
      <c r="C247" s="4" t="s">
        <v>1229</v>
      </c>
      <c r="D247" s="4"/>
      <c r="E247" s="4" t="s">
        <v>782</v>
      </c>
      <c r="F247" s="4" t="s">
        <v>659</v>
      </c>
      <c r="G247" s="4" t="s">
        <v>1078</v>
      </c>
    </row>
    <row r="248" customFormat="false" ht="15" hidden="false" customHeight="false" outlineLevel="0" collapsed="false">
      <c r="A248" s="4" t="s">
        <v>1230</v>
      </c>
      <c r="B248" s="4" t="s">
        <v>1076</v>
      </c>
      <c r="C248" s="4" t="s">
        <v>1077</v>
      </c>
      <c r="D248" s="4"/>
      <c r="E248" s="4" t="s">
        <v>786</v>
      </c>
      <c r="F248" s="4" t="s">
        <v>659</v>
      </c>
      <c r="G248" s="4" t="s">
        <v>1078</v>
      </c>
    </row>
    <row r="249" customFormat="false" ht="15" hidden="false" customHeight="false" outlineLevel="0" collapsed="false">
      <c r="A249" s="4" t="s">
        <v>1230</v>
      </c>
      <c r="B249" s="4" t="s">
        <v>1079</v>
      </c>
      <c r="C249" s="4" t="s">
        <v>739</v>
      </c>
      <c r="D249" s="4"/>
      <c r="E249" s="4" t="s">
        <v>786</v>
      </c>
      <c r="F249" s="4" t="s">
        <v>659</v>
      </c>
      <c r="G249" s="4" t="s">
        <v>1078</v>
      </c>
    </row>
    <row r="250" customFormat="false" ht="15" hidden="false" customHeight="false" outlineLevel="0" collapsed="false">
      <c r="A250" s="4" t="s">
        <v>1230</v>
      </c>
      <c r="B250" s="4" t="s">
        <v>1080</v>
      </c>
      <c r="C250" s="4" t="s">
        <v>774</v>
      </c>
      <c r="D250" s="4"/>
      <c r="E250" s="4" t="s">
        <v>786</v>
      </c>
      <c r="F250" s="4" t="s">
        <v>659</v>
      </c>
      <c r="G250" s="4" t="s">
        <v>1078</v>
      </c>
    </row>
    <row r="251" customFormat="false" ht="15" hidden="false" customHeight="false" outlineLevel="0" collapsed="false">
      <c r="A251" s="4" t="s">
        <v>1230</v>
      </c>
      <c r="B251" s="4" t="s">
        <v>1081</v>
      </c>
      <c r="C251" s="4" t="s">
        <v>899</v>
      </c>
      <c r="D251" s="4"/>
      <c r="E251" s="4" t="s">
        <v>786</v>
      </c>
      <c r="F251" s="4" t="s">
        <v>659</v>
      </c>
      <c r="G251" s="4" t="s">
        <v>1078</v>
      </c>
    </row>
    <row r="252" customFormat="false" ht="25.35" hidden="false" customHeight="false" outlineLevel="0" collapsed="false">
      <c r="A252" s="4" t="s">
        <v>1230</v>
      </c>
      <c r="B252" s="4" t="s">
        <v>1082</v>
      </c>
      <c r="C252" s="4" t="s">
        <v>1231</v>
      </c>
      <c r="D252" s="4"/>
      <c r="E252" s="4" t="s">
        <v>786</v>
      </c>
      <c r="F252" s="4" t="s">
        <v>659</v>
      </c>
      <c r="G252" s="4" t="s">
        <v>1078</v>
      </c>
    </row>
    <row r="253" customFormat="false" ht="25.35" hidden="false" customHeight="false" outlineLevel="0" collapsed="false">
      <c r="A253" s="4" t="s">
        <v>1230</v>
      </c>
      <c r="B253" s="4" t="s">
        <v>1084</v>
      </c>
      <c r="C253" s="4" t="s">
        <v>1232</v>
      </c>
      <c r="D253" s="4"/>
      <c r="E253" s="4" t="s">
        <v>786</v>
      </c>
      <c r="F253" s="4" t="s">
        <v>659</v>
      </c>
      <c r="G253" s="4" t="s">
        <v>1078</v>
      </c>
    </row>
    <row r="254" customFormat="false" ht="15" hidden="false" customHeight="false" outlineLevel="0" collapsed="false">
      <c r="A254" s="4" t="s">
        <v>1230</v>
      </c>
      <c r="B254" s="4" t="s">
        <v>1086</v>
      </c>
      <c r="C254" s="4" t="s">
        <v>1233</v>
      </c>
      <c r="D254" s="4"/>
      <c r="E254" s="4" t="s">
        <v>786</v>
      </c>
      <c r="F254" s="4" t="s">
        <v>659</v>
      </c>
      <c r="G254" s="4" t="s">
        <v>1078</v>
      </c>
    </row>
    <row r="255" customFormat="false" ht="25.35" hidden="false" customHeight="false" outlineLevel="0" collapsed="false">
      <c r="A255" s="4" t="s">
        <v>1230</v>
      </c>
      <c r="B255" s="4" t="s">
        <v>1088</v>
      </c>
      <c r="C255" s="4" t="s">
        <v>1234</v>
      </c>
      <c r="D255" s="4"/>
      <c r="E255" s="4" t="s">
        <v>786</v>
      </c>
      <c r="F255" s="4" t="s">
        <v>659</v>
      </c>
      <c r="G255" s="4" t="s">
        <v>1078</v>
      </c>
    </row>
    <row r="256" customFormat="false" ht="15" hidden="false" customHeight="false" outlineLevel="0" collapsed="false">
      <c r="A256" s="4" t="s">
        <v>1230</v>
      </c>
      <c r="B256" s="4" t="s">
        <v>1090</v>
      </c>
      <c r="C256" s="4" t="s">
        <v>1235</v>
      </c>
      <c r="D256" s="4"/>
      <c r="E256" s="4" t="s">
        <v>786</v>
      </c>
      <c r="F256" s="4" t="s">
        <v>659</v>
      </c>
      <c r="G256" s="4" t="s">
        <v>1078</v>
      </c>
    </row>
    <row r="257" customFormat="false" ht="25.35" hidden="false" customHeight="false" outlineLevel="0" collapsed="false">
      <c r="A257" s="4" t="s">
        <v>1230</v>
      </c>
      <c r="B257" s="4" t="s">
        <v>1182</v>
      </c>
      <c r="C257" s="4" t="s">
        <v>1236</v>
      </c>
      <c r="D257" s="4"/>
      <c r="E257" s="4" t="s">
        <v>786</v>
      </c>
      <c r="F257" s="4" t="s">
        <v>659</v>
      </c>
      <c r="G257" s="4" t="s">
        <v>1078</v>
      </c>
    </row>
    <row r="258" customFormat="false" ht="15" hidden="false" customHeight="false" outlineLevel="0" collapsed="false">
      <c r="A258" s="4" t="s">
        <v>1237</v>
      </c>
      <c r="B258" s="4" t="s">
        <v>1076</v>
      </c>
      <c r="C258" s="4" t="s">
        <v>1077</v>
      </c>
      <c r="D258" s="4"/>
      <c r="E258" s="4" t="s">
        <v>790</v>
      </c>
      <c r="F258" s="4" t="s">
        <v>659</v>
      </c>
      <c r="G258" s="4" t="s">
        <v>1078</v>
      </c>
    </row>
    <row r="259" customFormat="false" ht="15" hidden="false" customHeight="false" outlineLevel="0" collapsed="false">
      <c r="A259" s="4" t="s">
        <v>1237</v>
      </c>
      <c r="B259" s="4" t="s">
        <v>1079</v>
      </c>
      <c r="C259" s="4" t="s">
        <v>774</v>
      </c>
      <c r="D259" s="4"/>
      <c r="E259" s="4" t="s">
        <v>790</v>
      </c>
      <c r="F259" s="4" t="s">
        <v>659</v>
      </c>
      <c r="G259" s="4" t="s">
        <v>1078</v>
      </c>
    </row>
    <row r="260" customFormat="false" ht="15" hidden="false" customHeight="false" outlineLevel="0" collapsed="false">
      <c r="A260" s="4" t="s">
        <v>1237</v>
      </c>
      <c r="B260" s="4" t="s">
        <v>1080</v>
      </c>
      <c r="C260" s="4" t="s">
        <v>722</v>
      </c>
      <c r="D260" s="4"/>
      <c r="E260" s="4" t="s">
        <v>790</v>
      </c>
      <c r="F260" s="4" t="s">
        <v>659</v>
      </c>
      <c r="G260" s="4" t="s">
        <v>1078</v>
      </c>
    </row>
    <row r="261" customFormat="false" ht="15" hidden="false" customHeight="false" outlineLevel="0" collapsed="false">
      <c r="A261" s="4" t="s">
        <v>1237</v>
      </c>
      <c r="B261" s="4" t="s">
        <v>1081</v>
      </c>
      <c r="C261" s="4" t="s">
        <v>915</v>
      </c>
      <c r="D261" s="4"/>
      <c r="E261" s="4" t="s">
        <v>790</v>
      </c>
      <c r="F261" s="4" t="s">
        <v>659</v>
      </c>
      <c r="G261" s="4" t="s">
        <v>1078</v>
      </c>
    </row>
    <row r="262" customFormat="false" ht="25.35" hidden="false" customHeight="false" outlineLevel="0" collapsed="false">
      <c r="A262" s="4" t="s">
        <v>1237</v>
      </c>
      <c r="B262" s="4" t="s">
        <v>1082</v>
      </c>
      <c r="C262" s="4" t="s">
        <v>1238</v>
      </c>
      <c r="D262" s="4"/>
      <c r="E262" s="4" t="s">
        <v>790</v>
      </c>
      <c r="F262" s="4" t="s">
        <v>659</v>
      </c>
      <c r="G262" s="4" t="s">
        <v>1078</v>
      </c>
    </row>
    <row r="263" customFormat="false" ht="25.35" hidden="false" customHeight="false" outlineLevel="0" collapsed="false">
      <c r="A263" s="4" t="s">
        <v>1237</v>
      </c>
      <c r="B263" s="4" t="s">
        <v>1084</v>
      </c>
      <c r="C263" s="4" t="s">
        <v>1239</v>
      </c>
      <c r="D263" s="4"/>
      <c r="E263" s="4" t="s">
        <v>790</v>
      </c>
      <c r="F263" s="4" t="s">
        <v>659</v>
      </c>
      <c r="G263" s="4" t="s">
        <v>1078</v>
      </c>
    </row>
    <row r="264" customFormat="false" ht="15" hidden="false" customHeight="false" outlineLevel="0" collapsed="false">
      <c r="A264" s="4" t="s">
        <v>1237</v>
      </c>
      <c r="B264" s="4" t="s">
        <v>1086</v>
      </c>
      <c r="C264" s="4" t="s">
        <v>1240</v>
      </c>
      <c r="D264" s="4"/>
      <c r="E264" s="4" t="s">
        <v>790</v>
      </c>
      <c r="F264" s="4" t="s">
        <v>659</v>
      </c>
      <c r="G264" s="4" t="s">
        <v>1078</v>
      </c>
    </row>
    <row r="265" customFormat="false" ht="25.35" hidden="false" customHeight="false" outlineLevel="0" collapsed="false">
      <c r="A265" s="4" t="s">
        <v>1237</v>
      </c>
      <c r="B265" s="4" t="s">
        <v>1088</v>
      </c>
      <c r="C265" s="4" t="s">
        <v>1241</v>
      </c>
      <c r="D265" s="4"/>
      <c r="E265" s="4" t="s">
        <v>790</v>
      </c>
      <c r="F265" s="4" t="s">
        <v>659</v>
      </c>
      <c r="G265" s="4" t="s">
        <v>1078</v>
      </c>
    </row>
    <row r="266" customFormat="false" ht="15" hidden="false" customHeight="false" outlineLevel="0" collapsed="false">
      <c r="A266" s="4" t="s">
        <v>1237</v>
      </c>
      <c r="B266" s="4" t="s">
        <v>1090</v>
      </c>
      <c r="C266" s="4" t="s">
        <v>1242</v>
      </c>
      <c r="D266" s="4"/>
      <c r="E266" s="4" t="s">
        <v>790</v>
      </c>
      <c r="F266" s="4" t="s">
        <v>659</v>
      </c>
      <c r="G266" s="4" t="s">
        <v>1078</v>
      </c>
    </row>
    <row r="267" customFormat="false" ht="25.35" hidden="false" customHeight="false" outlineLevel="0" collapsed="false">
      <c r="A267" s="4" t="s">
        <v>1237</v>
      </c>
      <c r="B267" s="4" t="s">
        <v>1182</v>
      </c>
      <c r="C267" s="4" t="s">
        <v>1243</v>
      </c>
      <c r="D267" s="4"/>
      <c r="E267" s="4" t="s">
        <v>790</v>
      </c>
      <c r="F267" s="4" t="s">
        <v>659</v>
      </c>
      <c r="G267" s="4" t="s">
        <v>1078</v>
      </c>
    </row>
    <row r="268" customFormat="false" ht="15" hidden="false" customHeight="false" outlineLevel="0" collapsed="false">
      <c r="A268" s="4" t="s">
        <v>1244</v>
      </c>
      <c r="B268" s="4" t="s">
        <v>1076</v>
      </c>
      <c r="C268" s="4" t="s">
        <v>1077</v>
      </c>
      <c r="D268" s="4"/>
      <c r="E268" s="4" t="s">
        <v>794</v>
      </c>
      <c r="F268" s="4" t="s">
        <v>659</v>
      </c>
      <c r="G268" s="4" t="s">
        <v>1078</v>
      </c>
    </row>
    <row r="269" customFormat="false" ht="15" hidden="false" customHeight="false" outlineLevel="0" collapsed="false">
      <c r="A269" s="4" t="s">
        <v>1244</v>
      </c>
      <c r="B269" s="4" t="s">
        <v>1079</v>
      </c>
      <c r="C269" s="4" t="s">
        <v>774</v>
      </c>
      <c r="D269" s="4"/>
      <c r="E269" s="4" t="s">
        <v>794</v>
      </c>
      <c r="F269" s="4" t="s">
        <v>659</v>
      </c>
      <c r="G269" s="4" t="s">
        <v>1078</v>
      </c>
    </row>
    <row r="270" customFormat="false" ht="15" hidden="false" customHeight="false" outlineLevel="0" collapsed="false">
      <c r="A270" s="4" t="s">
        <v>1244</v>
      </c>
      <c r="B270" s="4" t="s">
        <v>1080</v>
      </c>
      <c r="C270" s="4" t="s">
        <v>739</v>
      </c>
      <c r="D270" s="4"/>
      <c r="E270" s="4" t="s">
        <v>794</v>
      </c>
      <c r="F270" s="4" t="s">
        <v>659</v>
      </c>
      <c r="G270" s="4" t="s">
        <v>1078</v>
      </c>
    </row>
    <row r="271" customFormat="false" ht="15" hidden="false" customHeight="false" outlineLevel="0" collapsed="false">
      <c r="A271" s="4" t="s">
        <v>1244</v>
      </c>
      <c r="B271" s="4" t="s">
        <v>1081</v>
      </c>
      <c r="C271" s="4" t="s">
        <v>915</v>
      </c>
      <c r="D271" s="4"/>
      <c r="E271" s="4" t="s">
        <v>794</v>
      </c>
      <c r="F271" s="4" t="s">
        <v>659</v>
      </c>
      <c r="G271" s="4" t="s">
        <v>1078</v>
      </c>
    </row>
    <row r="272" customFormat="false" ht="25.35" hidden="false" customHeight="false" outlineLevel="0" collapsed="false">
      <c r="A272" s="4" t="s">
        <v>1244</v>
      </c>
      <c r="B272" s="4" t="s">
        <v>1082</v>
      </c>
      <c r="C272" s="4" t="s">
        <v>1245</v>
      </c>
      <c r="D272" s="4"/>
      <c r="E272" s="4" t="s">
        <v>794</v>
      </c>
      <c r="F272" s="4" t="s">
        <v>659</v>
      </c>
      <c r="G272" s="4" t="s">
        <v>1078</v>
      </c>
    </row>
    <row r="273" customFormat="false" ht="25.35" hidden="false" customHeight="false" outlineLevel="0" collapsed="false">
      <c r="A273" s="4" t="s">
        <v>1244</v>
      </c>
      <c r="B273" s="4" t="s">
        <v>1084</v>
      </c>
      <c r="C273" s="4" t="s">
        <v>1246</v>
      </c>
      <c r="D273" s="4"/>
      <c r="E273" s="4" t="s">
        <v>794</v>
      </c>
      <c r="F273" s="4" t="s">
        <v>659</v>
      </c>
      <c r="G273" s="4" t="s">
        <v>1078</v>
      </c>
    </row>
    <row r="274" customFormat="false" ht="15" hidden="false" customHeight="false" outlineLevel="0" collapsed="false">
      <c r="A274" s="4" t="s">
        <v>1244</v>
      </c>
      <c r="B274" s="4" t="s">
        <v>1086</v>
      </c>
      <c r="C274" s="4" t="s">
        <v>1247</v>
      </c>
      <c r="D274" s="4"/>
      <c r="E274" s="4" t="s">
        <v>794</v>
      </c>
      <c r="F274" s="4" t="s">
        <v>659</v>
      </c>
      <c r="G274" s="4" t="s">
        <v>1078</v>
      </c>
    </row>
    <row r="275" customFormat="false" ht="25.35" hidden="false" customHeight="false" outlineLevel="0" collapsed="false">
      <c r="A275" s="4" t="s">
        <v>1244</v>
      </c>
      <c r="B275" s="4" t="s">
        <v>1088</v>
      </c>
      <c r="C275" s="4" t="s">
        <v>1248</v>
      </c>
      <c r="D275" s="4"/>
      <c r="E275" s="4" t="s">
        <v>794</v>
      </c>
      <c r="F275" s="4" t="s">
        <v>659</v>
      </c>
      <c r="G275" s="4" t="s">
        <v>1078</v>
      </c>
    </row>
    <row r="276" customFormat="false" ht="15" hidden="false" customHeight="false" outlineLevel="0" collapsed="false">
      <c r="A276" s="4" t="s">
        <v>1244</v>
      </c>
      <c r="B276" s="4" t="s">
        <v>1090</v>
      </c>
      <c r="C276" s="4" t="s">
        <v>1249</v>
      </c>
      <c r="D276" s="4"/>
      <c r="E276" s="4" t="s">
        <v>794</v>
      </c>
      <c r="F276" s="4" t="s">
        <v>659</v>
      </c>
      <c r="G276" s="4" t="s">
        <v>1078</v>
      </c>
    </row>
    <row r="277" customFormat="false" ht="25.35" hidden="false" customHeight="false" outlineLevel="0" collapsed="false">
      <c r="A277" s="4" t="s">
        <v>1244</v>
      </c>
      <c r="B277" s="4" t="s">
        <v>1182</v>
      </c>
      <c r="C277" s="4" t="s">
        <v>1250</v>
      </c>
      <c r="D277" s="4"/>
      <c r="E277" s="4" t="s">
        <v>794</v>
      </c>
      <c r="F277" s="4" t="s">
        <v>659</v>
      </c>
      <c r="G277" s="4" t="s">
        <v>1078</v>
      </c>
    </row>
    <row r="278" customFormat="false" ht="15" hidden="false" customHeight="false" outlineLevel="0" collapsed="false">
      <c r="A278" s="4" t="s">
        <v>1251</v>
      </c>
      <c r="B278" s="4" t="s">
        <v>1076</v>
      </c>
      <c r="C278" s="4" t="s">
        <v>1077</v>
      </c>
      <c r="D278" s="4"/>
      <c r="E278" s="4" t="s">
        <v>449</v>
      </c>
      <c r="F278" s="4" t="s">
        <v>659</v>
      </c>
      <c r="G278" s="4" t="s">
        <v>1078</v>
      </c>
    </row>
    <row r="279" customFormat="false" ht="15" hidden="false" customHeight="false" outlineLevel="0" collapsed="false">
      <c r="A279" s="4" t="s">
        <v>1251</v>
      </c>
      <c r="B279" s="4" t="s">
        <v>1079</v>
      </c>
      <c r="C279" s="4" t="s">
        <v>799</v>
      </c>
      <c r="D279" s="4"/>
      <c r="E279" s="4" t="s">
        <v>449</v>
      </c>
      <c r="F279" s="4" t="s">
        <v>659</v>
      </c>
      <c r="G279" s="4" t="s">
        <v>1078</v>
      </c>
    </row>
    <row r="280" customFormat="false" ht="15" hidden="false" customHeight="false" outlineLevel="0" collapsed="false">
      <c r="A280" s="4" t="s">
        <v>1251</v>
      </c>
      <c r="B280" s="4" t="s">
        <v>1080</v>
      </c>
      <c r="C280" s="4" t="s">
        <v>800</v>
      </c>
      <c r="D280" s="4"/>
      <c r="E280" s="4" t="s">
        <v>449</v>
      </c>
      <c r="F280" s="4" t="s">
        <v>659</v>
      </c>
      <c r="G280" s="4" t="s">
        <v>1078</v>
      </c>
    </row>
    <row r="281" customFormat="false" ht="15" hidden="false" customHeight="false" outlineLevel="0" collapsed="false">
      <c r="A281" s="4" t="s">
        <v>1251</v>
      </c>
      <c r="B281" s="4" t="s">
        <v>1081</v>
      </c>
      <c r="C281" s="4" t="s">
        <v>941</v>
      </c>
      <c r="D281" s="4"/>
      <c r="E281" s="4" t="s">
        <v>449</v>
      </c>
      <c r="F281" s="4" t="s">
        <v>659</v>
      </c>
      <c r="G281" s="4" t="s">
        <v>1078</v>
      </c>
    </row>
    <row r="282" customFormat="false" ht="25.35" hidden="false" customHeight="false" outlineLevel="0" collapsed="false">
      <c r="A282" s="4" t="s">
        <v>1251</v>
      </c>
      <c r="B282" s="4" t="s">
        <v>1082</v>
      </c>
      <c r="C282" s="4" t="s">
        <v>1252</v>
      </c>
      <c r="D282" s="4"/>
      <c r="E282" s="4" t="s">
        <v>449</v>
      </c>
      <c r="F282" s="4" t="s">
        <v>659</v>
      </c>
      <c r="G282" s="4" t="s">
        <v>1078</v>
      </c>
    </row>
    <row r="283" customFormat="false" ht="25.35" hidden="false" customHeight="false" outlineLevel="0" collapsed="false">
      <c r="A283" s="4" t="s">
        <v>1251</v>
      </c>
      <c r="B283" s="4" t="s">
        <v>1084</v>
      </c>
      <c r="C283" s="4" t="s">
        <v>1253</v>
      </c>
      <c r="D283" s="4"/>
      <c r="E283" s="4" t="s">
        <v>449</v>
      </c>
      <c r="F283" s="4" t="s">
        <v>659</v>
      </c>
      <c r="G283" s="4" t="s">
        <v>1078</v>
      </c>
    </row>
    <row r="284" customFormat="false" ht="15" hidden="false" customHeight="false" outlineLevel="0" collapsed="false">
      <c r="A284" s="4" t="s">
        <v>1251</v>
      </c>
      <c r="B284" s="4" t="s">
        <v>1086</v>
      </c>
      <c r="C284" s="4" t="s">
        <v>1254</v>
      </c>
      <c r="D284" s="4"/>
      <c r="E284" s="4" t="s">
        <v>449</v>
      </c>
      <c r="F284" s="4" t="s">
        <v>659</v>
      </c>
      <c r="G284" s="4" t="s">
        <v>1078</v>
      </c>
    </row>
    <row r="285" customFormat="false" ht="25.35" hidden="false" customHeight="false" outlineLevel="0" collapsed="false">
      <c r="A285" s="4" t="s">
        <v>1251</v>
      </c>
      <c r="B285" s="4" t="s">
        <v>1088</v>
      </c>
      <c r="C285" s="4" t="s">
        <v>1255</v>
      </c>
      <c r="D285" s="4"/>
      <c r="E285" s="4" t="s">
        <v>449</v>
      </c>
      <c r="F285" s="4" t="s">
        <v>659</v>
      </c>
      <c r="G285" s="4" t="s">
        <v>1078</v>
      </c>
    </row>
    <row r="286" customFormat="false" ht="15" hidden="false" customHeight="false" outlineLevel="0" collapsed="false">
      <c r="A286" s="4" t="s">
        <v>1251</v>
      </c>
      <c r="B286" s="4" t="s">
        <v>1090</v>
      </c>
      <c r="C286" s="4" t="s">
        <v>1256</v>
      </c>
      <c r="D286" s="4"/>
      <c r="E286" s="4" t="s">
        <v>449</v>
      </c>
      <c r="F286" s="4" t="s">
        <v>659</v>
      </c>
      <c r="G286" s="4" t="s">
        <v>1078</v>
      </c>
    </row>
    <row r="287" customFormat="false" ht="15" hidden="false" customHeight="false" outlineLevel="0" collapsed="false">
      <c r="A287" s="4" t="s">
        <v>1257</v>
      </c>
      <c r="B287" s="4" t="s">
        <v>1076</v>
      </c>
      <c r="C287" s="4" t="s">
        <v>1077</v>
      </c>
      <c r="D287" s="4"/>
      <c r="E287" s="4" t="s">
        <v>453</v>
      </c>
      <c r="F287" s="4" t="s">
        <v>659</v>
      </c>
      <c r="G287" s="4" t="s">
        <v>1078</v>
      </c>
    </row>
    <row r="288" customFormat="false" ht="15" hidden="false" customHeight="false" outlineLevel="0" collapsed="false">
      <c r="A288" s="4" t="s">
        <v>1257</v>
      </c>
      <c r="B288" s="4" t="s">
        <v>1079</v>
      </c>
      <c r="C288" s="4" t="s">
        <v>800</v>
      </c>
      <c r="D288" s="4"/>
      <c r="E288" s="4" t="s">
        <v>453</v>
      </c>
      <c r="F288" s="4" t="s">
        <v>659</v>
      </c>
      <c r="G288" s="4" t="s">
        <v>1078</v>
      </c>
    </row>
    <row r="289" customFormat="false" ht="15" hidden="false" customHeight="false" outlineLevel="0" collapsed="false">
      <c r="A289" s="4" t="s">
        <v>1257</v>
      </c>
      <c r="B289" s="4" t="s">
        <v>1080</v>
      </c>
      <c r="C289" s="4" t="s">
        <v>806</v>
      </c>
      <c r="D289" s="4"/>
      <c r="E289" s="4" t="s">
        <v>453</v>
      </c>
      <c r="F289" s="4" t="s">
        <v>659</v>
      </c>
      <c r="G289" s="4" t="s">
        <v>1078</v>
      </c>
    </row>
    <row r="290" customFormat="false" ht="15" hidden="false" customHeight="false" outlineLevel="0" collapsed="false">
      <c r="A290" s="4" t="s">
        <v>1257</v>
      </c>
      <c r="B290" s="4" t="s">
        <v>1081</v>
      </c>
      <c r="C290" s="4" t="s">
        <v>869</v>
      </c>
      <c r="D290" s="4"/>
      <c r="E290" s="4" t="s">
        <v>453</v>
      </c>
      <c r="F290" s="4" t="s">
        <v>659</v>
      </c>
      <c r="G290" s="4" t="s">
        <v>1078</v>
      </c>
    </row>
    <row r="291" customFormat="false" ht="25.35" hidden="false" customHeight="false" outlineLevel="0" collapsed="false">
      <c r="A291" s="4" t="s">
        <v>1257</v>
      </c>
      <c r="B291" s="4" t="s">
        <v>1082</v>
      </c>
      <c r="C291" s="4" t="s">
        <v>1258</v>
      </c>
      <c r="D291" s="4"/>
      <c r="E291" s="4" t="s">
        <v>453</v>
      </c>
      <c r="F291" s="4" t="s">
        <v>659</v>
      </c>
      <c r="G291" s="4" t="s">
        <v>1078</v>
      </c>
    </row>
    <row r="292" customFormat="false" ht="25.35" hidden="false" customHeight="false" outlineLevel="0" collapsed="false">
      <c r="A292" s="4" t="s">
        <v>1257</v>
      </c>
      <c r="B292" s="4" t="s">
        <v>1084</v>
      </c>
      <c r="C292" s="4" t="s">
        <v>1259</v>
      </c>
      <c r="D292" s="4"/>
      <c r="E292" s="4" t="s">
        <v>453</v>
      </c>
      <c r="F292" s="4" t="s">
        <v>659</v>
      </c>
      <c r="G292" s="4" t="s">
        <v>1078</v>
      </c>
    </row>
    <row r="293" customFormat="false" ht="15" hidden="false" customHeight="false" outlineLevel="0" collapsed="false">
      <c r="A293" s="4" t="s">
        <v>1257</v>
      </c>
      <c r="B293" s="4" t="s">
        <v>1086</v>
      </c>
      <c r="C293" s="4" t="s">
        <v>1260</v>
      </c>
      <c r="D293" s="4"/>
      <c r="E293" s="4" t="s">
        <v>453</v>
      </c>
      <c r="F293" s="4" t="s">
        <v>659</v>
      </c>
      <c r="G293" s="4" t="s">
        <v>1078</v>
      </c>
    </row>
    <row r="294" customFormat="false" ht="25.35" hidden="false" customHeight="false" outlineLevel="0" collapsed="false">
      <c r="A294" s="4" t="s">
        <v>1257</v>
      </c>
      <c r="B294" s="4" t="s">
        <v>1088</v>
      </c>
      <c r="C294" s="4" t="s">
        <v>1261</v>
      </c>
      <c r="D294" s="4"/>
      <c r="E294" s="4" t="s">
        <v>453</v>
      </c>
      <c r="F294" s="4" t="s">
        <v>659</v>
      </c>
      <c r="G294" s="4" t="s">
        <v>1078</v>
      </c>
    </row>
    <row r="295" customFormat="false" ht="15" hidden="false" customHeight="false" outlineLevel="0" collapsed="false">
      <c r="A295" s="4" t="s">
        <v>1257</v>
      </c>
      <c r="B295" s="4" t="s">
        <v>1090</v>
      </c>
      <c r="C295" s="4" t="s">
        <v>1262</v>
      </c>
      <c r="D295" s="4"/>
      <c r="E295" s="4" t="s">
        <v>453</v>
      </c>
      <c r="F295" s="4" t="s">
        <v>659</v>
      </c>
      <c r="G295" s="4" t="s">
        <v>1078</v>
      </c>
    </row>
    <row r="296" customFormat="false" ht="15" hidden="false" customHeight="false" outlineLevel="0" collapsed="false">
      <c r="A296" s="4" t="s">
        <v>1263</v>
      </c>
      <c r="B296" s="4" t="s">
        <v>1076</v>
      </c>
      <c r="C296" s="4" t="s">
        <v>1077</v>
      </c>
      <c r="D296" s="4"/>
      <c r="E296" s="4" t="s">
        <v>462</v>
      </c>
      <c r="F296" s="4" t="s">
        <v>714</v>
      </c>
      <c r="G296" s="4" t="s">
        <v>1078</v>
      </c>
    </row>
    <row r="297" customFormat="false" ht="15" hidden="false" customHeight="false" outlineLevel="0" collapsed="false">
      <c r="A297" s="4" t="s">
        <v>1263</v>
      </c>
      <c r="B297" s="4" t="s">
        <v>1079</v>
      </c>
      <c r="C297" s="4" t="s">
        <v>806</v>
      </c>
      <c r="D297" s="4"/>
      <c r="E297" s="4" t="s">
        <v>462</v>
      </c>
      <c r="F297" s="4" t="s">
        <v>714</v>
      </c>
      <c r="G297" s="4" t="s">
        <v>1078</v>
      </c>
    </row>
    <row r="298" customFormat="false" ht="15" hidden="false" customHeight="false" outlineLevel="0" collapsed="false">
      <c r="A298" s="4" t="s">
        <v>1263</v>
      </c>
      <c r="B298" s="4" t="s">
        <v>1080</v>
      </c>
      <c r="C298" s="4" t="s">
        <v>810</v>
      </c>
      <c r="D298" s="4"/>
      <c r="E298" s="4" t="s">
        <v>462</v>
      </c>
      <c r="F298" s="4" t="s">
        <v>714</v>
      </c>
      <c r="G298" s="4" t="s">
        <v>1078</v>
      </c>
    </row>
    <row r="299" customFormat="false" ht="15" hidden="false" customHeight="false" outlineLevel="0" collapsed="false">
      <c r="A299" s="4" t="s">
        <v>1263</v>
      </c>
      <c r="B299" s="4" t="s">
        <v>1081</v>
      </c>
      <c r="C299" s="4" t="s">
        <v>885</v>
      </c>
      <c r="D299" s="4"/>
      <c r="E299" s="4" t="s">
        <v>462</v>
      </c>
      <c r="F299" s="4" t="s">
        <v>714</v>
      </c>
      <c r="G299" s="4" t="s">
        <v>1078</v>
      </c>
    </row>
    <row r="300" customFormat="false" ht="25.35" hidden="false" customHeight="false" outlineLevel="0" collapsed="false">
      <c r="A300" s="4" t="s">
        <v>1263</v>
      </c>
      <c r="B300" s="4" t="s">
        <v>1082</v>
      </c>
      <c r="C300" s="4" t="s">
        <v>1264</v>
      </c>
      <c r="D300" s="4"/>
      <c r="E300" s="4" t="s">
        <v>462</v>
      </c>
      <c r="F300" s="4" t="s">
        <v>714</v>
      </c>
      <c r="G300" s="4" t="s">
        <v>1078</v>
      </c>
    </row>
    <row r="301" customFormat="false" ht="25.35" hidden="false" customHeight="false" outlineLevel="0" collapsed="false">
      <c r="A301" s="4" t="s">
        <v>1263</v>
      </c>
      <c r="B301" s="4" t="s">
        <v>1084</v>
      </c>
      <c r="C301" s="4" t="s">
        <v>1265</v>
      </c>
      <c r="D301" s="4"/>
      <c r="E301" s="4" t="s">
        <v>462</v>
      </c>
      <c r="F301" s="4" t="s">
        <v>714</v>
      </c>
      <c r="G301" s="4" t="s">
        <v>1078</v>
      </c>
    </row>
    <row r="302" customFormat="false" ht="15" hidden="false" customHeight="false" outlineLevel="0" collapsed="false">
      <c r="A302" s="4" t="s">
        <v>1263</v>
      </c>
      <c r="B302" s="4" t="s">
        <v>1086</v>
      </c>
      <c r="C302" s="4" t="s">
        <v>1266</v>
      </c>
      <c r="D302" s="4"/>
      <c r="E302" s="4" t="s">
        <v>462</v>
      </c>
      <c r="F302" s="4" t="s">
        <v>714</v>
      </c>
      <c r="G302" s="4" t="s">
        <v>1078</v>
      </c>
    </row>
    <row r="303" customFormat="false" ht="25.35" hidden="false" customHeight="false" outlineLevel="0" collapsed="false">
      <c r="A303" s="4" t="s">
        <v>1263</v>
      </c>
      <c r="B303" s="4" t="s">
        <v>1088</v>
      </c>
      <c r="C303" s="4" t="s">
        <v>1267</v>
      </c>
      <c r="D303" s="4"/>
      <c r="E303" s="4" t="s">
        <v>462</v>
      </c>
      <c r="F303" s="4" t="s">
        <v>714</v>
      </c>
      <c r="G303" s="4" t="s">
        <v>1078</v>
      </c>
    </row>
    <row r="304" customFormat="false" ht="15" hidden="false" customHeight="false" outlineLevel="0" collapsed="false">
      <c r="A304" s="4" t="s">
        <v>1263</v>
      </c>
      <c r="B304" s="4" t="s">
        <v>1090</v>
      </c>
      <c r="C304" s="4" t="s">
        <v>1268</v>
      </c>
      <c r="D304" s="4"/>
      <c r="E304" s="4" t="s">
        <v>462</v>
      </c>
      <c r="F304" s="4" t="s">
        <v>714</v>
      </c>
      <c r="G304" s="4" t="s">
        <v>1078</v>
      </c>
    </row>
    <row r="305" customFormat="false" ht="15" hidden="false" customHeight="false" outlineLevel="0" collapsed="false">
      <c r="A305" s="4" t="s">
        <v>1269</v>
      </c>
      <c r="B305" s="4" t="s">
        <v>1076</v>
      </c>
      <c r="C305" s="4" t="s">
        <v>1077</v>
      </c>
      <c r="D305" s="4"/>
      <c r="E305" s="4" t="s">
        <v>815</v>
      </c>
      <c r="F305" s="4" t="s">
        <v>659</v>
      </c>
      <c r="G305" s="4" t="s">
        <v>1078</v>
      </c>
    </row>
    <row r="306" customFormat="false" ht="15" hidden="false" customHeight="false" outlineLevel="0" collapsed="false">
      <c r="A306" s="4" t="s">
        <v>1269</v>
      </c>
      <c r="B306" s="4" t="s">
        <v>1079</v>
      </c>
      <c r="C306" s="4" t="s">
        <v>705</v>
      </c>
      <c r="D306" s="4"/>
      <c r="E306" s="4" t="s">
        <v>815</v>
      </c>
      <c r="F306" s="4" t="s">
        <v>659</v>
      </c>
      <c r="G306" s="4" t="s">
        <v>1078</v>
      </c>
    </row>
    <row r="307" customFormat="false" ht="15" hidden="false" customHeight="false" outlineLevel="0" collapsed="false">
      <c r="A307" s="4" t="s">
        <v>1269</v>
      </c>
      <c r="B307" s="4" t="s">
        <v>1080</v>
      </c>
      <c r="C307" s="4" t="s">
        <v>799</v>
      </c>
      <c r="D307" s="4"/>
      <c r="E307" s="4" t="s">
        <v>815</v>
      </c>
      <c r="F307" s="4" t="s">
        <v>659</v>
      </c>
      <c r="G307" s="4" t="s">
        <v>1078</v>
      </c>
    </row>
    <row r="308" customFormat="false" ht="15" hidden="false" customHeight="false" outlineLevel="0" collapsed="false">
      <c r="A308" s="4" t="s">
        <v>1269</v>
      </c>
      <c r="B308" s="4" t="s">
        <v>1081</v>
      </c>
      <c r="C308" s="4" t="s">
        <v>928</v>
      </c>
      <c r="D308" s="4"/>
      <c r="E308" s="4" t="s">
        <v>815</v>
      </c>
      <c r="F308" s="4" t="s">
        <v>659</v>
      </c>
      <c r="G308" s="4" t="s">
        <v>1078</v>
      </c>
    </row>
    <row r="309" customFormat="false" ht="25.35" hidden="false" customHeight="false" outlineLevel="0" collapsed="false">
      <c r="A309" s="4" t="s">
        <v>1269</v>
      </c>
      <c r="B309" s="4" t="s">
        <v>1082</v>
      </c>
      <c r="C309" s="4" t="s">
        <v>1270</v>
      </c>
      <c r="D309" s="4"/>
      <c r="E309" s="4" t="s">
        <v>815</v>
      </c>
      <c r="F309" s="4" t="s">
        <v>659</v>
      </c>
      <c r="G309" s="4" t="s">
        <v>1078</v>
      </c>
    </row>
    <row r="310" customFormat="false" ht="25.35" hidden="false" customHeight="false" outlineLevel="0" collapsed="false">
      <c r="A310" s="4" t="s">
        <v>1269</v>
      </c>
      <c r="B310" s="4" t="s">
        <v>1084</v>
      </c>
      <c r="C310" s="4" t="s">
        <v>1271</v>
      </c>
      <c r="D310" s="4"/>
      <c r="E310" s="4" t="s">
        <v>815</v>
      </c>
      <c r="F310" s="4" t="s">
        <v>659</v>
      </c>
      <c r="G310" s="4" t="s">
        <v>1078</v>
      </c>
    </row>
    <row r="311" customFormat="false" ht="15" hidden="false" customHeight="false" outlineLevel="0" collapsed="false">
      <c r="A311" s="4" t="s">
        <v>1269</v>
      </c>
      <c r="B311" s="4" t="s">
        <v>1086</v>
      </c>
      <c r="C311" s="4" t="s">
        <v>1272</v>
      </c>
      <c r="D311" s="4"/>
      <c r="E311" s="4" t="s">
        <v>815</v>
      </c>
      <c r="F311" s="4" t="s">
        <v>659</v>
      </c>
      <c r="G311" s="4" t="s">
        <v>1078</v>
      </c>
    </row>
    <row r="312" customFormat="false" ht="25.35" hidden="false" customHeight="false" outlineLevel="0" collapsed="false">
      <c r="A312" s="4" t="s">
        <v>1269</v>
      </c>
      <c r="B312" s="4" t="s">
        <v>1088</v>
      </c>
      <c r="C312" s="4" t="s">
        <v>1273</v>
      </c>
      <c r="D312" s="4"/>
      <c r="E312" s="4" t="s">
        <v>815</v>
      </c>
      <c r="F312" s="4" t="s">
        <v>659</v>
      </c>
      <c r="G312" s="4" t="s">
        <v>1078</v>
      </c>
    </row>
    <row r="313" customFormat="false" ht="15" hidden="false" customHeight="false" outlineLevel="0" collapsed="false">
      <c r="A313" s="4" t="s">
        <v>1269</v>
      </c>
      <c r="B313" s="4" t="s">
        <v>1090</v>
      </c>
      <c r="C313" s="4" t="s">
        <v>1274</v>
      </c>
      <c r="D313" s="4"/>
      <c r="E313" s="4" t="s">
        <v>815</v>
      </c>
      <c r="F313" s="4" t="s">
        <v>659</v>
      </c>
      <c r="G313" s="4" t="s">
        <v>1078</v>
      </c>
    </row>
    <row r="314" customFormat="false" ht="15" hidden="false" customHeight="false" outlineLevel="0" collapsed="false">
      <c r="A314" s="4" t="s">
        <v>1275</v>
      </c>
      <c r="B314" s="4" t="s">
        <v>1076</v>
      </c>
      <c r="C314" s="4" t="s">
        <v>1077</v>
      </c>
      <c r="D314" s="4"/>
      <c r="E314" s="4" t="s">
        <v>457</v>
      </c>
      <c r="F314" s="4" t="s">
        <v>659</v>
      </c>
      <c r="G314" s="4" t="s">
        <v>1078</v>
      </c>
    </row>
    <row r="315" customFormat="false" ht="15" hidden="false" customHeight="false" outlineLevel="0" collapsed="false">
      <c r="A315" s="4" t="s">
        <v>1275</v>
      </c>
      <c r="B315" s="4" t="s">
        <v>1079</v>
      </c>
      <c r="C315" s="4" t="s">
        <v>705</v>
      </c>
      <c r="D315" s="4"/>
      <c r="E315" s="4" t="s">
        <v>457</v>
      </c>
      <c r="F315" s="4" t="s">
        <v>659</v>
      </c>
      <c r="G315" s="4" t="s">
        <v>1078</v>
      </c>
    </row>
    <row r="316" customFormat="false" ht="15" hidden="false" customHeight="false" outlineLevel="0" collapsed="false">
      <c r="A316" s="4" t="s">
        <v>1275</v>
      </c>
      <c r="B316" s="4" t="s">
        <v>1080</v>
      </c>
      <c r="C316" s="4" t="s">
        <v>821</v>
      </c>
      <c r="D316" s="4"/>
      <c r="E316" s="4" t="s">
        <v>457</v>
      </c>
      <c r="F316" s="4" t="s">
        <v>659</v>
      </c>
      <c r="G316" s="4" t="s">
        <v>1078</v>
      </c>
    </row>
    <row r="317" customFormat="false" ht="15" hidden="false" customHeight="false" outlineLevel="0" collapsed="false">
      <c r="A317" s="4" t="s">
        <v>1275</v>
      </c>
      <c r="B317" s="4" t="s">
        <v>1081</v>
      </c>
      <c r="C317" s="4" t="s">
        <v>928</v>
      </c>
      <c r="D317" s="4"/>
      <c r="E317" s="4" t="s">
        <v>457</v>
      </c>
      <c r="F317" s="4" t="s">
        <v>659</v>
      </c>
      <c r="G317" s="4" t="s">
        <v>1078</v>
      </c>
    </row>
    <row r="318" customFormat="false" ht="25.35" hidden="false" customHeight="false" outlineLevel="0" collapsed="false">
      <c r="A318" s="4" t="s">
        <v>1275</v>
      </c>
      <c r="B318" s="4" t="s">
        <v>1082</v>
      </c>
      <c r="C318" s="4" t="s">
        <v>1276</v>
      </c>
      <c r="D318" s="4"/>
      <c r="E318" s="4" t="s">
        <v>457</v>
      </c>
      <c r="F318" s="4" t="s">
        <v>659</v>
      </c>
      <c r="G318" s="4" t="s">
        <v>1078</v>
      </c>
    </row>
    <row r="319" customFormat="false" ht="25.35" hidden="false" customHeight="false" outlineLevel="0" collapsed="false">
      <c r="A319" s="4" t="s">
        <v>1275</v>
      </c>
      <c r="B319" s="4" t="s">
        <v>1084</v>
      </c>
      <c r="C319" s="4" t="s">
        <v>1277</v>
      </c>
      <c r="D319" s="4"/>
      <c r="E319" s="4" t="s">
        <v>457</v>
      </c>
      <c r="F319" s="4" t="s">
        <v>659</v>
      </c>
      <c r="G319" s="4" t="s">
        <v>1078</v>
      </c>
    </row>
    <row r="320" customFormat="false" ht="15" hidden="false" customHeight="false" outlineLevel="0" collapsed="false">
      <c r="A320" s="4" t="s">
        <v>1275</v>
      </c>
      <c r="B320" s="4" t="s">
        <v>1086</v>
      </c>
      <c r="C320" s="4" t="s">
        <v>1278</v>
      </c>
      <c r="D320" s="4"/>
      <c r="E320" s="4" t="s">
        <v>457</v>
      </c>
      <c r="F320" s="4" t="s">
        <v>659</v>
      </c>
      <c r="G320" s="4" t="s">
        <v>1078</v>
      </c>
    </row>
    <row r="321" customFormat="false" ht="25.35" hidden="false" customHeight="false" outlineLevel="0" collapsed="false">
      <c r="A321" s="4" t="s">
        <v>1275</v>
      </c>
      <c r="B321" s="4" t="s">
        <v>1088</v>
      </c>
      <c r="C321" s="4" t="s">
        <v>1279</v>
      </c>
      <c r="D321" s="4"/>
      <c r="E321" s="4" t="s">
        <v>457</v>
      </c>
      <c r="F321" s="4" t="s">
        <v>659</v>
      </c>
      <c r="G321" s="4" t="s">
        <v>1078</v>
      </c>
    </row>
    <row r="322" customFormat="false" ht="15" hidden="false" customHeight="false" outlineLevel="0" collapsed="false">
      <c r="A322" s="4" t="s">
        <v>1275</v>
      </c>
      <c r="B322" s="4" t="s">
        <v>1090</v>
      </c>
      <c r="C322" s="4" t="s">
        <v>1280</v>
      </c>
      <c r="D322" s="4"/>
      <c r="E322" s="4" t="s">
        <v>457</v>
      </c>
      <c r="F322" s="4" t="s">
        <v>659</v>
      </c>
      <c r="G322" s="4" t="s">
        <v>1078</v>
      </c>
    </row>
  </sheetData>
  <autoFilter ref="A4:G3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4" min="1" style="0" width="8"/>
  </cols>
  <sheetData>
    <row r="1" customFormat="false" ht="19.4" hidden="false" customHeight="false" outlineLevel="0" collapsed="false">
      <c r="A1" s="7" t="s">
        <v>1281</v>
      </c>
    </row>
    <row r="2" customFormat="false" ht="15" hidden="false" customHeight="false" outlineLevel="0" collapsed="false">
      <c r="A2" s="2" t="s">
        <v>1282</v>
      </c>
    </row>
    <row r="4" customFormat="false" ht="15" hidden="false" customHeight="false" outlineLevel="0" collapsed="false">
      <c r="B4" s="8" t="s">
        <v>806</v>
      </c>
      <c r="C4" s="8" t="s">
        <v>810</v>
      </c>
      <c r="D4" s="8" t="s">
        <v>656</v>
      </c>
      <c r="E4" s="8" t="s">
        <v>657</v>
      </c>
      <c r="F4" s="8" t="s">
        <v>667</v>
      </c>
      <c r="G4" s="8" t="s">
        <v>687</v>
      </c>
      <c r="H4" s="8" t="s">
        <v>697</v>
      </c>
      <c r="I4" s="8" t="s">
        <v>692</v>
      </c>
      <c r="J4" s="8" t="s">
        <v>722</v>
      </c>
      <c r="K4" s="8" t="s">
        <v>739</v>
      </c>
      <c r="L4" s="8" t="s">
        <v>752</v>
      </c>
      <c r="M4" s="8" t="s">
        <v>682</v>
      </c>
      <c r="N4" s="8" t="s">
        <v>677</v>
      </c>
      <c r="O4" s="8" t="s">
        <v>761</v>
      </c>
      <c r="P4" s="8" t="s">
        <v>762</v>
      </c>
      <c r="Q4" s="8" t="s">
        <v>774</v>
      </c>
      <c r="R4" s="8" t="s">
        <v>727</v>
      </c>
      <c r="S4" s="8" t="s">
        <v>733</v>
      </c>
      <c r="T4" s="8" t="s">
        <v>779</v>
      </c>
      <c r="U4" s="8" t="s">
        <v>705</v>
      </c>
      <c r="V4" s="8" t="s">
        <v>800</v>
      </c>
      <c r="W4" s="8" t="s">
        <v>821</v>
      </c>
      <c r="X4" s="8" t="s">
        <v>799</v>
      </c>
    </row>
    <row r="5" customFormat="false" ht="15" hidden="false" customHeight="false" outlineLevel="0" collapsed="false">
      <c r="A5" s="8" t="s">
        <v>806</v>
      </c>
      <c r="B5" s="27"/>
      <c r="C5" s="32" t="s">
        <v>462</v>
      </c>
      <c r="D5" s="27"/>
      <c r="E5" s="27"/>
      <c r="F5" s="27"/>
      <c r="G5" s="27"/>
      <c r="H5" s="27"/>
      <c r="I5" s="27"/>
      <c r="J5" s="27"/>
      <c r="K5" s="27"/>
      <c r="L5" s="27"/>
      <c r="M5" s="27"/>
      <c r="N5" s="27"/>
      <c r="O5" s="27"/>
      <c r="P5" s="27"/>
      <c r="Q5" s="27"/>
      <c r="R5" s="27"/>
      <c r="S5" s="27"/>
      <c r="T5" s="27"/>
      <c r="U5" s="27"/>
      <c r="V5" s="27"/>
      <c r="W5" s="27"/>
      <c r="X5" s="27"/>
    </row>
    <row r="6" customFormat="false" ht="15" hidden="false" customHeight="false" outlineLevel="0" collapsed="false">
      <c r="A6" s="8" t="s">
        <v>810</v>
      </c>
      <c r="B6" s="27"/>
      <c r="C6" s="27"/>
      <c r="D6" s="27"/>
      <c r="E6" s="27"/>
      <c r="F6" s="27"/>
      <c r="G6" s="27"/>
      <c r="H6" s="27"/>
      <c r="I6" s="27"/>
      <c r="J6" s="27"/>
      <c r="K6" s="27"/>
      <c r="L6" s="27"/>
      <c r="M6" s="27"/>
      <c r="N6" s="27"/>
      <c r="O6" s="27"/>
      <c r="P6" s="27"/>
      <c r="Q6" s="27"/>
      <c r="R6" s="27"/>
      <c r="S6" s="27"/>
      <c r="T6" s="27"/>
      <c r="U6" s="27"/>
      <c r="V6" s="27"/>
      <c r="W6" s="27"/>
      <c r="X6" s="27"/>
    </row>
    <row r="7" customFormat="false" ht="15" hidden="false" customHeight="false" outlineLevel="0" collapsed="false">
      <c r="A7" s="8" t="s">
        <v>656</v>
      </c>
      <c r="B7" s="27"/>
      <c r="C7" s="27"/>
      <c r="D7" s="27"/>
      <c r="E7" s="33" t="s">
        <v>653</v>
      </c>
      <c r="F7" s="33" t="s">
        <v>665</v>
      </c>
      <c r="G7" s="27"/>
      <c r="H7" s="27"/>
      <c r="I7" s="27"/>
      <c r="J7" s="27"/>
      <c r="K7" s="27"/>
      <c r="L7" s="27"/>
      <c r="M7" s="33" t="s">
        <v>680</v>
      </c>
      <c r="N7" s="33" t="s">
        <v>675</v>
      </c>
      <c r="O7" s="27"/>
      <c r="P7" s="27"/>
      <c r="Q7" s="27"/>
      <c r="R7" s="27"/>
      <c r="S7" s="27"/>
      <c r="T7" s="27"/>
      <c r="U7" s="27"/>
      <c r="V7" s="27"/>
      <c r="W7" s="27"/>
      <c r="X7" s="27"/>
    </row>
    <row r="8" customFormat="false" ht="15" hidden="false" customHeight="false" outlineLevel="0" collapsed="false">
      <c r="A8" s="8" t="s">
        <v>657</v>
      </c>
      <c r="B8" s="27"/>
      <c r="C8" s="27"/>
      <c r="D8" s="27"/>
      <c r="E8" s="27"/>
      <c r="F8" s="33" t="s">
        <v>373</v>
      </c>
      <c r="G8" s="33" t="s">
        <v>381</v>
      </c>
      <c r="H8" s="27"/>
      <c r="I8" s="27"/>
      <c r="J8" s="27"/>
      <c r="K8" s="27"/>
      <c r="L8" s="27"/>
      <c r="M8" s="27"/>
      <c r="N8" s="27"/>
      <c r="O8" s="27"/>
      <c r="P8" s="27"/>
      <c r="Q8" s="27"/>
      <c r="R8" s="27"/>
      <c r="S8" s="27"/>
      <c r="T8" s="27"/>
      <c r="U8" s="32" t="s">
        <v>573</v>
      </c>
      <c r="V8" s="27"/>
      <c r="W8" s="27"/>
      <c r="X8" s="27"/>
    </row>
    <row r="9" customFormat="false" ht="15" hidden="false" customHeight="false" outlineLevel="0" collapsed="false">
      <c r="A9" s="8" t="s">
        <v>667</v>
      </c>
      <c r="B9" s="27"/>
      <c r="C9" s="27"/>
      <c r="D9" s="27"/>
      <c r="E9" s="27"/>
      <c r="F9" s="27"/>
      <c r="G9" s="27"/>
      <c r="H9" s="33" t="s">
        <v>393</v>
      </c>
      <c r="I9" s="27"/>
      <c r="J9" s="27"/>
      <c r="K9" s="27"/>
      <c r="L9" s="27"/>
      <c r="M9" s="27"/>
      <c r="N9" s="27"/>
      <c r="O9" s="27"/>
      <c r="P9" s="27"/>
      <c r="Q9" s="27"/>
      <c r="R9" s="27"/>
      <c r="S9" s="27"/>
      <c r="T9" s="27"/>
      <c r="U9" s="27"/>
      <c r="V9" s="27"/>
      <c r="W9" s="27"/>
      <c r="X9" s="27"/>
    </row>
    <row r="10" customFormat="false" ht="15" hidden="false" customHeight="false" outlineLevel="0" collapsed="false">
      <c r="A10" s="8" t="s">
        <v>687</v>
      </c>
      <c r="B10" s="27"/>
      <c r="C10" s="27"/>
      <c r="D10" s="27"/>
      <c r="E10" s="27"/>
      <c r="F10" s="27"/>
      <c r="G10" s="27"/>
      <c r="H10" s="33" t="s">
        <v>389</v>
      </c>
      <c r="I10" s="33" t="s">
        <v>385</v>
      </c>
      <c r="J10" s="27"/>
      <c r="K10" s="27"/>
      <c r="L10" s="27"/>
      <c r="M10" s="27"/>
      <c r="N10" s="27"/>
      <c r="O10" s="27"/>
      <c r="P10" s="27"/>
      <c r="Q10" s="27"/>
      <c r="R10" s="27"/>
      <c r="S10" s="27"/>
      <c r="T10" s="27"/>
      <c r="U10" s="27"/>
      <c r="V10" s="27"/>
      <c r="W10" s="27"/>
      <c r="X10" s="27"/>
    </row>
    <row r="11" customFormat="false" ht="15" hidden="false" customHeight="false" outlineLevel="0" collapsed="false">
      <c r="A11" s="8" t="s">
        <v>697</v>
      </c>
      <c r="B11" s="27"/>
      <c r="C11" s="27"/>
      <c r="D11" s="27"/>
      <c r="E11" s="27"/>
      <c r="F11" s="27"/>
      <c r="G11" s="27"/>
      <c r="H11" s="27"/>
      <c r="I11" s="27"/>
      <c r="J11" s="34" t="s">
        <v>402</v>
      </c>
      <c r="K11" s="33" t="s">
        <v>737</v>
      </c>
      <c r="L11" s="32" t="s">
        <v>750</v>
      </c>
      <c r="M11" s="27"/>
      <c r="N11" s="27"/>
      <c r="O11" s="27"/>
      <c r="P11" s="27"/>
      <c r="Q11" s="27"/>
      <c r="R11" s="27"/>
      <c r="S11" s="27"/>
      <c r="T11" s="27"/>
      <c r="U11" s="27"/>
      <c r="V11" s="27"/>
      <c r="W11" s="27"/>
      <c r="X11" s="27"/>
    </row>
    <row r="12" customFormat="false" ht="15" hidden="false" customHeight="false" outlineLevel="0" collapsed="false">
      <c r="A12" s="8" t="s">
        <v>692</v>
      </c>
      <c r="B12" s="27"/>
      <c r="C12" s="27"/>
      <c r="D12" s="27"/>
      <c r="E12" s="27"/>
      <c r="F12" s="27"/>
      <c r="G12" s="27"/>
      <c r="H12" s="27"/>
      <c r="I12" s="27"/>
      <c r="J12" s="27"/>
      <c r="K12" s="27"/>
      <c r="L12" s="27"/>
      <c r="M12" s="27"/>
      <c r="N12" s="27"/>
      <c r="O12" s="27"/>
      <c r="P12" s="27"/>
      <c r="Q12" s="27"/>
      <c r="R12" s="27"/>
      <c r="S12" s="27"/>
      <c r="T12" s="27"/>
      <c r="U12" s="27"/>
      <c r="V12" s="27"/>
      <c r="W12" s="27"/>
      <c r="X12" s="27"/>
    </row>
    <row r="13" customFormat="false" ht="15" hidden="false" customHeight="false" outlineLevel="0" collapsed="false">
      <c r="A13" s="8" t="s">
        <v>722</v>
      </c>
      <c r="B13" s="27"/>
      <c r="C13" s="27"/>
      <c r="D13" s="27"/>
      <c r="E13" s="27"/>
      <c r="F13" s="27"/>
      <c r="G13" s="27"/>
      <c r="H13" s="27"/>
      <c r="I13" s="27"/>
      <c r="J13" s="27"/>
      <c r="K13" s="27"/>
      <c r="L13" s="27"/>
      <c r="M13" s="27"/>
      <c r="N13" s="27"/>
      <c r="O13" s="27"/>
      <c r="P13" s="27"/>
      <c r="Q13" s="33" t="s">
        <v>782</v>
      </c>
      <c r="R13" s="33" t="s">
        <v>725</v>
      </c>
      <c r="S13" s="33" t="s">
        <v>414</v>
      </c>
      <c r="T13" s="27"/>
      <c r="U13" s="27"/>
      <c r="V13" s="27"/>
      <c r="W13" s="27"/>
      <c r="X13" s="27"/>
    </row>
    <row r="14" customFormat="false" ht="15" hidden="false" customHeight="false" outlineLevel="0" collapsed="false">
      <c r="A14" s="8" t="s">
        <v>739</v>
      </c>
      <c r="B14" s="27"/>
      <c r="C14" s="27"/>
      <c r="D14" s="27"/>
      <c r="E14" s="27"/>
      <c r="F14" s="27"/>
      <c r="G14" s="27"/>
      <c r="H14" s="33" t="s">
        <v>743</v>
      </c>
      <c r="I14" s="27"/>
      <c r="J14" s="27"/>
      <c r="K14" s="27"/>
      <c r="L14" s="27"/>
      <c r="M14" s="27"/>
      <c r="N14" s="27"/>
      <c r="O14" s="27"/>
      <c r="P14" s="27"/>
      <c r="Q14" s="33" t="s">
        <v>786</v>
      </c>
      <c r="R14" s="27"/>
      <c r="S14" s="27"/>
      <c r="T14" s="27"/>
      <c r="U14" s="27"/>
      <c r="V14" s="27"/>
      <c r="W14" s="27"/>
      <c r="X14" s="27"/>
    </row>
    <row r="15" customFormat="false" ht="15" hidden="false" customHeight="false" outlineLevel="0" collapsed="false">
      <c r="A15" s="8" t="s">
        <v>752</v>
      </c>
      <c r="B15" s="27"/>
      <c r="C15" s="27"/>
      <c r="D15" s="27"/>
      <c r="E15" s="27"/>
      <c r="F15" s="27"/>
      <c r="G15" s="27"/>
      <c r="H15" s="27"/>
      <c r="I15" s="27"/>
      <c r="J15" s="27"/>
      <c r="K15" s="27"/>
      <c r="L15" s="27"/>
      <c r="M15" s="27"/>
      <c r="N15" s="27"/>
      <c r="O15" s="27"/>
      <c r="P15" s="27"/>
      <c r="Q15" s="27"/>
      <c r="R15" s="27"/>
      <c r="S15" s="27"/>
      <c r="T15" s="27"/>
      <c r="U15" s="27"/>
      <c r="V15" s="27"/>
      <c r="W15" s="27"/>
      <c r="X15" s="27"/>
    </row>
    <row r="16" customFormat="false" ht="15" hidden="false" customHeight="false" outlineLevel="0" collapsed="false">
      <c r="A16" s="8" t="s">
        <v>682</v>
      </c>
      <c r="B16" s="27"/>
      <c r="C16" s="27"/>
      <c r="D16" s="27"/>
      <c r="E16" s="27"/>
      <c r="F16" s="27"/>
      <c r="G16" s="27"/>
      <c r="H16" s="27"/>
      <c r="I16" s="27"/>
      <c r="J16" s="27"/>
      <c r="K16" s="27"/>
      <c r="L16" s="27"/>
      <c r="M16" s="27"/>
      <c r="N16" s="27"/>
      <c r="O16" s="27"/>
      <c r="P16" s="33" t="s">
        <v>770</v>
      </c>
      <c r="Q16" s="27"/>
      <c r="R16" s="27"/>
      <c r="S16" s="27"/>
      <c r="T16" s="27"/>
      <c r="U16" s="27"/>
      <c r="V16" s="27"/>
      <c r="W16" s="27"/>
      <c r="X16" s="27"/>
    </row>
    <row r="17" customFormat="false" ht="15" hidden="false" customHeight="false" outlineLevel="0" collapsed="false">
      <c r="A17" s="8" t="s">
        <v>677</v>
      </c>
      <c r="B17" s="27"/>
      <c r="C17" s="27"/>
      <c r="D17" s="27"/>
      <c r="E17" s="27"/>
      <c r="F17" s="27"/>
      <c r="G17" s="27"/>
      <c r="H17" s="27"/>
      <c r="I17" s="27"/>
      <c r="J17" s="27"/>
      <c r="K17" s="27"/>
      <c r="L17" s="27"/>
      <c r="M17" s="27"/>
      <c r="N17" s="27"/>
      <c r="O17" s="27"/>
      <c r="P17" s="33" t="s">
        <v>766</v>
      </c>
      <c r="Q17" s="27"/>
      <c r="R17" s="27"/>
      <c r="S17" s="27"/>
      <c r="T17" s="27"/>
      <c r="U17" s="27"/>
      <c r="V17" s="27"/>
      <c r="W17" s="27"/>
      <c r="X17" s="27"/>
    </row>
    <row r="18" customFormat="false" ht="15" hidden="false" customHeight="false" outlineLevel="0" collapsed="false">
      <c r="A18" s="8" t="s">
        <v>761</v>
      </c>
      <c r="B18" s="27"/>
      <c r="C18" s="27"/>
      <c r="D18" s="27"/>
      <c r="E18" s="27"/>
      <c r="F18" s="27"/>
      <c r="G18" s="27"/>
      <c r="H18" s="27"/>
      <c r="I18" s="27"/>
      <c r="J18" s="27"/>
      <c r="K18" s="27"/>
      <c r="L18" s="27"/>
      <c r="M18" s="27"/>
      <c r="N18" s="27"/>
      <c r="O18" s="27"/>
      <c r="P18" s="33" t="s">
        <v>758</v>
      </c>
      <c r="Q18" s="27"/>
      <c r="R18" s="27"/>
      <c r="S18" s="27"/>
      <c r="T18" s="27"/>
      <c r="U18" s="27"/>
      <c r="V18" s="27"/>
      <c r="W18" s="27"/>
      <c r="X18" s="27"/>
    </row>
    <row r="19" customFormat="false" ht="15" hidden="false" customHeight="false" outlineLevel="0" collapsed="false">
      <c r="A19" s="8" t="s">
        <v>762</v>
      </c>
      <c r="B19" s="27"/>
      <c r="C19" s="27"/>
      <c r="D19" s="27"/>
      <c r="E19" s="27"/>
      <c r="F19" s="27"/>
      <c r="G19" s="27"/>
      <c r="H19" s="27"/>
      <c r="I19" s="27"/>
      <c r="J19" s="27"/>
      <c r="K19" s="27"/>
      <c r="L19" s="27"/>
      <c r="M19" s="27"/>
      <c r="N19" s="27"/>
      <c r="O19" s="27"/>
      <c r="P19" s="27"/>
      <c r="Q19" s="27"/>
      <c r="R19" s="27"/>
      <c r="S19" s="27"/>
      <c r="T19" s="27"/>
      <c r="U19" s="27"/>
      <c r="V19" s="27"/>
      <c r="W19" s="27"/>
      <c r="X19" s="27"/>
    </row>
    <row r="20" customFormat="false" ht="15" hidden="false" customHeight="false" outlineLevel="0" collapsed="false">
      <c r="A20" s="8" t="s">
        <v>774</v>
      </c>
      <c r="B20" s="27"/>
      <c r="C20" s="27"/>
      <c r="D20" s="27"/>
      <c r="E20" s="27"/>
      <c r="F20" s="33" t="s">
        <v>431</v>
      </c>
      <c r="G20" s="27"/>
      <c r="H20" s="27"/>
      <c r="I20" s="27"/>
      <c r="J20" s="33" t="s">
        <v>790</v>
      </c>
      <c r="K20" s="33" t="s">
        <v>794</v>
      </c>
      <c r="L20" s="27"/>
      <c r="M20" s="27"/>
      <c r="N20" s="27"/>
      <c r="O20" s="27"/>
      <c r="P20" s="27"/>
      <c r="Q20" s="27"/>
      <c r="R20" s="27"/>
      <c r="S20" s="27"/>
      <c r="T20" s="33" t="s">
        <v>440</v>
      </c>
      <c r="U20" s="27"/>
      <c r="V20" s="27"/>
      <c r="W20" s="27"/>
      <c r="X20" s="27"/>
    </row>
    <row r="21" customFormat="false" ht="15" hidden="false" customHeight="false" outlineLevel="0" collapsed="false">
      <c r="A21" s="8" t="s">
        <v>727</v>
      </c>
      <c r="B21" s="27"/>
      <c r="C21" s="27"/>
      <c r="D21" s="27"/>
      <c r="E21" s="27"/>
      <c r="F21" s="27"/>
      <c r="G21" s="27"/>
      <c r="H21" s="27"/>
      <c r="I21" s="27"/>
      <c r="J21" s="27"/>
      <c r="K21" s="27"/>
      <c r="L21" s="27"/>
      <c r="M21" s="27"/>
      <c r="N21" s="27"/>
      <c r="O21" s="27"/>
      <c r="P21" s="27"/>
      <c r="Q21" s="27"/>
      <c r="R21" s="27"/>
      <c r="S21" s="27"/>
      <c r="T21" s="27"/>
      <c r="U21" s="27"/>
      <c r="V21" s="27"/>
      <c r="W21" s="27"/>
      <c r="X21" s="27"/>
    </row>
    <row r="22" customFormat="false" ht="15" hidden="false" customHeight="false" outlineLevel="0" collapsed="false">
      <c r="A22" s="8" t="s">
        <v>733</v>
      </c>
      <c r="B22" s="27"/>
      <c r="C22" s="27"/>
      <c r="D22" s="27"/>
      <c r="E22" s="27"/>
      <c r="F22" s="27"/>
      <c r="G22" s="27"/>
      <c r="H22" s="27"/>
      <c r="I22" s="27"/>
      <c r="J22" s="27"/>
      <c r="K22" s="27"/>
      <c r="L22" s="27"/>
      <c r="M22" s="27"/>
      <c r="N22" s="27"/>
      <c r="O22" s="27"/>
      <c r="P22" s="27"/>
      <c r="Q22" s="27"/>
      <c r="R22" s="27"/>
      <c r="S22" s="27"/>
      <c r="T22" s="27"/>
      <c r="U22" s="27"/>
      <c r="V22" s="27"/>
      <c r="W22" s="27"/>
      <c r="X22" s="27"/>
    </row>
    <row r="23" customFormat="false" ht="15" hidden="false" customHeight="false" outlineLevel="0" collapsed="false">
      <c r="A23" s="8" t="s">
        <v>779</v>
      </c>
      <c r="B23" s="27"/>
      <c r="C23" s="27"/>
      <c r="D23" s="27"/>
      <c r="E23" s="27"/>
      <c r="F23" s="27"/>
      <c r="G23" s="27"/>
      <c r="H23" s="27"/>
      <c r="I23" s="27"/>
      <c r="J23" s="27"/>
      <c r="K23" s="27"/>
      <c r="L23" s="27"/>
      <c r="M23" s="27"/>
      <c r="N23" s="27"/>
      <c r="O23" s="27"/>
      <c r="P23" s="27"/>
      <c r="Q23" s="27"/>
      <c r="R23" s="27"/>
      <c r="S23" s="27"/>
      <c r="T23" s="27"/>
      <c r="U23" s="27"/>
      <c r="V23" s="27"/>
      <c r="W23" s="27"/>
      <c r="X23" s="27"/>
    </row>
    <row r="24" customFormat="false" ht="15" hidden="false" customHeight="false" outlineLevel="0" collapsed="false">
      <c r="A24" s="8" t="s">
        <v>705</v>
      </c>
      <c r="B24" s="27"/>
      <c r="C24" s="27"/>
      <c r="D24" s="27"/>
      <c r="E24" s="27"/>
      <c r="F24" s="27"/>
      <c r="G24" s="27"/>
      <c r="H24" s="27"/>
      <c r="I24" s="34" t="s">
        <v>703</v>
      </c>
      <c r="J24" s="27"/>
      <c r="K24" s="27"/>
      <c r="L24" s="27"/>
      <c r="M24" s="27"/>
      <c r="N24" s="27"/>
      <c r="O24" s="27"/>
      <c r="P24" s="27"/>
      <c r="Q24" s="27"/>
      <c r="R24" s="27"/>
      <c r="S24" s="27"/>
      <c r="T24" s="27"/>
      <c r="U24" s="27"/>
      <c r="V24" s="27"/>
      <c r="W24" s="33" t="s">
        <v>457</v>
      </c>
      <c r="X24" s="33" t="s">
        <v>815</v>
      </c>
    </row>
    <row r="25" customFormat="false" ht="15" hidden="false" customHeight="false" outlineLevel="0" collapsed="false">
      <c r="A25" s="8" t="s">
        <v>800</v>
      </c>
      <c r="B25" s="33" t="s">
        <v>453</v>
      </c>
      <c r="C25" s="27"/>
      <c r="D25" s="27"/>
      <c r="E25" s="27"/>
      <c r="F25" s="27"/>
      <c r="G25" s="27"/>
      <c r="H25" s="27"/>
      <c r="I25" s="27"/>
      <c r="J25" s="27"/>
      <c r="K25" s="27"/>
      <c r="L25" s="27"/>
      <c r="M25" s="27"/>
      <c r="N25" s="27"/>
      <c r="O25" s="27"/>
      <c r="P25" s="27"/>
      <c r="Q25" s="27"/>
      <c r="R25" s="27"/>
      <c r="S25" s="27"/>
      <c r="T25" s="27"/>
      <c r="U25" s="27"/>
      <c r="V25" s="27"/>
      <c r="W25" s="27"/>
      <c r="X25" s="27"/>
    </row>
    <row r="26" customFormat="false" ht="15" hidden="false" customHeight="false" outlineLevel="0" collapsed="false">
      <c r="A26" s="8" t="s">
        <v>821</v>
      </c>
      <c r="B26" s="27"/>
      <c r="C26" s="27"/>
      <c r="D26" s="27"/>
      <c r="E26" s="27"/>
      <c r="F26" s="27"/>
      <c r="G26" s="27"/>
      <c r="H26" s="27"/>
      <c r="I26" s="27"/>
      <c r="J26" s="27"/>
      <c r="K26" s="27"/>
      <c r="L26" s="27"/>
      <c r="M26" s="27"/>
      <c r="N26" s="27"/>
      <c r="O26" s="27"/>
      <c r="P26" s="27"/>
      <c r="Q26" s="27"/>
      <c r="R26" s="27"/>
      <c r="S26" s="27"/>
      <c r="T26" s="27"/>
      <c r="U26" s="27"/>
      <c r="V26" s="27"/>
      <c r="W26" s="27"/>
      <c r="X26" s="27"/>
    </row>
    <row r="27" customFormat="false" ht="15" hidden="false" customHeight="false" outlineLevel="0" collapsed="false">
      <c r="A27" s="8" t="s">
        <v>799</v>
      </c>
      <c r="B27" s="27"/>
      <c r="C27" s="27"/>
      <c r="D27" s="27"/>
      <c r="E27" s="27"/>
      <c r="F27" s="27"/>
      <c r="G27" s="27"/>
      <c r="H27" s="27"/>
      <c r="I27" s="27"/>
      <c r="J27" s="27"/>
      <c r="K27" s="27"/>
      <c r="L27" s="27"/>
      <c r="M27" s="27"/>
      <c r="N27" s="27"/>
      <c r="O27" s="27"/>
      <c r="P27" s="27"/>
      <c r="Q27" s="27"/>
      <c r="R27" s="27"/>
      <c r="S27" s="27"/>
      <c r="T27" s="27"/>
      <c r="U27" s="27"/>
      <c r="V27" s="33" t="s">
        <v>449</v>
      </c>
      <c r="W27" s="27"/>
      <c r="X27" s="2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9.4" hidden="false" customHeight="false" outlineLevel="0" collapsed="false">
      <c r="A1" s="7" t="s">
        <v>1283</v>
      </c>
    </row>
    <row r="2" customFormat="false" ht="14.15" hidden="false" customHeight="false" outlineLevel="0" collapsed="false">
      <c r="A2" s="2" t="s">
        <v>1284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0"/>
    <col collapsed="false" customWidth="true" hidden="false" outlineLevel="0" max="4" min="4" style="0" width="8"/>
    <col collapsed="false" customWidth="true" hidden="false" outlineLevel="0" max="5" min="5" style="0" width="30"/>
    <col collapsed="false" customWidth="true" hidden="false" outlineLevel="0" max="6" min="6" style="0" width="14"/>
    <col collapsed="false" customWidth="true" hidden="false" outlineLevel="0" max="7" min="7" style="0" width="16"/>
    <col collapsed="false" customWidth="true" hidden="false" outlineLevel="0" max="8" min="8" style="0" width="70"/>
    <col collapsed="false" customWidth="true" hidden="false" outlineLevel="0" max="9" min="9" style="0" width="9"/>
    <col collapsed="false" customWidth="true" hidden="false" outlineLevel="0" max="10" min="10" style="0" width="8"/>
    <col collapsed="false" customWidth="true" hidden="false" outlineLevel="0" max="11" min="11" style="0" width="10"/>
    <col collapsed="false" customWidth="true" hidden="false" outlineLevel="0" max="12" min="12" style="0" width="24"/>
    <col collapsed="false" customWidth="true" hidden="false" outlineLevel="0" max="18" min="13" style="0" width="8"/>
    <col collapsed="false" customWidth="true" hidden="false" outlineLevel="0" max="19" min="19" style="0" width="9"/>
    <col collapsed="false" customWidth="true" hidden="false" outlineLevel="0" max="21" min="20" style="0" width="12"/>
  </cols>
  <sheetData>
    <row r="1" customFormat="false" ht="19.4" hidden="false" customHeight="false" outlineLevel="0" collapsed="false">
      <c r="A1" s="7" t="s">
        <v>1285</v>
      </c>
    </row>
    <row r="2" customFormat="false" ht="15" hidden="false" customHeight="false" outlineLevel="0" collapsed="false">
      <c r="A2" s="2" t="s">
        <v>1286</v>
      </c>
    </row>
    <row r="4" customFormat="false" ht="26.85" hidden="false" customHeight="false" outlineLevel="0" collapsed="false">
      <c r="A4" s="9" t="s">
        <v>1287</v>
      </c>
      <c r="B4" s="9" t="s">
        <v>1288</v>
      </c>
      <c r="C4" s="9" t="s">
        <v>636</v>
      </c>
      <c r="D4" s="9" t="s">
        <v>1289</v>
      </c>
      <c r="E4" s="9" t="s">
        <v>637</v>
      </c>
      <c r="F4" s="9" t="s">
        <v>70</v>
      </c>
      <c r="G4" s="9" t="s">
        <v>235</v>
      </c>
      <c r="H4" s="9" t="s">
        <v>1290</v>
      </c>
      <c r="I4" s="9" t="s">
        <v>8</v>
      </c>
      <c r="J4" s="9" t="s">
        <v>1291</v>
      </c>
      <c r="K4" s="9" t="s">
        <v>1292</v>
      </c>
      <c r="L4" s="9" t="s">
        <v>1293</v>
      </c>
      <c r="M4" s="9" t="s">
        <v>1294</v>
      </c>
      <c r="N4" s="9" t="s">
        <v>1295</v>
      </c>
      <c r="O4" s="9" t="s">
        <v>1296</v>
      </c>
      <c r="P4" s="9" t="s">
        <v>1297</v>
      </c>
      <c r="Q4" s="9" t="s">
        <v>1298</v>
      </c>
      <c r="R4" s="9" t="s">
        <v>1299</v>
      </c>
      <c r="S4" s="8" t="s">
        <v>1300</v>
      </c>
      <c r="T4" s="9" t="s">
        <v>1301</v>
      </c>
      <c r="U4" s="9" t="s">
        <v>1302</v>
      </c>
    </row>
    <row r="5" customFormat="false" ht="33.75" hidden="false" customHeight="true" outlineLevel="0" collapsed="false">
      <c r="A5" s="13" t="s">
        <v>1083</v>
      </c>
      <c r="B5" s="4" t="s">
        <v>1303</v>
      </c>
      <c r="C5" s="6" t="s">
        <v>654</v>
      </c>
      <c r="D5" s="15" t="s">
        <v>653</v>
      </c>
      <c r="E5" s="4" t="str">
        <f aca="false">IFERROR(INDEX(연결!$C$5:$C$35,MATCH(D5,연결!$A$5:$A$35,0)),"")</f>
        <v>REQ 요구사항관리 → BIA BIA·중요도 분석</v>
      </c>
      <c r="F5" s="27" t="str">
        <f aca="false">IFERROR(INDEX(연결!$G$5:$G$35,MATCH(D5,연결!$A$5:$A$35,0)),"")</f>
        <v>입력된다·활용된다</v>
      </c>
      <c r="G5" s="27" t="s">
        <v>75</v>
      </c>
      <c r="H5" s="12" t="s">
        <v>1304</v>
      </c>
      <c r="I5" s="27" t="str">
        <f aca="false">IFERROR(INDEX(연결!$H$5:$H$35,MATCH(D5,연결!$A$5:$A$35,0)),"")</f>
        <v>E1</v>
      </c>
      <c r="J5" s="27"/>
      <c r="K5" s="15" t="s">
        <v>1305</v>
      </c>
      <c r="L5" s="6" t="s">
        <v>1306</v>
      </c>
      <c r="M5" s="20"/>
      <c r="N5" s="20"/>
      <c r="O5" s="20"/>
      <c r="P5" s="20"/>
      <c r="Q5" s="20"/>
      <c r="R5" s="20"/>
      <c r="S5" s="35" t="str">
        <f aca="false">IFERROR(COUNTIF(M5:R5,"&gt;=3")/COUNT(M5:R5),"")</f>
        <v/>
      </c>
      <c r="T5" s="27" t="str">
        <f aca="false">IF(S5="","",IF(S5&gt;=검증!$B$4,"채택","수정·토론"))</f>
        <v/>
      </c>
      <c r="U5" s="27" t="str">
        <f aca="false">IF(COUNTIF($A$5:$A$183,A5)&lt;&gt;1,"ID 중복",IF(B5="C 연결",IF(COUNTIF(연결!$A$5:$A$35,D5)=1,"OK","연결 없음"),"OK"))</f>
        <v>OK</v>
      </c>
    </row>
    <row r="6" customFormat="false" ht="33.75" hidden="false" customHeight="true" outlineLevel="0" collapsed="false">
      <c r="A6" s="13" t="s">
        <v>1085</v>
      </c>
      <c r="B6" s="4" t="s">
        <v>1303</v>
      </c>
      <c r="C6" s="6" t="s">
        <v>654</v>
      </c>
      <c r="D6" s="15" t="s">
        <v>653</v>
      </c>
      <c r="E6" s="4" t="str">
        <f aca="false">IFERROR(INDEX(연결!$C$5:$C$35,MATCH(D6,연결!$A$5:$A$35,0)),"")</f>
        <v>REQ 요구사항관리 → BIA BIA·중요도 분석</v>
      </c>
      <c r="F6" s="27" t="str">
        <f aca="false">IFERROR(INDEX(연결!$G$5:$G$35,MATCH(D6,연결!$A$5:$A$35,0)),"")</f>
        <v>입력된다·활용된다</v>
      </c>
      <c r="G6" s="27" t="s">
        <v>81</v>
      </c>
      <c r="H6" s="12" t="s">
        <v>1307</v>
      </c>
      <c r="I6" s="27" t="str">
        <f aca="false">IFERROR(INDEX(연결!$H$5:$H$35,MATCH(D6,연결!$A$5:$A$35,0)),"")</f>
        <v>E1</v>
      </c>
      <c r="J6" s="27"/>
      <c r="K6" s="15" t="s">
        <v>1308</v>
      </c>
      <c r="L6" s="6" t="s">
        <v>1306</v>
      </c>
      <c r="M6" s="20"/>
      <c r="N6" s="20"/>
      <c r="O6" s="20"/>
      <c r="P6" s="20"/>
      <c r="Q6" s="20"/>
      <c r="R6" s="20"/>
      <c r="S6" s="35" t="str">
        <f aca="false">IFERROR(COUNTIF(M6:R6,"&gt;=3")/COUNT(M6:R6),"")</f>
        <v/>
      </c>
      <c r="T6" s="27" t="str">
        <f aca="false">IF(S6="","",IF(S6&gt;=검증!$B$4,"채택","수정·토론"))</f>
        <v/>
      </c>
      <c r="U6" s="27" t="str">
        <f aca="false">IF(COUNTIF($A$5:$A$183,A6)&lt;&gt;1,"ID 중복",IF(B6="C 연결",IF(COUNTIF(연결!$A$5:$A$35,D6)=1,"OK","연결 없음"),"OK"))</f>
        <v>OK</v>
      </c>
    </row>
    <row r="7" customFormat="false" ht="33.75" hidden="false" customHeight="true" outlineLevel="0" collapsed="false">
      <c r="A7" s="13" t="s">
        <v>1087</v>
      </c>
      <c r="B7" s="4" t="s">
        <v>1303</v>
      </c>
      <c r="C7" s="6" t="s">
        <v>654</v>
      </c>
      <c r="D7" s="15" t="s">
        <v>653</v>
      </c>
      <c r="E7" s="4" t="str">
        <f aca="false">IFERROR(INDEX(연결!$C$5:$C$35,MATCH(D7,연결!$A$5:$A$35,0)),"")</f>
        <v>REQ 요구사항관리 → BIA BIA·중요도 분석</v>
      </c>
      <c r="F7" s="27" t="str">
        <f aca="false">IFERROR(INDEX(연결!$G$5:$G$35,MATCH(D7,연결!$A$5:$A$35,0)),"")</f>
        <v>입력된다·활용된다</v>
      </c>
      <c r="G7" s="27" t="s">
        <v>85</v>
      </c>
      <c r="H7" s="12" t="s">
        <v>1309</v>
      </c>
      <c r="I7" s="27" t="str">
        <f aca="false">IFERROR(INDEX(연결!$H$5:$H$35,MATCH(D7,연결!$A$5:$A$35,0)),"")</f>
        <v>E1</v>
      </c>
      <c r="J7" s="27"/>
      <c r="K7" s="15" t="s">
        <v>1310</v>
      </c>
      <c r="L7" s="6" t="s">
        <v>1306</v>
      </c>
      <c r="M7" s="20"/>
      <c r="N7" s="20"/>
      <c r="O7" s="20"/>
      <c r="P7" s="20"/>
      <c r="Q7" s="20"/>
      <c r="R7" s="20"/>
      <c r="S7" s="35" t="str">
        <f aca="false">IFERROR(COUNTIF(M7:R7,"&gt;=3")/COUNT(M7:R7),"")</f>
        <v/>
      </c>
      <c r="T7" s="27" t="str">
        <f aca="false">IF(S7="","",IF(S7&gt;=검증!$B$4,"채택","수정·토론"))</f>
        <v/>
      </c>
      <c r="U7" s="27" t="str">
        <f aca="false">IF(COUNTIF($A$5:$A$183,A7)&lt;&gt;1,"ID 중복",IF(B7="C 연결",IF(COUNTIF(연결!$A$5:$A$35,D7)=1,"OK","연결 없음"),"OK"))</f>
        <v>OK</v>
      </c>
    </row>
    <row r="8" customFormat="false" ht="33.75" hidden="false" customHeight="true" outlineLevel="0" collapsed="false">
      <c r="A8" s="13" t="s">
        <v>1089</v>
      </c>
      <c r="B8" s="4" t="s">
        <v>1303</v>
      </c>
      <c r="C8" s="6" t="s">
        <v>654</v>
      </c>
      <c r="D8" s="15" t="s">
        <v>653</v>
      </c>
      <c r="E8" s="4" t="str">
        <f aca="false">IFERROR(INDEX(연결!$C$5:$C$35,MATCH(D8,연결!$A$5:$A$35,0)),"")</f>
        <v>REQ 요구사항관리 → BIA BIA·중요도 분석</v>
      </c>
      <c r="F8" s="27" t="str">
        <f aca="false">IFERROR(INDEX(연결!$G$5:$G$35,MATCH(D8,연결!$A$5:$A$35,0)),"")</f>
        <v>입력된다·활용된다</v>
      </c>
      <c r="G8" s="27" t="s">
        <v>90</v>
      </c>
      <c r="H8" s="12" t="s">
        <v>1311</v>
      </c>
      <c r="I8" s="27" t="str">
        <f aca="false">IFERROR(INDEX(연결!$H$5:$H$35,MATCH(D8,연결!$A$5:$A$35,0)),"")</f>
        <v>E1</v>
      </c>
      <c r="J8" s="27"/>
      <c r="K8" s="15" t="s">
        <v>1312</v>
      </c>
      <c r="L8" s="6" t="s">
        <v>1306</v>
      </c>
      <c r="M8" s="20"/>
      <c r="N8" s="20"/>
      <c r="O8" s="20"/>
      <c r="P8" s="20"/>
      <c r="Q8" s="20"/>
      <c r="R8" s="20"/>
      <c r="S8" s="35" t="str">
        <f aca="false">IFERROR(COUNTIF(M8:R8,"&gt;=3")/COUNT(M8:R8),"")</f>
        <v/>
      </c>
      <c r="T8" s="27" t="str">
        <f aca="false">IF(S8="","",IF(S8&gt;=검증!$B$4,"채택","수정·토론"))</f>
        <v/>
      </c>
      <c r="U8" s="27" t="str">
        <f aca="false">IF(COUNTIF($A$5:$A$183,A8)&lt;&gt;1,"ID 중복",IF(B8="C 연결",IF(COUNTIF(연결!$A$5:$A$35,D8)=1,"OK","연결 없음"),"OK"))</f>
        <v>OK</v>
      </c>
    </row>
    <row r="9" customFormat="false" ht="33.75" hidden="false" customHeight="true" outlineLevel="0" collapsed="false">
      <c r="A9" s="13" t="s">
        <v>1091</v>
      </c>
      <c r="B9" s="4" t="s">
        <v>1303</v>
      </c>
      <c r="C9" s="6" t="s">
        <v>654</v>
      </c>
      <c r="D9" s="15" t="s">
        <v>653</v>
      </c>
      <c r="E9" s="4" t="str">
        <f aca="false">IFERROR(INDEX(연결!$C$5:$C$35,MATCH(D9,연결!$A$5:$A$35,0)),"")</f>
        <v>REQ 요구사항관리 → BIA BIA·중요도 분석</v>
      </c>
      <c r="F9" s="27" t="str">
        <f aca="false">IFERROR(INDEX(연결!$G$5:$G$35,MATCH(D9,연결!$A$5:$A$35,0)),"")</f>
        <v>입력된다·활용된다</v>
      </c>
      <c r="G9" s="27" t="s">
        <v>95</v>
      </c>
      <c r="H9" s="12" t="s">
        <v>1313</v>
      </c>
      <c r="I9" s="27" t="str">
        <f aca="false">IFERROR(INDEX(연결!$H$5:$H$35,MATCH(D9,연결!$A$5:$A$35,0)),"")</f>
        <v>E1</v>
      </c>
      <c r="J9" s="27"/>
      <c r="K9" s="15" t="s">
        <v>1314</v>
      </c>
      <c r="L9" s="6" t="s">
        <v>1306</v>
      </c>
      <c r="M9" s="20"/>
      <c r="N9" s="20"/>
      <c r="O9" s="20"/>
      <c r="P9" s="20"/>
      <c r="Q9" s="20"/>
      <c r="R9" s="20"/>
      <c r="S9" s="35" t="str">
        <f aca="false">IFERROR(COUNTIF(M9:R9,"&gt;=3")/COUNT(M9:R9),"")</f>
        <v/>
      </c>
      <c r="T9" s="27" t="str">
        <f aca="false">IF(S9="","",IF(S9&gt;=검증!$B$4,"채택","수정·토론"))</f>
        <v/>
      </c>
      <c r="U9" s="27" t="str">
        <f aca="false">IF(COUNTIF($A$5:$A$183,A9)&lt;&gt;1,"ID 중복",IF(B9="C 연결",IF(COUNTIF(연결!$A$5:$A$35,D9)=1,"OK","연결 없음"),"OK"))</f>
        <v>OK</v>
      </c>
    </row>
    <row r="10" customFormat="false" ht="33.75" hidden="false" customHeight="true" outlineLevel="0" collapsed="false">
      <c r="A10" s="13" t="s">
        <v>1093</v>
      </c>
      <c r="B10" s="4" t="s">
        <v>1303</v>
      </c>
      <c r="C10" s="6" t="s">
        <v>654</v>
      </c>
      <c r="D10" s="15" t="s">
        <v>665</v>
      </c>
      <c r="E10" s="4" t="str">
        <f aca="false">IFERROR(INDEX(연결!$C$5:$C$35,MATCH(D10,연결!$A$5:$A$35,0)),"")</f>
        <v>REQ 요구사항관리 → RA 리스크평가</v>
      </c>
      <c r="F10" s="27" t="str">
        <f aca="false">IFERROR(INDEX(연결!$G$5:$G$35,MATCH(D10,연결!$A$5:$A$35,0)),"")</f>
        <v>입력된다·활용된다</v>
      </c>
      <c r="G10" s="27" t="s">
        <v>75</v>
      </c>
      <c r="H10" s="12" t="s">
        <v>1315</v>
      </c>
      <c r="I10" s="27" t="str">
        <f aca="false">IFERROR(INDEX(연결!$H$5:$H$35,MATCH(D10,연결!$A$5:$A$35,0)),"")</f>
        <v>E1</v>
      </c>
      <c r="J10" s="27"/>
      <c r="K10" s="15" t="s">
        <v>1316</v>
      </c>
      <c r="L10" s="6" t="s">
        <v>1306</v>
      </c>
      <c r="M10" s="20"/>
      <c r="N10" s="20"/>
      <c r="O10" s="20"/>
      <c r="P10" s="20"/>
      <c r="Q10" s="20"/>
      <c r="R10" s="20"/>
      <c r="S10" s="35" t="str">
        <f aca="false">IFERROR(COUNTIF(M10:R10,"&gt;=3")/COUNT(M10:R10),"")</f>
        <v/>
      </c>
      <c r="T10" s="27" t="str">
        <f aca="false">IF(S10="","",IF(S10&gt;=검증!$B$4,"채택","수정·토론"))</f>
        <v/>
      </c>
      <c r="U10" s="27" t="str">
        <f aca="false">IF(COUNTIF($A$5:$A$183,A10)&lt;&gt;1,"ID 중복",IF(B10="C 연결",IF(COUNTIF(연결!$A$5:$A$35,D10)=1,"OK","연결 없음"),"OK"))</f>
        <v>OK</v>
      </c>
    </row>
    <row r="11" customFormat="false" ht="33.75" hidden="false" customHeight="true" outlineLevel="0" collapsed="false">
      <c r="A11" s="13" t="s">
        <v>1094</v>
      </c>
      <c r="B11" s="4" t="s">
        <v>1303</v>
      </c>
      <c r="C11" s="6" t="s">
        <v>654</v>
      </c>
      <c r="D11" s="15" t="s">
        <v>665</v>
      </c>
      <c r="E11" s="4" t="str">
        <f aca="false">IFERROR(INDEX(연결!$C$5:$C$35,MATCH(D11,연결!$A$5:$A$35,0)),"")</f>
        <v>REQ 요구사항관리 → RA 리스크평가</v>
      </c>
      <c r="F11" s="27" t="str">
        <f aca="false">IFERROR(INDEX(연결!$G$5:$G$35,MATCH(D11,연결!$A$5:$A$35,0)),"")</f>
        <v>입력된다·활용된다</v>
      </c>
      <c r="G11" s="27" t="s">
        <v>81</v>
      </c>
      <c r="H11" s="12" t="s">
        <v>1317</v>
      </c>
      <c r="I11" s="27" t="str">
        <f aca="false">IFERROR(INDEX(연결!$H$5:$H$35,MATCH(D11,연결!$A$5:$A$35,0)),"")</f>
        <v>E1</v>
      </c>
      <c r="J11" s="27"/>
      <c r="K11" s="15" t="s">
        <v>1318</v>
      </c>
      <c r="L11" s="6" t="s">
        <v>1306</v>
      </c>
      <c r="M11" s="20"/>
      <c r="N11" s="20"/>
      <c r="O11" s="20"/>
      <c r="P11" s="20"/>
      <c r="Q11" s="20"/>
      <c r="R11" s="20"/>
      <c r="S11" s="35" t="str">
        <f aca="false">IFERROR(COUNTIF(M11:R11,"&gt;=3")/COUNT(M11:R11),"")</f>
        <v/>
      </c>
      <c r="T11" s="27" t="str">
        <f aca="false">IF(S11="","",IF(S11&gt;=검증!$B$4,"채택","수정·토론"))</f>
        <v/>
      </c>
      <c r="U11" s="27" t="str">
        <f aca="false">IF(COUNTIF($A$5:$A$183,A11)&lt;&gt;1,"ID 중복",IF(B11="C 연결",IF(COUNTIF(연결!$A$5:$A$35,D11)=1,"OK","연결 없음"),"OK"))</f>
        <v>OK</v>
      </c>
    </row>
    <row r="12" customFormat="false" ht="33.75" hidden="false" customHeight="true" outlineLevel="0" collapsed="false">
      <c r="A12" s="13" t="s">
        <v>1095</v>
      </c>
      <c r="B12" s="4" t="s">
        <v>1303</v>
      </c>
      <c r="C12" s="6" t="s">
        <v>654</v>
      </c>
      <c r="D12" s="15" t="s">
        <v>665</v>
      </c>
      <c r="E12" s="4" t="str">
        <f aca="false">IFERROR(INDEX(연결!$C$5:$C$35,MATCH(D12,연결!$A$5:$A$35,0)),"")</f>
        <v>REQ 요구사항관리 → RA 리스크평가</v>
      </c>
      <c r="F12" s="27" t="str">
        <f aca="false">IFERROR(INDEX(연결!$G$5:$G$35,MATCH(D12,연결!$A$5:$A$35,0)),"")</f>
        <v>입력된다·활용된다</v>
      </c>
      <c r="G12" s="27" t="s">
        <v>85</v>
      </c>
      <c r="H12" s="12" t="s">
        <v>1319</v>
      </c>
      <c r="I12" s="27" t="str">
        <f aca="false">IFERROR(INDEX(연결!$H$5:$H$35,MATCH(D12,연결!$A$5:$A$35,0)),"")</f>
        <v>E1</v>
      </c>
      <c r="J12" s="27"/>
      <c r="K12" s="15" t="s">
        <v>1320</v>
      </c>
      <c r="L12" s="6" t="s">
        <v>1306</v>
      </c>
      <c r="M12" s="20"/>
      <c r="N12" s="20"/>
      <c r="O12" s="20"/>
      <c r="P12" s="20"/>
      <c r="Q12" s="20"/>
      <c r="R12" s="20"/>
      <c r="S12" s="35" t="str">
        <f aca="false">IFERROR(COUNTIF(M12:R12,"&gt;=3")/COUNT(M12:R12),"")</f>
        <v/>
      </c>
      <c r="T12" s="27" t="str">
        <f aca="false">IF(S12="","",IF(S12&gt;=검증!$B$4,"채택","수정·토론"))</f>
        <v/>
      </c>
      <c r="U12" s="27" t="str">
        <f aca="false">IF(COUNTIF($A$5:$A$183,A12)&lt;&gt;1,"ID 중복",IF(B12="C 연결",IF(COUNTIF(연결!$A$5:$A$35,D12)=1,"OK","연결 없음"),"OK"))</f>
        <v>OK</v>
      </c>
    </row>
    <row r="13" customFormat="false" ht="33.75" hidden="false" customHeight="true" outlineLevel="0" collapsed="false">
      <c r="A13" s="13" t="s">
        <v>1096</v>
      </c>
      <c r="B13" s="4" t="s">
        <v>1303</v>
      </c>
      <c r="C13" s="6" t="s">
        <v>654</v>
      </c>
      <c r="D13" s="15" t="s">
        <v>665</v>
      </c>
      <c r="E13" s="4" t="str">
        <f aca="false">IFERROR(INDEX(연결!$C$5:$C$35,MATCH(D13,연결!$A$5:$A$35,0)),"")</f>
        <v>REQ 요구사항관리 → RA 리스크평가</v>
      </c>
      <c r="F13" s="27" t="str">
        <f aca="false">IFERROR(INDEX(연결!$G$5:$G$35,MATCH(D13,연결!$A$5:$A$35,0)),"")</f>
        <v>입력된다·활용된다</v>
      </c>
      <c r="G13" s="27" t="s">
        <v>90</v>
      </c>
      <c r="H13" s="12" t="s">
        <v>1321</v>
      </c>
      <c r="I13" s="27" t="str">
        <f aca="false">IFERROR(INDEX(연결!$H$5:$H$35,MATCH(D13,연결!$A$5:$A$35,0)),"")</f>
        <v>E1</v>
      </c>
      <c r="J13" s="27"/>
      <c r="K13" s="15" t="s">
        <v>1322</v>
      </c>
      <c r="L13" s="6" t="s">
        <v>1306</v>
      </c>
      <c r="M13" s="20"/>
      <c r="N13" s="20"/>
      <c r="O13" s="20"/>
      <c r="P13" s="20"/>
      <c r="Q13" s="20"/>
      <c r="R13" s="20"/>
      <c r="S13" s="35" t="str">
        <f aca="false">IFERROR(COUNTIF(M13:R13,"&gt;=3")/COUNT(M13:R13),"")</f>
        <v/>
      </c>
      <c r="T13" s="27" t="str">
        <f aca="false">IF(S13="","",IF(S13&gt;=검증!$B$4,"채택","수정·토론"))</f>
        <v/>
      </c>
      <c r="U13" s="27" t="str">
        <f aca="false">IF(COUNTIF($A$5:$A$183,A13)&lt;&gt;1,"ID 중복",IF(B13="C 연결",IF(COUNTIF(연결!$A$5:$A$35,D13)=1,"OK","연결 없음"),"OK"))</f>
        <v>OK</v>
      </c>
    </row>
    <row r="14" customFormat="false" ht="33.75" hidden="false" customHeight="true" outlineLevel="0" collapsed="false">
      <c r="A14" s="13" t="s">
        <v>1097</v>
      </c>
      <c r="B14" s="4" t="s">
        <v>1303</v>
      </c>
      <c r="C14" s="6" t="s">
        <v>654</v>
      </c>
      <c r="D14" s="15" t="s">
        <v>665</v>
      </c>
      <c r="E14" s="4" t="str">
        <f aca="false">IFERROR(INDEX(연결!$C$5:$C$35,MATCH(D14,연결!$A$5:$A$35,0)),"")</f>
        <v>REQ 요구사항관리 → RA 리스크평가</v>
      </c>
      <c r="F14" s="27" t="str">
        <f aca="false">IFERROR(INDEX(연결!$G$5:$G$35,MATCH(D14,연결!$A$5:$A$35,0)),"")</f>
        <v>입력된다·활용된다</v>
      </c>
      <c r="G14" s="27" t="s">
        <v>95</v>
      </c>
      <c r="H14" s="12" t="s">
        <v>1323</v>
      </c>
      <c r="I14" s="27" t="str">
        <f aca="false">IFERROR(INDEX(연결!$H$5:$H$35,MATCH(D14,연결!$A$5:$A$35,0)),"")</f>
        <v>E1</v>
      </c>
      <c r="J14" s="27"/>
      <c r="K14" s="15" t="s">
        <v>1324</v>
      </c>
      <c r="L14" s="6" t="s">
        <v>1306</v>
      </c>
      <c r="M14" s="20"/>
      <c r="N14" s="20"/>
      <c r="O14" s="20"/>
      <c r="P14" s="20"/>
      <c r="Q14" s="20"/>
      <c r="R14" s="20"/>
      <c r="S14" s="35" t="str">
        <f aca="false">IFERROR(COUNTIF(M14:R14,"&gt;=3")/COUNT(M14:R14),"")</f>
        <v/>
      </c>
      <c r="T14" s="27" t="str">
        <f aca="false">IF(S14="","",IF(S14&gt;=검증!$B$4,"채택","수정·토론"))</f>
        <v/>
      </c>
      <c r="U14" s="27" t="str">
        <f aca="false">IF(COUNTIF($A$5:$A$183,A14)&lt;&gt;1,"ID 중복",IF(B14="C 연결",IF(COUNTIF(연결!$A$5:$A$35,D14)=1,"OK","연결 없음"),"OK"))</f>
        <v>OK</v>
      </c>
    </row>
    <row r="15" customFormat="false" ht="33.75" hidden="false" customHeight="true" outlineLevel="0" collapsed="false">
      <c r="A15" s="13" t="s">
        <v>1099</v>
      </c>
      <c r="B15" s="4" t="s">
        <v>1303</v>
      </c>
      <c r="C15" s="6" t="s">
        <v>654</v>
      </c>
      <c r="D15" s="15" t="s">
        <v>373</v>
      </c>
      <c r="E15" s="4" t="str">
        <f aca="false">IFERROR(INDEX(연결!$C$5:$C$35,MATCH(D15,연결!$A$5:$A$35,0)),"")</f>
        <v>BIA BIA·중요도 분석 → RA 리스크평가</v>
      </c>
      <c r="F15" s="27" t="str">
        <f aca="false">IFERROR(INDEX(연결!$G$5:$G$35,MATCH(D15,연결!$A$5:$A$35,0)),"")</f>
        <v>근거가 된다</v>
      </c>
      <c r="G15" s="27" t="s">
        <v>75</v>
      </c>
      <c r="H15" s="12" t="s">
        <v>1325</v>
      </c>
      <c r="I15" s="27" t="str">
        <f aca="false">IFERROR(INDEX(연결!$H$5:$H$35,MATCH(D15,연결!$A$5:$A$35,0)),"")</f>
        <v>E1</v>
      </c>
      <c r="J15" s="27"/>
      <c r="K15" s="15" t="s">
        <v>1326</v>
      </c>
      <c r="L15" s="6" t="s">
        <v>1306</v>
      </c>
      <c r="M15" s="20"/>
      <c r="N15" s="20"/>
      <c r="O15" s="20"/>
      <c r="P15" s="20"/>
      <c r="Q15" s="20"/>
      <c r="R15" s="20"/>
      <c r="S15" s="35" t="str">
        <f aca="false">IFERROR(COUNTIF(M15:R15,"&gt;=3")/COUNT(M15:R15),"")</f>
        <v/>
      </c>
      <c r="T15" s="27" t="str">
        <f aca="false">IF(S15="","",IF(S15&gt;=검증!$B$4,"채택","수정·토론"))</f>
        <v/>
      </c>
      <c r="U15" s="27" t="str">
        <f aca="false">IF(COUNTIF($A$5:$A$183,A15)&lt;&gt;1,"ID 중복",IF(B15="C 연결",IF(COUNTIF(연결!$A$5:$A$35,D15)=1,"OK","연결 없음"),"OK"))</f>
        <v>OK</v>
      </c>
    </row>
    <row r="16" customFormat="false" ht="33.75" hidden="false" customHeight="true" outlineLevel="0" collapsed="false">
      <c r="A16" s="13" t="s">
        <v>1100</v>
      </c>
      <c r="B16" s="4" t="s">
        <v>1303</v>
      </c>
      <c r="C16" s="6" t="s">
        <v>654</v>
      </c>
      <c r="D16" s="15" t="s">
        <v>373</v>
      </c>
      <c r="E16" s="4" t="str">
        <f aca="false">IFERROR(INDEX(연결!$C$5:$C$35,MATCH(D16,연결!$A$5:$A$35,0)),"")</f>
        <v>BIA BIA·중요도 분석 → RA 리스크평가</v>
      </c>
      <c r="F16" s="27" t="str">
        <f aca="false">IFERROR(INDEX(연결!$G$5:$G$35,MATCH(D16,연결!$A$5:$A$35,0)),"")</f>
        <v>근거가 된다</v>
      </c>
      <c r="G16" s="27" t="s">
        <v>81</v>
      </c>
      <c r="H16" s="12" t="s">
        <v>1327</v>
      </c>
      <c r="I16" s="27" t="str">
        <f aca="false">IFERROR(INDEX(연결!$H$5:$H$35,MATCH(D16,연결!$A$5:$A$35,0)),"")</f>
        <v>E1</v>
      </c>
      <c r="J16" s="27"/>
      <c r="K16" s="15" t="s">
        <v>1328</v>
      </c>
      <c r="L16" s="6" t="s">
        <v>1306</v>
      </c>
      <c r="M16" s="20"/>
      <c r="N16" s="20"/>
      <c r="O16" s="20"/>
      <c r="P16" s="20"/>
      <c r="Q16" s="20"/>
      <c r="R16" s="20"/>
      <c r="S16" s="35" t="str">
        <f aca="false">IFERROR(COUNTIF(M16:R16,"&gt;=3")/COUNT(M16:R16),"")</f>
        <v/>
      </c>
      <c r="T16" s="27" t="str">
        <f aca="false">IF(S16="","",IF(S16&gt;=검증!$B$4,"채택","수정·토론"))</f>
        <v/>
      </c>
      <c r="U16" s="27" t="str">
        <f aca="false">IF(COUNTIF($A$5:$A$183,A16)&lt;&gt;1,"ID 중복",IF(B16="C 연결",IF(COUNTIF(연결!$A$5:$A$35,D16)=1,"OK","연결 없음"),"OK"))</f>
        <v>OK</v>
      </c>
    </row>
    <row r="17" customFormat="false" ht="33.75" hidden="false" customHeight="true" outlineLevel="0" collapsed="false">
      <c r="A17" s="13" t="s">
        <v>1101</v>
      </c>
      <c r="B17" s="4" t="s">
        <v>1303</v>
      </c>
      <c r="C17" s="6" t="s">
        <v>654</v>
      </c>
      <c r="D17" s="15" t="s">
        <v>373</v>
      </c>
      <c r="E17" s="4" t="str">
        <f aca="false">IFERROR(INDEX(연결!$C$5:$C$35,MATCH(D17,연결!$A$5:$A$35,0)),"")</f>
        <v>BIA BIA·중요도 분석 → RA 리스크평가</v>
      </c>
      <c r="F17" s="27" t="str">
        <f aca="false">IFERROR(INDEX(연결!$G$5:$G$35,MATCH(D17,연결!$A$5:$A$35,0)),"")</f>
        <v>근거가 된다</v>
      </c>
      <c r="G17" s="27" t="s">
        <v>85</v>
      </c>
      <c r="H17" s="12" t="s">
        <v>1329</v>
      </c>
      <c r="I17" s="27" t="str">
        <f aca="false">IFERROR(INDEX(연결!$H$5:$H$35,MATCH(D17,연결!$A$5:$A$35,0)),"")</f>
        <v>E1</v>
      </c>
      <c r="J17" s="27"/>
      <c r="K17" s="15" t="s">
        <v>1330</v>
      </c>
      <c r="L17" s="6" t="s">
        <v>1306</v>
      </c>
      <c r="M17" s="20"/>
      <c r="N17" s="20"/>
      <c r="O17" s="20"/>
      <c r="P17" s="20"/>
      <c r="Q17" s="20"/>
      <c r="R17" s="20"/>
      <c r="S17" s="35" t="str">
        <f aca="false">IFERROR(COUNTIF(M17:R17,"&gt;=3")/COUNT(M17:R17),"")</f>
        <v/>
      </c>
      <c r="T17" s="27" t="str">
        <f aca="false">IF(S17="","",IF(S17&gt;=검증!$B$4,"채택","수정·토론"))</f>
        <v/>
      </c>
      <c r="U17" s="27" t="str">
        <f aca="false">IF(COUNTIF($A$5:$A$183,A17)&lt;&gt;1,"ID 중복",IF(B17="C 연결",IF(COUNTIF(연결!$A$5:$A$35,D17)=1,"OK","연결 없음"),"OK"))</f>
        <v>OK</v>
      </c>
    </row>
    <row r="18" customFormat="false" ht="33.75" hidden="false" customHeight="true" outlineLevel="0" collapsed="false">
      <c r="A18" s="13" t="s">
        <v>1102</v>
      </c>
      <c r="B18" s="4" t="s">
        <v>1303</v>
      </c>
      <c r="C18" s="6" t="s">
        <v>654</v>
      </c>
      <c r="D18" s="15" t="s">
        <v>373</v>
      </c>
      <c r="E18" s="4" t="str">
        <f aca="false">IFERROR(INDEX(연결!$C$5:$C$35,MATCH(D18,연결!$A$5:$A$35,0)),"")</f>
        <v>BIA BIA·중요도 분석 → RA 리스크평가</v>
      </c>
      <c r="F18" s="27" t="str">
        <f aca="false">IFERROR(INDEX(연결!$G$5:$G$35,MATCH(D18,연결!$A$5:$A$35,0)),"")</f>
        <v>근거가 된다</v>
      </c>
      <c r="G18" s="27" t="s">
        <v>90</v>
      </c>
      <c r="H18" s="12" t="s">
        <v>1331</v>
      </c>
      <c r="I18" s="27" t="str">
        <f aca="false">IFERROR(INDEX(연결!$H$5:$H$35,MATCH(D18,연결!$A$5:$A$35,0)),"")</f>
        <v>E1</v>
      </c>
      <c r="J18" s="27"/>
      <c r="K18" s="15" t="s">
        <v>1332</v>
      </c>
      <c r="L18" s="6" t="s">
        <v>1306</v>
      </c>
      <c r="M18" s="20"/>
      <c r="N18" s="20"/>
      <c r="O18" s="20"/>
      <c r="P18" s="20"/>
      <c r="Q18" s="20"/>
      <c r="R18" s="20"/>
      <c r="S18" s="35" t="str">
        <f aca="false">IFERROR(COUNTIF(M18:R18,"&gt;=3")/COUNT(M18:R18),"")</f>
        <v/>
      </c>
      <c r="T18" s="27" t="str">
        <f aca="false">IF(S18="","",IF(S18&gt;=검증!$B$4,"채택","수정·토론"))</f>
        <v/>
      </c>
      <c r="U18" s="27" t="str">
        <f aca="false">IF(COUNTIF($A$5:$A$183,A18)&lt;&gt;1,"ID 중복",IF(B18="C 연결",IF(COUNTIF(연결!$A$5:$A$35,D18)=1,"OK","연결 없음"),"OK"))</f>
        <v>OK</v>
      </c>
    </row>
    <row r="19" customFormat="false" ht="33.75" hidden="false" customHeight="true" outlineLevel="0" collapsed="false">
      <c r="A19" s="13" t="s">
        <v>1103</v>
      </c>
      <c r="B19" s="4" t="s">
        <v>1303</v>
      </c>
      <c r="C19" s="6" t="s">
        <v>654</v>
      </c>
      <c r="D19" s="15" t="s">
        <v>373</v>
      </c>
      <c r="E19" s="4" t="str">
        <f aca="false">IFERROR(INDEX(연결!$C$5:$C$35,MATCH(D19,연결!$A$5:$A$35,0)),"")</f>
        <v>BIA BIA·중요도 분석 → RA 리스크평가</v>
      </c>
      <c r="F19" s="27" t="str">
        <f aca="false">IFERROR(INDEX(연결!$G$5:$G$35,MATCH(D19,연결!$A$5:$A$35,0)),"")</f>
        <v>근거가 된다</v>
      </c>
      <c r="G19" s="27" t="s">
        <v>95</v>
      </c>
      <c r="H19" s="12" t="s">
        <v>1333</v>
      </c>
      <c r="I19" s="27" t="str">
        <f aca="false">IFERROR(INDEX(연결!$H$5:$H$35,MATCH(D19,연결!$A$5:$A$35,0)),"")</f>
        <v>E1</v>
      </c>
      <c r="J19" s="27"/>
      <c r="K19" s="15" t="s">
        <v>1334</v>
      </c>
      <c r="L19" s="6" t="s">
        <v>1306</v>
      </c>
      <c r="M19" s="20"/>
      <c r="N19" s="20"/>
      <c r="O19" s="20"/>
      <c r="P19" s="20"/>
      <c r="Q19" s="20"/>
      <c r="R19" s="20"/>
      <c r="S19" s="35" t="str">
        <f aca="false">IFERROR(COUNTIF(M19:R19,"&gt;=3")/COUNT(M19:R19),"")</f>
        <v/>
      </c>
      <c r="T19" s="27" t="str">
        <f aca="false">IF(S19="","",IF(S19&gt;=검증!$B$4,"채택","수정·토론"))</f>
        <v/>
      </c>
      <c r="U19" s="27" t="str">
        <f aca="false">IF(COUNTIF($A$5:$A$183,A19)&lt;&gt;1,"ID 중복",IF(B19="C 연결",IF(COUNTIF(연결!$A$5:$A$35,D19)=1,"OK","연결 없음"),"OK"))</f>
        <v>OK</v>
      </c>
    </row>
    <row r="20" customFormat="false" ht="33.75" hidden="false" customHeight="true" outlineLevel="0" collapsed="false">
      <c r="A20" s="13" t="s">
        <v>1105</v>
      </c>
      <c r="B20" s="4" t="s">
        <v>1303</v>
      </c>
      <c r="C20" s="6" t="s">
        <v>654</v>
      </c>
      <c r="D20" s="15" t="s">
        <v>675</v>
      </c>
      <c r="E20" s="4" t="str">
        <f aca="false">IFERROR(INDEX(연결!$C$5:$C$35,MATCH(D20,연결!$A$5:$A$35,0)),"")</f>
        <v>REQ 요구사항관리 → AUD 내부감사</v>
      </c>
      <c r="F20" s="27" t="str">
        <f aca="false">IFERROR(INDEX(연결!$G$5:$G$35,MATCH(D20,연결!$A$5:$A$35,0)),"")</f>
        <v>입력된다·활용된다</v>
      </c>
      <c r="G20" s="27" t="s">
        <v>75</v>
      </c>
      <c r="H20" s="12" t="s">
        <v>1335</v>
      </c>
      <c r="I20" s="27" t="str">
        <f aca="false">IFERROR(INDEX(연결!$H$5:$H$35,MATCH(D20,연결!$A$5:$A$35,0)),"")</f>
        <v>E1</v>
      </c>
      <c r="J20" s="27"/>
      <c r="K20" s="15" t="s">
        <v>1336</v>
      </c>
      <c r="L20" s="6" t="s">
        <v>1306</v>
      </c>
      <c r="M20" s="20"/>
      <c r="N20" s="20"/>
      <c r="O20" s="20"/>
      <c r="P20" s="20"/>
      <c r="Q20" s="20"/>
      <c r="R20" s="20"/>
      <c r="S20" s="35" t="str">
        <f aca="false">IFERROR(COUNTIF(M20:R20,"&gt;=3")/COUNT(M20:R20),"")</f>
        <v/>
      </c>
      <c r="T20" s="27" t="str">
        <f aca="false">IF(S20="","",IF(S20&gt;=검증!$B$4,"채택","수정·토론"))</f>
        <v/>
      </c>
      <c r="U20" s="27" t="str">
        <f aca="false">IF(COUNTIF($A$5:$A$183,A20)&lt;&gt;1,"ID 중복",IF(B20="C 연결",IF(COUNTIF(연결!$A$5:$A$35,D20)=1,"OK","연결 없음"),"OK"))</f>
        <v>OK</v>
      </c>
    </row>
    <row r="21" customFormat="false" ht="33.75" hidden="false" customHeight="true" outlineLevel="0" collapsed="false">
      <c r="A21" s="13" t="s">
        <v>1106</v>
      </c>
      <c r="B21" s="4" t="s">
        <v>1303</v>
      </c>
      <c r="C21" s="6" t="s">
        <v>654</v>
      </c>
      <c r="D21" s="15" t="s">
        <v>675</v>
      </c>
      <c r="E21" s="4" t="str">
        <f aca="false">IFERROR(INDEX(연결!$C$5:$C$35,MATCH(D21,연결!$A$5:$A$35,0)),"")</f>
        <v>REQ 요구사항관리 → AUD 내부감사</v>
      </c>
      <c r="F21" s="27" t="str">
        <f aca="false">IFERROR(INDEX(연결!$G$5:$G$35,MATCH(D21,연결!$A$5:$A$35,0)),"")</f>
        <v>입력된다·활용된다</v>
      </c>
      <c r="G21" s="27" t="s">
        <v>81</v>
      </c>
      <c r="H21" s="12" t="s">
        <v>1337</v>
      </c>
      <c r="I21" s="27" t="str">
        <f aca="false">IFERROR(INDEX(연결!$H$5:$H$35,MATCH(D21,연결!$A$5:$A$35,0)),"")</f>
        <v>E1</v>
      </c>
      <c r="J21" s="27"/>
      <c r="K21" s="15" t="s">
        <v>1338</v>
      </c>
      <c r="L21" s="6" t="s">
        <v>1306</v>
      </c>
      <c r="M21" s="20"/>
      <c r="N21" s="20"/>
      <c r="O21" s="20"/>
      <c r="P21" s="20"/>
      <c r="Q21" s="20"/>
      <c r="R21" s="20"/>
      <c r="S21" s="35" t="str">
        <f aca="false">IFERROR(COUNTIF(M21:R21,"&gt;=3")/COUNT(M21:R21),"")</f>
        <v/>
      </c>
      <c r="T21" s="27" t="str">
        <f aca="false">IF(S21="","",IF(S21&gt;=검증!$B$4,"채택","수정·토론"))</f>
        <v/>
      </c>
      <c r="U21" s="27" t="str">
        <f aca="false">IF(COUNTIF($A$5:$A$183,A21)&lt;&gt;1,"ID 중복",IF(B21="C 연결",IF(COUNTIF(연결!$A$5:$A$35,D21)=1,"OK","연결 없음"),"OK"))</f>
        <v>OK</v>
      </c>
    </row>
    <row r="22" customFormat="false" ht="33.75" hidden="false" customHeight="true" outlineLevel="0" collapsed="false">
      <c r="A22" s="13" t="s">
        <v>1107</v>
      </c>
      <c r="B22" s="4" t="s">
        <v>1303</v>
      </c>
      <c r="C22" s="6" t="s">
        <v>654</v>
      </c>
      <c r="D22" s="15" t="s">
        <v>675</v>
      </c>
      <c r="E22" s="4" t="str">
        <f aca="false">IFERROR(INDEX(연결!$C$5:$C$35,MATCH(D22,연결!$A$5:$A$35,0)),"")</f>
        <v>REQ 요구사항관리 → AUD 내부감사</v>
      </c>
      <c r="F22" s="27" t="str">
        <f aca="false">IFERROR(INDEX(연결!$G$5:$G$35,MATCH(D22,연결!$A$5:$A$35,0)),"")</f>
        <v>입력된다·활용된다</v>
      </c>
      <c r="G22" s="27" t="s">
        <v>85</v>
      </c>
      <c r="H22" s="12" t="s">
        <v>1339</v>
      </c>
      <c r="I22" s="27" t="str">
        <f aca="false">IFERROR(INDEX(연결!$H$5:$H$35,MATCH(D22,연결!$A$5:$A$35,0)),"")</f>
        <v>E1</v>
      </c>
      <c r="J22" s="27"/>
      <c r="K22" s="15" t="s">
        <v>1340</v>
      </c>
      <c r="L22" s="6" t="s">
        <v>1306</v>
      </c>
      <c r="M22" s="20"/>
      <c r="N22" s="20"/>
      <c r="O22" s="20"/>
      <c r="P22" s="20"/>
      <c r="Q22" s="20"/>
      <c r="R22" s="20"/>
      <c r="S22" s="35" t="str">
        <f aca="false">IFERROR(COUNTIF(M22:R22,"&gt;=3")/COUNT(M22:R22),"")</f>
        <v/>
      </c>
      <c r="T22" s="27" t="str">
        <f aca="false">IF(S22="","",IF(S22&gt;=검증!$B$4,"채택","수정·토론"))</f>
        <v/>
      </c>
      <c r="U22" s="27" t="str">
        <f aca="false">IF(COUNTIF($A$5:$A$183,A22)&lt;&gt;1,"ID 중복",IF(B22="C 연결",IF(COUNTIF(연결!$A$5:$A$35,D22)=1,"OK","연결 없음"),"OK"))</f>
        <v>OK</v>
      </c>
    </row>
    <row r="23" customFormat="false" ht="33.75" hidden="false" customHeight="true" outlineLevel="0" collapsed="false">
      <c r="A23" s="13" t="s">
        <v>1108</v>
      </c>
      <c r="B23" s="4" t="s">
        <v>1303</v>
      </c>
      <c r="C23" s="6" t="s">
        <v>654</v>
      </c>
      <c r="D23" s="15" t="s">
        <v>675</v>
      </c>
      <c r="E23" s="4" t="str">
        <f aca="false">IFERROR(INDEX(연결!$C$5:$C$35,MATCH(D23,연결!$A$5:$A$35,0)),"")</f>
        <v>REQ 요구사항관리 → AUD 내부감사</v>
      </c>
      <c r="F23" s="27" t="str">
        <f aca="false">IFERROR(INDEX(연결!$G$5:$G$35,MATCH(D23,연결!$A$5:$A$35,0)),"")</f>
        <v>입력된다·활용된다</v>
      </c>
      <c r="G23" s="27" t="s">
        <v>90</v>
      </c>
      <c r="H23" s="12" t="s">
        <v>1341</v>
      </c>
      <c r="I23" s="27" t="str">
        <f aca="false">IFERROR(INDEX(연결!$H$5:$H$35,MATCH(D23,연결!$A$5:$A$35,0)),"")</f>
        <v>E1</v>
      </c>
      <c r="J23" s="27"/>
      <c r="K23" s="15" t="s">
        <v>1342</v>
      </c>
      <c r="L23" s="6" t="s">
        <v>1306</v>
      </c>
      <c r="M23" s="20"/>
      <c r="N23" s="20"/>
      <c r="O23" s="20"/>
      <c r="P23" s="20"/>
      <c r="Q23" s="20"/>
      <c r="R23" s="20"/>
      <c r="S23" s="35" t="str">
        <f aca="false">IFERROR(COUNTIF(M23:R23,"&gt;=3")/COUNT(M23:R23),"")</f>
        <v/>
      </c>
      <c r="T23" s="27" t="str">
        <f aca="false">IF(S23="","",IF(S23&gt;=검증!$B$4,"채택","수정·토론"))</f>
        <v/>
      </c>
      <c r="U23" s="27" t="str">
        <f aca="false">IF(COUNTIF($A$5:$A$183,A23)&lt;&gt;1,"ID 중복",IF(B23="C 연결",IF(COUNTIF(연결!$A$5:$A$35,D23)=1,"OK","연결 없음"),"OK"))</f>
        <v>OK</v>
      </c>
    </row>
    <row r="24" customFormat="false" ht="33.75" hidden="false" customHeight="true" outlineLevel="0" collapsed="false">
      <c r="A24" s="13" t="s">
        <v>1109</v>
      </c>
      <c r="B24" s="4" t="s">
        <v>1303</v>
      </c>
      <c r="C24" s="6" t="s">
        <v>654</v>
      </c>
      <c r="D24" s="15" t="s">
        <v>675</v>
      </c>
      <c r="E24" s="4" t="str">
        <f aca="false">IFERROR(INDEX(연결!$C$5:$C$35,MATCH(D24,연결!$A$5:$A$35,0)),"")</f>
        <v>REQ 요구사항관리 → AUD 내부감사</v>
      </c>
      <c r="F24" s="27" t="str">
        <f aca="false">IFERROR(INDEX(연결!$G$5:$G$35,MATCH(D24,연결!$A$5:$A$35,0)),"")</f>
        <v>입력된다·활용된다</v>
      </c>
      <c r="G24" s="27" t="s">
        <v>95</v>
      </c>
      <c r="H24" s="12" t="s">
        <v>1343</v>
      </c>
      <c r="I24" s="27" t="str">
        <f aca="false">IFERROR(INDEX(연결!$H$5:$H$35,MATCH(D24,연결!$A$5:$A$35,0)),"")</f>
        <v>E1</v>
      </c>
      <c r="J24" s="27"/>
      <c r="K24" s="15" t="s">
        <v>1344</v>
      </c>
      <c r="L24" s="6" t="s">
        <v>1306</v>
      </c>
      <c r="M24" s="20"/>
      <c r="N24" s="20"/>
      <c r="O24" s="20"/>
      <c r="P24" s="20"/>
      <c r="Q24" s="20"/>
      <c r="R24" s="20"/>
      <c r="S24" s="35" t="str">
        <f aca="false">IFERROR(COUNTIF(M24:R24,"&gt;=3")/COUNT(M24:R24),"")</f>
        <v/>
      </c>
      <c r="T24" s="27" t="str">
        <f aca="false">IF(S24="","",IF(S24&gt;=검증!$B$4,"채택","수정·토론"))</f>
        <v/>
      </c>
      <c r="U24" s="27" t="str">
        <f aca="false">IF(COUNTIF($A$5:$A$183,A24)&lt;&gt;1,"ID 중복",IF(B24="C 연결",IF(COUNTIF(연결!$A$5:$A$35,D24)=1,"OK","연결 없음"),"OK"))</f>
        <v>OK</v>
      </c>
    </row>
    <row r="25" customFormat="false" ht="33.75" hidden="false" customHeight="true" outlineLevel="0" collapsed="false">
      <c r="A25" s="13" t="s">
        <v>1111</v>
      </c>
      <c r="B25" s="4" t="s">
        <v>1303</v>
      </c>
      <c r="C25" s="6" t="s">
        <v>654</v>
      </c>
      <c r="D25" s="15" t="s">
        <v>680</v>
      </c>
      <c r="E25" s="4" t="str">
        <f aca="false">IFERROR(INDEX(연결!$C$5:$C$35,MATCH(D25,연결!$A$5:$A$35,0)),"")</f>
        <v>REQ 요구사항관리 → SUP 공급망관리</v>
      </c>
      <c r="F25" s="27" t="str">
        <f aca="false">IFERROR(INDEX(연결!$G$5:$G$35,MATCH(D25,연결!$A$5:$A$35,0)),"")</f>
        <v>입력된다·활용된다</v>
      </c>
      <c r="G25" s="27" t="s">
        <v>75</v>
      </c>
      <c r="H25" s="12" t="s">
        <v>1345</v>
      </c>
      <c r="I25" s="27" t="str">
        <f aca="false">IFERROR(INDEX(연결!$H$5:$H$35,MATCH(D25,연결!$A$5:$A$35,0)),"")</f>
        <v>E1</v>
      </c>
      <c r="J25" s="27"/>
      <c r="K25" s="15" t="s">
        <v>1346</v>
      </c>
      <c r="L25" s="6" t="s">
        <v>1306</v>
      </c>
      <c r="M25" s="20"/>
      <c r="N25" s="20"/>
      <c r="O25" s="20"/>
      <c r="P25" s="20"/>
      <c r="Q25" s="20"/>
      <c r="R25" s="20"/>
      <c r="S25" s="35" t="str">
        <f aca="false">IFERROR(COUNTIF(M25:R25,"&gt;=3")/COUNT(M25:R25),"")</f>
        <v/>
      </c>
      <c r="T25" s="27" t="str">
        <f aca="false">IF(S25="","",IF(S25&gt;=검증!$B$4,"채택","수정·토론"))</f>
        <v/>
      </c>
      <c r="U25" s="27" t="str">
        <f aca="false">IF(COUNTIF($A$5:$A$183,A25)&lt;&gt;1,"ID 중복",IF(B25="C 연결",IF(COUNTIF(연결!$A$5:$A$35,D25)=1,"OK","연결 없음"),"OK"))</f>
        <v>OK</v>
      </c>
    </row>
    <row r="26" customFormat="false" ht="33.75" hidden="false" customHeight="true" outlineLevel="0" collapsed="false">
      <c r="A26" s="13" t="s">
        <v>1112</v>
      </c>
      <c r="B26" s="4" t="s">
        <v>1303</v>
      </c>
      <c r="C26" s="6" t="s">
        <v>654</v>
      </c>
      <c r="D26" s="15" t="s">
        <v>680</v>
      </c>
      <c r="E26" s="4" t="str">
        <f aca="false">IFERROR(INDEX(연결!$C$5:$C$35,MATCH(D26,연결!$A$5:$A$35,0)),"")</f>
        <v>REQ 요구사항관리 → SUP 공급망관리</v>
      </c>
      <c r="F26" s="27" t="str">
        <f aca="false">IFERROR(INDEX(연결!$G$5:$G$35,MATCH(D26,연결!$A$5:$A$35,0)),"")</f>
        <v>입력된다·활용된다</v>
      </c>
      <c r="G26" s="27" t="s">
        <v>81</v>
      </c>
      <c r="H26" s="12" t="s">
        <v>1347</v>
      </c>
      <c r="I26" s="27" t="str">
        <f aca="false">IFERROR(INDEX(연결!$H$5:$H$35,MATCH(D26,연결!$A$5:$A$35,0)),"")</f>
        <v>E1</v>
      </c>
      <c r="J26" s="27"/>
      <c r="K26" s="15" t="s">
        <v>1348</v>
      </c>
      <c r="L26" s="6" t="s">
        <v>1306</v>
      </c>
      <c r="M26" s="20"/>
      <c r="N26" s="20"/>
      <c r="O26" s="20"/>
      <c r="P26" s="20"/>
      <c r="Q26" s="20"/>
      <c r="R26" s="20"/>
      <c r="S26" s="35" t="str">
        <f aca="false">IFERROR(COUNTIF(M26:R26,"&gt;=3")/COUNT(M26:R26),"")</f>
        <v/>
      </c>
      <c r="T26" s="27" t="str">
        <f aca="false">IF(S26="","",IF(S26&gt;=검증!$B$4,"채택","수정·토론"))</f>
        <v/>
      </c>
      <c r="U26" s="27" t="str">
        <f aca="false">IF(COUNTIF($A$5:$A$183,A26)&lt;&gt;1,"ID 중복",IF(B26="C 연결",IF(COUNTIF(연결!$A$5:$A$35,D26)=1,"OK","연결 없음"),"OK"))</f>
        <v>OK</v>
      </c>
    </row>
    <row r="27" customFormat="false" ht="33.75" hidden="false" customHeight="true" outlineLevel="0" collapsed="false">
      <c r="A27" s="13" t="s">
        <v>1113</v>
      </c>
      <c r="B27" s="4" t="s">
        <v>1303</v>
      </c>
      <c r="C27" s="6" t="s">
        <v>654</v>
      </c>
      <c r="D27" s="15" t="s">
        <v>680</v>
      </c>
      <c r="E27" s="4" t="str">
        <f aca="false">IFERROR(INDEX(연결!$C$5:$C$35,MATCH(D27,연결!$A$5:$A$35,0)),"")</f>
        <v>REQ 요구사항관리 → SUP 공급망관리</v>
      </c>
      <c r="F27" s="27" t="str">
        <f aca="false">IFERROR(INDEX(연결!$G$5:$G$35,MATCH(D27,연결!$A$5:$A$35,0)),"")</f>
        <v>입력된다·활용된다</v>
      </c>
      <c r="G27" s="27" t="s">
        <v>85</v>
      </c>
      <c r="H27" s="12" t="s">
        <v>1349</v>
      </c>
      <c r="I27" s="27" t="str">
        <f aca="false">IFERROR(INDEX(연결!$H$5:$H$35,MATCH(D27,연결!$A$5:$A$35,0)),"")</f>
        <v>E1</v>
      </c>
      <c r="J27" s="27"/>
      <c r="K27" s="15" t="s">
        <v>1350</v>
      </c>
      <c r="L27" s="6" t="s">
        <v>1306</v>
      </c>
      <c r="M27" s="20"/>
      <c r="N27" s="20"/>
      <c r="O27" s="20"/>
      <c r="P27" s="20"/>
      <c r="Q27" s="20"/>
      <c r="R27" s="20"/>
      <c r="S27" s="35" t="str">
        <f aca="false">IFERROR(COUNTIF(M27:R27,"&gt;=3")/COUNT(M27:R27),"")</f>
        <v/>
      </c>
      <c r="T27" s="27" t="str">
        <f aca="false">IF(S27="","",IF(S27&gt;=검증!$B$4,"채택","수정·토론"))</f>
        <v/>
      </c>
      <c r="U27" s="27" t="str">
        <f aca="false">IF(COUNTIF($A$5:$A$183,A27)&lt;&gt;1,"ID 중복",IF(B27="C 연결",IF(COUNTIF(연결!$A$5:$A$35,D27)=1,"OK","연결 없음"),"OK"))</f>
        <v>OK</v>
      </c>
    </row>
    <row r="28" customFormat="false" ht="33.75" hidden="false" customHeight="true" outlineLevel="0" collapsed="false">
      <c r="A28" s="13" t="s">
        <v>1114</v>
      </c>
      <c r="B28" s="4" t="s">
        <v>1303</v>
      </c>
      <c r="C28" s="6" t="s">
        <v>654</v>
      </c>
      <c r="D28" s="15" t="s">
        <v>680</v>
      </c>
      <c r="E28" s="4" t="str">
        <f aca="false">IFERROR(INDEX(연결!$C$5:$C$35,MATCH(D28,연결!$A$5:$A$35,0)),"")</f>
        <v>REQ 요구사항관리 → SUP 공급망관리</v>
      </c>
      <c r="F28" s="27" t="str">
        <f aca="false">IFERROR(INDEX(연결!$G$5:$G$35,MATCH(D28,연결!$A$5:$A$35,0)),"")</f>
        <v>입력된다·활용된다</v>
      </c>
      <c r="G28" s="27" t="s">
        <v>90</v>
      </c>
      <c r="H28" s="12" t="s">
        <v>1351</v>
      </c>
      <c r="I28" s="27" t="str">
        <f aca="false">IFERROR(INDEX(연결!$H$5:$H$35,MATCH(D28,연결!$A$5:$A$35,0)),"")</f>
        <v>E1</v>
      </c>
      <c r="J28" s="27"/>
      <c r="K28" s="15" t="s">
        <v>1352</v>
      </c>
      <c r="L28" s="6" t="s">
        <v>1306</v>
      </c>
      <c r="M28" s="20"/>
      <c r="N28" s="20"/>
      <c r="O28" s="20"/>
      <c r="P28" s="20"/>
      <c r="Q28" s="20"/>
      <c r="R28" s="20"/>
      <c r="S28" s="35" t="str">
        <f aca="false">IFERROR(COUNTIF(M28:R28,"&gt;=3")/COUNT(M28:R28),"")</f>
        <v/>
      </c>
      <c r="T28" s="27" t="str">
        <f aca="false">IF(S28="","",IF(S28&gt;=검증!$B$4,"채택","수정·토론"))</f>
        <v/>
      </c>
      <c r="U28" s="27" t="str">
        <f aca="false">IF(COUNTIF($A$5:$A$183,A28)&lt;&gt;1,"ID 중복",IF(B28="C 연결",IF(COUNTIF(연결!$A$5:$A$35,D28)=1,"OK","연결 없음"),"OK"))</f>
        <v>OK</v>
      </c>
    </row>
    <row r="29" customFormat="false" ht="33.75" hidden="false" customHeight="true" outlineLevel="0" collapsed="false">
      <c r="A29" s="13" t="s">
        <v>1115</v>
      </c>
      <c r="B29" s="4" t="s">
        <v>1303</v>
      </c>
      <c r="C29" s="6" t="s">
        <v>654</v>
      </c>
      <c r="D29" s="15" t="s">
        <v>680</v>
      </c>
      <c r="E29" s="4" t="str">
        <f aca="false">IFERROR(INDEX(연결!$C$5:$C$35,MATCH(D29,연결!$A$5:$A$35,0)),"")</f>
        <v>REQ 요구사항관리 → SUP 공급망관리</v>
      </c>
      <c r="F29" s="27" t="str">
        <f aca="false">IFERROR(INDEX(연결!$G$5:$G$35,MATCH(D29,연결!$A$5:$A$35,0)),"")</f>
        <v>입력된다·활용된다</v>
      </c>
      <c r="G29" s="27" t="s">
        <v>95</v>
      </c>
      <c r="H29" s="12" t="s">
        <v>1353</v>
      </c>
      <c r="I29" s="27" t="str">
        <f aca="false">IFERROR(INDEX(연결!$H$5:$H$35,MATCH(D29,연결!$A$5:$A$35,0)),"")</f>
        <v>E1</v>
      </c>
      <c r="J29" s="27"/>
      <c r="K29" s="15" t="s">
        <v>1354</v>
      </c>
      <c r="L29" s="6" t="s">
        <v>1306</v>
      </c>
      <c r="M29" s="20"/>
      <c r="N29" s="20"/>
      <c r="O29" s="20"/>
      <c r="P29" s="20"/>
      <c r="Q29" s="20"/>
      <c r="R29" s="20"/>
      <c r="S29" s="35" t="str">
        <f aca="false">IFERROR(COUNTIF(M29:R29,"&gt;=3")/COUNT(M29:R29),"")</f>
        <v/>
      </c>
      <c r="T29" s="27" t="str">
        <f aca="false">IF(S29="","",IF(S29&gt;=검증!$B$4,"채택","수정·토론"))</f>
        <v/>
      </c>
      <c r="U29" s="27" t="str">
        <f aca="false">IF(COUNTIF($A$5:$A$183,A29)&lt;&gt;1,"ID 중복",IF(B29="C 연결",IF(COUNTIF(연결!$A$5:$A$35,D29)=1,"OK","연결 없음"),"OK"))</f>
        <v>OK</v>
      </c>
    </row>
    <row r="30" customFormat="false" ht="33.75" hidden="false" customHeight="true" outlineLevel="0" collapsed="false">
      <c r="A30" s="13" t="s">
        <v>1117</v>
      </c>
      <c r="B30" s="4" t="s">
        <v>1303</v>
      </c>
      <c r="C30" s="6" t="s">
        <v>685</v>
      </c>
      <c r="D30" s="15" t="s">
        <v>381</v>
      </c>
      <c r="E30" s="4" t="str">
        <f aca="false">IFERROR(INDEX(연결!$C$5:$C$35,MATCH(D30,연결!$A$5:$A$35,0)),"")</f>
        <v>BIA BIA·중요도 분석 → STR BC 전략·솔루션 결정·선정</v>
      </c>
      <c r="F30" s="27" t="str">
        <f aca="false">IFERROR(INDEX(연결!$G$5:$G$35,MATCH(D30,연결!$A$5:$A$35,0)),"")</f>
        <v>근거가 된다</v>
      </c>
      <c r="G30" s="27" t="s">
        <v>75</v>
      </c>
      <c r="H30" s="12" t="s">
        <v>1355</v>
      </c>
      <c r="I30" s="27" t="str">
        <f aca="false">IFERROR(INDEX(연결!$H$5:$H$35,MATCH(D30,연결!$A$5:$A$35,0)),"")</f>
        <v>E1</v>
      </c>
      <c r="J30" s="27"/>
      <c r="K30" s="15" t="s">
        <v>1356</v>
      </c>
      <c r="L30" s="6" t="s">
        <v>1306</v>
      </c>
      <c r="M30" s="20"/>
      <c r="N30" s="20"/>
      <c r="O30" s="20"/>
      <c r="P30" s="20"/>
      <c r="Q30" s="20"/>
      <c r="R30" s="20"/>
      <c r="S30" s="35" t="str">
        <f aca="false">IFERROR(COUNTIF(M30:R30,"&gt;=3")/COUNT(M30:R30),"")</f>
        <v/>
      </c>
      <c r="T30" s="27" t="str">
        <f aca="false">IF(S30="","",IF(S30&gt;=검증!$B$4,"채택","수정·토론"))</f>
        <v/>
      </c>
      <c r="U30" s="27" t="str">
        <f aca="false">IF(COUNTIF($A$5:$A$183,A30)&lt;&gt;1,"ID 중복",IF(B30="C 연결",IF(COUNTIF(연결!$A$5:$A$35,D30)=1,"OK","연결 없음"),"OK"))</f>
        <v>OK</v>
      </c>
    </row>
    <row r="31" customFormat="false" ht="33.75" hidden="false" customHeight="true" outlineLevel="0" collapsed="false">
      <c r="A31" s="13" t="s">
        <v>1118</v>
      </c>
      <c r="B31" s="4" t="s">
        <v>1303</v>
      </c>
      <c r="C31" s="6" t="s">
        <v>685</v>
      </c>
      <c r="D31" s="15" t="s">
        <v>381</v>
      </c>
      <c r="E31" s="4" t="str">
        <f aca="false">IFERROR(INDEX(연결!$C$5:$C$35,MATCH(D31,연결!$A$5:$A$35,0)),"")</f>
        <v>BIA BIA·중요도 분석 → STR BC 전략·솔루션 결정·선정</v>
      </c>
      <c r="F31" s="27" t="str">
        <f aca="false">IFERROR(INDEX(연결!$G$5:$G$35,MATCH(D31,연결!$A$5:$A$35,0)),"")</f>
        <v>근거가 된다</v>
      </c>
      <c r="G31" s="27" t="s">
        <v>81</v>
      </c>
      <c r="H31" s="12" t="s">
        <v>1357</v>
      </c>
      <c r="I31" s="27" t="str">
        <f aca="false">IFERROR(INDEX(연결!$H$5:$H$35,MATCH(D31,연결!$A$5:$A$35,0)),"")</f>
        <v>E1</v>
      </c>
      <c r="J31" s="27"/>
      <c r="K31" s="15" t="s">
        <v>1358</v>
      </c>
      <c r="L31" s="6" t="s">
        <v>1306</v>
      </c>
      <c r="M31" s="20"/>
      <c r="N31" s="20"/>
      <c r="O31" s="20"/>
      <c r="P31" s="20"/>
      <c r="Q31" s="20"/>
      <c r="R31" s="20"/>
      <c r="S31" s="35" t="str">
        <f aca="false">IFERROR(COUNTIF(M31:R31,"&gt;=3")/COUNT(M31:R31),"")</f>
        <v/>
      </c>
      <c r="T31" s="27" t="str">
        <f aca="false">IF(S31="","",IF(S31&gt;=검증!$B$4,"채택","수정·토론"))</f>
        <v/>
      </c>
      <c r="U31" s="27" t="str">
        <f aca="false">IF(COUNTIF($A$5:$A$183,A31)&lt;&gt;1,"ID 중복",IF(B31="C 연결",IF(COUNTIF(연결!$A$5:$A$35,D31)=1,"OK","연결 없음"),"OK"))</f>
        <v>OK</v>
      </c>
    </row>
    <row r="32" customFormat="false" ht="33.75" hidden="false" customHeight="true" outlineLevel="0" collapsed="false">
      <c r="A32" s="13" t="s">
        <v>1119</v>
      </c>
      <c r="B32" s="4" t="s">
        <v>1303</v>
      </c>
      <c r="C32" s="6" t="s">
        <v>685</v>
      </c>
      <c r="D32" s="15" t="s">
        <v>381</v>
      </c>
      <c r="E32" s="4" t="str">
        <f aca="false">IFERROR(INDEX(연결!$C$5:$C$35,MATCH(D32,연결!$A$5:$A$35,0)),"")</f>
        <v>BIA BIA·중요도 분석 → STR BC 전략·솔루션 결정·선정</v>
      </c>
      <c r="F32" s="27" t="str">
        <f aca="false">IFERROR(INDEX(연결!$G$5:$G$35,MATCH(D32,연결!$A$5:$A$35,0)),"")</f>
        <v>근거가 된다</v>
      </c>
      <c r="G32" s="27" t="s">
        <v>85</v>
      </c>
      <c r="H32" s="12" t="s">
        <v>1359</v>
      </c>
      <c r="I32" s="27" t="str">
        <f aca="false">IFERROR(INDEX(연결!$H$5:$H$35,MATCH(D32,연결!$A$5:$A$35,0)),"")</f>
        <v>E1</v>
      </c>
      <c r="J32" s="27"/>
      <c r="K32" s="15" t="s">
        <v>1360</v>
      </c>
      <c r="L32" s="6" t="s">
        <v>1306</v>
      </c>
      <c r="M32" s="20"/>
      <c r="N32" s="20"/>
      <c r="O32" s="20"/>
      <c r="P32" s="20"/>
      <c r="Q32" s="20"/>
      <c r="R32" s="20"/>
      <c r="S32" s="35" t="str">
        <f aca="false">IFERROR(COUNTIF(M32:R32,"&gt;=3")/COUNT(M32:R32),"")</f>
        <v/>
      </c>
      <c r="T32" s="27" t="str">
        <f aca="false">IF(S32="","",IF(S32&gt;=검증!$B$4,"채택","수정·토론"))</f>
        <v/>
      </c>
      <c r="U32" s="27" t="str">
        <f aca="false">IF(COUNTIF($A$5:$A$183,A32)&lt;&gt;1,"ID 중복",IF(B32="C 연결",IF(COUNTIF(연결!$A$5:$A$35,D32)=1,"OK","연결 없음"),"OK"))</f>
        <v>OK</v>
      </c>
    </row>
    <row r="33" customFormat="false" ht="33.75" hidden="false" customHeight="true" outlineLevel="0" collapsed="false">
      <c r="A33" s="13" t="s">
        <v>1120</v>
      </c>
      <c r="B33" s="4" t="s">
        <v>1303</v>
      </c>
      <c r="C33" s="6" t="s">
        <v>685</v>
      </c>
      <c r="D33" s="15" t="s">
        <v>381</v>
      </c>
      <c r="E33" s="4" t="str">
        <f aca="false">IFERROR(INDEX(연결!$C$5:$C$35,MATCH(D33,연결!$A$5:$A$35,0)),"")</f>
        <v>BIA BIA·중요도 분석 → STR BC 전략·솔루션 결정·선정</v>
      </c>
      <c r="F33" s="27" t="str">
        <f aca="false">IFERROR(INDEX(연결!$G$5:$G$35,MATCH(D33,연결!$A$5:$A$35,0)),"")</f>
        <v>근거가 된다</v>
      </c>
      <c r="G33" s="27" t="s">
        <v>90</v>
      </c>
      <c r="H33" s="12" t="s">
        <v>1361</v>
      </c>
      <c r="I33" s="27" t="str">
        <f aca="false">IFERROR(INDEX(연결!$H$5:$H$35,MATCH(D33,연결!$A$5:$A$35,0)),"")</f>
        <v>E1</v>
      </c>
      <c r="J33" s="27"/>
      <c r="K33" s="15" t="s">
        <v>1362</v>
      </c>
      <c r="L33" s="6" t="s">
        <v>1306</v>
      </c>
      <c r="M33" s="20"/>
      <c r="N33" s="20"/>
      <c r="O33" s="20"/>
      <c r="P33" s="20"/>
      <c r="Q33" s="20"/>
      <c r="R33" s="20"/>
      <c r="S33" s="35" t="str">
        <f aca="false">IFERROR(COUNTIF(M33:R33,"&gt;=3")/COUNT(M33:R33),"")</f>
        <v/>
      </c>
      <c r="T33" s="27" t="str">
        <f aca="false">IF(S33="","",IF(S33&gt;=검증!$B$4,"채택","수정·토론"))</f>
        <v/>
      </c>
      <c r="U33" s="27" t="str">
        <f aca="false">IF(COUNTIF($A$5:$A$183,A33)&lt;&gt;1,"ID 중복",IF(B33="C 연결",IF(COUNTIF(연결!$A$5:$A$35,D33)=1,"OK","연결 없음"),"OK"))</f>
        <v>OK</v>
      </c>
    </row>
    <row r="34" customFormat="false" ht="33.75" hidden="false" customHeight="true" outlineLevel="0" collapsed="false">
      <c r="A34" s="13" t="s">
        <v>1121</v>
      </c>
      <c r="B34" s="4" t="s">
        <v>1303</v>
      </c>
      <c r="C34" s="6" t="s">
        <v>685</v>
      </c>
      <c r="D34" s="15" t="s">
        <v>381</v>
      </c>
      <c r="E34" s="4" t="str">
        <f aca="false">IFERROR(INDEX(연결!$C$5:$C$35,MATCH(D34,연결!$A$5:$A$35,0)),"")</f>
        <v>BIA BIA·중요도 분석 → STR BC 전략·솔루션 결정·선정</v>
      </c>
      <c r="F34" s="27" t="str">
        <f aca="false">IFERROR(INDEX(연결!$G$5:$G$35,MATCH(D34,연결!$A$5:$A$35,0)),"")</f>
        <v>근거가 된다</v>
      </c>
      <c r="G34" s="27" t="s">
        <v>95</v>
      </c>
      <c r="H34" s="12" t="s">
        <v>1363</v>
      </c>
      <c r="I34" s="27" t="str">
        <f aca="false">IFERROR(INDEX(연결!$H$5:$H$35,MATCH(D34,연결!$A$5:$A$35,0)),"")</f>
        <v>E1</v>
      </c>
      <c r="J34" s="27"/>
      <c r="K34" s="15" t="s">
        <v>1364</v>
      </c>
      <c r="L34" s="6" t="s">
        <v>1306</v>
      </c>
      <c r="M34" s="20"/>
      <c r="N34" s="20"/>
      <c r="O34" s="20"/>
      <c r="P34" s="20"/>
      <c r="Q34" s="20"/>
      <c r="R34" s="20"/>
      <c r="S34" s="35" t="str">
        <f aca="false">IFERROR(COUNTIF(M34:R34,"&gt;=3")/COUNT(M34:R34),"")</f>
        <v/>
      </c>
      <c r="T34" s="27" t="str">
        <f aca="false">IF(S34="","",IF(S34&gt;=검증!$B$4,"채택","수정·토론"))</f>
        <v/>
      </c>
      <c r="U34" s="27" t="str">
        <f aca="false">IF(COUNTIF($A$5:$A$183,A34)&lt;&gt;1,"ID 중복",IF(B34="C 연결",IF(COUNTIF(연결!$A$5:$A$35,D34)=1,"OK","연결 없음"),"OK"))</f>
        <v>OK</v>
      </c>
    </row>
    <row r="35" customFormat="false" ht="33.75" hidden="false" customHeight="true" outlineLevel="0" collapsed="false">
      <c r="A35" s="13" t="s">
        <v>1123</v>
      </c>
      <c r="B35" s="4" t="s">
        <v>1303</v>
      </c>
      <c r="C35" s="6" t="s">
        <v>685</v>
      </c>
      <c r="D35" s="15" t="s">
        <v>385</v>
      </c>
      <c r="E35" s="4" t="str">
        <f aca="false">IFERROR(INDEX(연결!$C$5:$C$35,MATCH(D35,연결!$A$5:$A$35,0)),"")</f>
        <v>STR BC 전략·솔루션 결정·선정 → IMP 솔루션 이행관리</v>
      </c>
      <c r="F35" s="27" t="str">
        <f aca="false">IFERROR(INDEX(연결!$G$5:$G$35,MATCH(D35,연결!$A$5:$A$35,0)),"")</f>
        <v>도출·이행된다</v>
      </c>
      <c r="G35" s="27" t="s">
        <v>75</v>
      </c>
      <c r="H35" s="12" t="s">
        <v>1365</v>
      </c>
      <c r="I35" s="27" t="str">
        <f aca="false">IFERROR(INDEX(연결!$H$5:$H$35,MATCH(D35,연결!$A$5:$A$35,0)),"")</f>
        <v>E1</v>
      </c>
      <c r="J35" s="27"/>
      <c r="K35" s="15" t="s">
        <v>1366</v>
      </c>
      <c r="L35" s="6" t="s">
        <v>1306</v>
      </c>
      <c r="M35" s="20"/>
      <c r="N35" s="20"/>
      <c r="O35" s="20"/>
      <c r="P35" s="20"/>
      <c r="Q35" s="20"/>
      <c r="R35" s="20"/>
      <c r="S35" s="35" t="str">
        <f aca="false">IFERROR(COUNTIF(M35:R35,"&gt;=3")/COUNT(M35:R35),"")</f>
        <v/>
      </c>
      <c r="T35" s="27" t="str">
        <f aca="false">IF(S35="","",IF(S35&gt;=검증!$B$4,"채택","수정·토론"))</f>
        <v/>
      </c>
      <c r="U35" s="27" t="str">
        <f aca="false">IF(COUNTIF($A$5:$A$183,A35)&lt;&gt;1,"ID 중복",IF(B35="C 연결",IF(COUNTIF(연결!$A$5:$A$35,D35)=1,"OK","연결 없음"),"OK"))</f>
        <v>OK</v>
      </c>
    </row>
    <row r="36" customFormat="false" ht="33.75" hidden="false" customHeight="true" outlineLevel="0" collapsed="false">
      <c r="A36" s="13" t="s">
        <v>1124</v>
      </c>
      <c r="B36" s="4" t="s">
        <v>1303</v>
      </c>
      <c r="C36" s="6" t="s">
        <v>685</v>
      </c>
      <c r="D36" s="15" t="s">
        <v>385</v>
      </c>
      <c r="E36" s="4" t="str">
        <f aca="false">IFERROR(INDEX(연결!$C$5:$C$35,MATCH(D36,연결!$A$5:$A$35,0)),"")</f>
        <v>STR BC 전략·솔루션 결정·선정 → IMP 솔루션 이행관리</v>
      </c>
      <c r="F36" s="27" t="str">
        <f aca="false">IFERROR(INDEX(연결!$G$5:$G$35,MATCH(D36,연결!$A$5:$A$35,0)),"")</f>
        <v>도출·이행된다</v>
      </c>
      <c r="G36" s="27" t="s">
        <v>81</v>
      </c>
      <c r="H36" s="12" t="s">
        <v>1367</v>
      </c>
      <c r="I36" s="27" t="str">
        <f aca="false">IFERROR(INDEX(연결!$H$5:$H$35,MATCH(D36,연결!$A$5:$A$35,0)),"")</f>
        <v>E1</v>
      </c>
      <c r="J36" s="27"/>
      <c r="K36" s="15" t="s">
        <v>1368</v>
      </c>
      <c r="L36" s="6" t="s">
        <v>1306</v>
      </c>
      <c r="M36" s="20"/>
      <c r="N36" s="20"/>
      <c r="O36" s="20"/>
      <c r="P36" s="20"/>
      <c r="Q36" s="20"/>
      <c r="R36" s="20"/>
      <c r="S36" s="35" t="str">
        <f aca="false">IFERROR(COUNTIF(M36:R36,"&gt;=3")/COUNT(M36:R36),"")</f>
        <v/>
      </c>
      <c r="T36" s="27" t="str">
        <f aca="false">IF(S36="","",IF(S36&gt;=검증!$B$4,"채택","수정·토론"))</f>
        <v/>
      </c>
      <c r="U36" s="27" t="str">
        <f aca="false">IF(COUNTIF($A$5:$A$183,A36)&lt;&gt;1,"ID 중복",IF(B36="C 연결",IF(COUNTIF(연결!$A$5:$A$35,D36)=1,"OK","연결 없음"),"OK"))</f>
        <v>OK</v>
      </c>
    </row>
    <row r="37" customFormat="false" ht="33.75" hidden="false" customHeight="true" outlineLevel="0" collapsed="false">
      <c r="A37" s="13" t="s">
        <v>1125</v>
      </c>
      <c r="B37" s="4" t="s">
        <v>1303</v>
      </c>
      <c r="C37" s="6" t="s">
        <v>685</v>
      </c>
      <c r="D37" s="15" t="s">
        <v>385</v>
      </c>
      <c r="E37" s="4" t="str">
        <f aca="false">IFERROR(INDEX(연결!$C$5:$C$35,MATCH(D37,연결!$A$5:$A$35,0)),"")</f>
        <v>STR BC 전략·솔루션 결정·선정 → IMP 솔루션 이행관리</v>
      </c>
      <c r="F37" s="27" t="str">
        <f aca="false">IFERROR(INDEX(연결!$G$5:$G$35,MATCH(D37,연결!$A$5:$A$35,0)),"")</f>
        <v>도출·이행된다</v>
      </c>
      <c r="G37" s="27" t="s">
        <v>85</v>
      </c>
      <c r="H37" s="12" t="s">
        <v>1369</v>
      </c>
      <c r="I37" s="27" t="str">
        <f aca="false">IFERROR(INDEX(연결!$H$5:$H$35,MATCH(D37,연결!$A$5:$A$35,0)),"")</f>
        <v>E1</v>
      </c>
      <c r="J37" s="27"/>
      <c r="K37" s="15" t="s">
        <v>1370</v>
      </c>
      <c r="L37" s="6" t="s">
        <v>1306</v>
      </c>
      <c r="M37" s="20"/>
      <c r="N37" s="20"/>
      <c r="O37" s="20"/>
      <c r="P37" s="20"/>
      <c r="Q37" s="20"/>
      <c r="R37" s="20"/>
      <c r="S37" s="35" t="str">
        <f aca="false">IFERROR(COUNTIF(M37:R37,"&gt;=3")/COUNT(M37:R37),"")</f>
        <v/>
      </c>
      <c r="T37" s="27" t="str">
        <f aca="false">IF(S37="","",IF(S37&gt;=검증!$B$4,"채택","수정·토론"))</f>
        <v/>
      </c>
      <c r="U37" s="27" t="str">
        <f aca="false">IF(COUNTIF($A$5:$A$183,A37)&lt;&gt;1,"ID 중복",IF(B37="C 연결",IF(COUNTIF(연결!$A$5:$A$35,D37)=1,"OK","연결 없음"),"OK"))</f>
        <v>OK</v>
      </c>
    </row>
    <row r="38" customFormat="false" ht="33.75" hidden="false" customHeight="true" outlineLevel="0" collapsed="false">
      <c r="A38" s="13" t="s">
        <v>1126</v>
      </c>
      <c r="B38" s="4" t="s">
        <v>1303</v>
      </c>
      <c r="C38" s="6" t="s">
        <v>685</v>
      </c>
      <c r="D38" s="15" t="s">
        <v>385</v>
      </c>
      <c r="E38" s="4" t="str">
        <f aca="false">IFERROR(INDEX(연결!$C$5:$C$35,MATCH(D38,연결!$A$5:$A$35,0)),"")</f>
        <v>STR BC 전략·솔루션 결정·선정 → IMP 솔루션 이행관리</v>
      </c>
      <c r="F38" s="27" t="str">
        <f aca="false">IFERROR(INDEX(연결!$G$5:$G$35,MATCH(D38,연결!$A$5:$A$35,0)),"")</f>
        <v>도출·이행된다</v>
      </c>
      <c r="G38" s="27" t="s">
        <v>90</v>
      </c>
      <c r="H38" s="12" t="s">
        <v>1371</v>
      </c>
      <c r="I38" s="27" t="str">
        <f aca="false">IFERROR(INDEX(연결!$H$5:$H$35,MATCH(D38,연결!$A$5:$A$35,0)),"")</f>
        <v>E1</v>
      </c>
      <c r="J38" s="27"/>
      <c r="K38" s="15" t="s">
        <v>1372</v>
      </c>
      <c r="L38" s="6" t="s">
        <v>1306</v>
      </c>
      <c r="M38" s="20"/>
      <c r="N38" s="20"/>
      <c r="O38" s="20"/>
      <c r="P38" s="20"/>
      <c r="Q38" s="20"/>
      <c r="R38" s="20"/>
      <c r="S38" s="35" t="str">
        <f aca="false">IFERROR(COUNTIF(M38:R38,"&gt;=3")/COUNT(M38:R38),"")</f>
        <v/>
      </c>
      <c r="T38" s="27" t="str">
        <f aca="false">IF(S38="","",IF(S38&gt;=검증!$B$4,"채택","수정·토론"))</f>
        <v/>
      </c>
      <c r="U38" s="27" t="str">
        <f aca="false">IF(COUNTIF($A$5:$A$183,A38)&lt;&gt;1,"ID 중복",IF(B38="C 연결",IF(COUNTIF(연결!$A$5:$A$35,D38)=1,"OK","연결 없음"),"OK"))</f>
        <v>OK</v>
      </c>
    </row>
    <row r="39" customFormat="false" ht="33.75" hidden="false" customHeight="true" outlineLevel="0" collapsed="false">
      <c r="A39" s="13" t="s">
        <v>1127</v>
      </c>
      <c r="B39" s="4" t="s">
        <v>1303</v>
      </c>
      <c r="C39" s="6" t="s">
        <v>685</v>
      </c>
      <c r="D39" s="15" t="s">
        <v>385</v>
      </c>
      <c r="E39" s="4" t="str">
        <f aca="false">IFERROR(INDEX(연결!$C$5:$C$35,MATCH(D39,연결!$A$5:$A$35,0)),"")</f>
        <v>STR BC 전략·솔루션 결정·선정 → IMP 솔루션 이행관리</v>
      </c>
      <c r="F39" s="27" t="str">
        <f aca="false">IFERROR(INDEX(연결!$G$5:$G$35,MATCH(D39,연결!$A$5:$A$35,0)),"")</f>
        <v>도출·이행된다</v>
      </c>
      <c r="G39" s="27" t="s">
        <v>95</v>
      </c>
      <c r="H39" s="12" t="s">
        <v>1373</v>
      </c>
      <c r="I39" s="27" t="str">
        <f aca="false">IFERROR(INDEX(연결!$H$5:$H$35,MATCH(D39,연결!$A$5:$A$35,0)),"")</f>
        <v>E1</v>
      </c>
      <c r="J39" s="27"/>
      <c r="K39" s="15" t="s">
        <v>1374</v>
      </c>
      <c r="L39" s="6" t="s">
        <v>1306</v>
      </c>
      <c r="M39" s="20"/>
      <c r="N39" s="20"/>
      <c r="O39" s="20"/>
      <c r="P39" s="20"/>
      <c r="Q39" s="20"/>
      <c r="R39" s="20"/>
      <c r="S39" s="35" t="str">
        <f aca="false">IFERROR(COUNTIF(M39:R39,"&gt;=3")/COUNT(M39:R39),"")</f>
        <v/>
      </c>
      <c r="T39" s="27" t="str">
        <f aca="false">IF(S39="","",IF(S39&gt;=검증!$B$4,"채택","수정·토론"))</f>
        <v/>
      </c>
      <c r="U39" s="27" t="str">
        <f aca="false">IF(COUNTIF($A$5:$A$183,A39)&lt;&gt;1,"ID 중복",IF(B39="C 연결",IF(COUNTIF(연결!$A$5:$A$35,D39)=1,"OK","연결 없음"),"OK"))</f>
        <v>OK</v>
      </c>
    </row>
    <row r="40" customFormat="false" ht="33.75" hidden="false" customHeight="true" outlineLevel="0" collapsed="false">
      <c r="A40" s="13" t="s">
        <v>1129</v>
      </c>
      <c r="B40" s="4" t="s">
        <v>1303</v>
      </c>
      <c r="C40" s="6" t="s">
        <v>685</v>
      </c>
      <c r="D40" s="15" t="s">
        <v>389</v>
      </c>
      <c r="E40" s="4" t="str">
        <f aca="false">IFERROR(INDEX(연결!$C$5:$C$35,MATCH(D40,연결!$A$5:$A$35,0)),"")</f>
        <v>STR BC 전략·솔루션 결정·선정 → PLAN BC 계획·절차 개발</v>
      </c>
      <c r="F40" s="27" t="str">
        <f aca="false">IFERROR(INDEX(연결!$G$5:$G$35,MATCH(D40,연결!$A$5:$A$35,0)),"")</f>
        <v>도출·이행된다</v>
      </c>
      <c r="G40" s="27" t="s">
        <v>75</v>
      </c>
      <c r="H40" s="12" t="s">
        <v>1375</v>
      </c>
      <c r="I40" s="27" t="str">
        <f aca="false">IFERROR(INDEX(연결!$H$5:$H$35,MATCH(D40,연결!$A$5:$A$35,0)),"")</f>
        <v>E1</v>
      </c>
      <c r="J40" s="27"/>
      <c r="K40" s="15" t="s">
        <v>1376</v>
      </c>
      <c r="L40" s="6" t="s">
        <v>1306</v>
      </c>
      <c r="M40" s="20"/>
      <c r="N40" s="20"/>
      <c r="O40" s="20"/>
      <c r="P40" s="20"/>
      <c r="Q40" s="20"/>
      <c r="R40" s="20"/>
      <c r="S40" s="35" t="str">
        <f aca="false">IFERROR(COUNTIF(M40:R40,"&gt;=3")/COUNT(M40:R40),"")</f>
        <v/>
      </c>
      <c r="T40" s="27" t="str">
        <f aca="false">IF(S40="","",IF(S40&gt;=검증!$B$4,"채택","수정·토론"))</f>
        <v/>
      </c>
      <c r="U40" s="27" t="str">
        <f aca="false">IF(COUNTIF($A$5:$A$183,A40)&lt;&gt;1,"ID 중복",IF(B40="C 연결",IF(COUNTIF(연결!$A$5:$A$35,D40)=1,"OK","연결 없음"),"OK"))</f>
        <v>OK</v>
      </c>
    </row>
    <row r="41" customFormat="false" ht="33.75" hidden="false" customHeight="true" outlineLevel="0" collapsed="false">
      <c r="A41" s="13" t="s">
        <v>1130</v>
      </c>
      <c r="B41" s="4" t="s">
        <v>1303</v>
      </c>
      <c r="C41" s="6" t="s">
        <v>685</v>
      </c>
      <c r="D41" s="15" t="s">
        <v>389</v>
      </c>
      <c r="E41" s="4" t="str">
        <f aca="false">IFERROR(INDEX(연결!$C$5:$C$35,MATCH(D41,연결!$A$5:$A$35,0)),"")</f>
        <v>STR BC 전략·솔루션 결정·선정 → PLAN BC 계획·절차 개발</v>
      </c>
      <c r="F41" s="27" t="str">
        <f aca="false">IFERROR(INDEX(연결!$G$5:$G$35,MATCH(D41,연결!$A$5:$A$35,0)),"")</f>
        <v>도출·이행된다</v>
      </c>
      <c r="G41" s="27" t="s">
        <v>81</v>
      </c>
      <c r="H41" s="12" t="s">
        <v>1377</v>
      </c>
      <c r="I41" s="27" t="str">
        <f aca="false">IFERROR(INDEX(연결!$H$5:$H$35,MATCH(D41,연결!$A$5:$A$35,0)),"")</f>
        <v>E1</v>
      </c>
      <c r="J41" s="27"/>
      <c r="K41" s="15" t="s">
        <v>1378</v>
      </c>
      <c r="L41" s="6" t="s">
        <v>1306</v>
      </c>
      <c r="M41" s="20"/>
      <c r="N41" s="20"/>
      <c r="O41" s="20"/>
      <c r="P41" s="20"/>
      <c r="Q41" s="20"/>
      <c r="R41" s="20"/>
      <c r="S41" s="35" t="str">
        <f aca="false">IFERROR(COUNTIF(M41:R41,"&gt;=3")/COUNT(M41:R41),"")</f>
        <v/>
      </c>
      <c r="T41" s="27" t="str">
        <f aca="false">IF(S41="","",IF(S41&gt;=검증!$B$4,"채택","수정·토론"))</f>
        <v/>
      </c>
      <c r="U41" s="27" t="str">
        <f aca="false">IF(COUNTIF($A$5:$A$183,A41)&lt;&gt;1,"ID 중복",IF(B41="C 연결",IF(COUNTIF(연결!$A$5:$A$35,D41)=1,"OK","연결 없음"),"OK"))</f>
        <v>OK</v>
      </c>
    </row>
    <row r="42" customFormat="false" ht="33.75" hidden="false" customHeight="true" outlineLevel="0" collapsed="false">
      <c r="A42" s="13" t="s">
        <v>1131</v>
      </c>
      <c r="B42" s="4" t="s">
        <v>1303</v>
      </c>
      <c r="C42" s="6" t="s">
        <v>685</v>
      </c>
      <c r="D42" s="15" t="s">
        <v>389</v>
      </c>
      <c r="E42" s="4" t="str">
        <f aca="false">IFERROR(INDEX(연결!$C$5:$C$35,MATCH(D42,연결!$A$5:$A$35,0)),"")</f>
        <v>STR BC 전략·솔루션 결정·선정 → PLAN BC 계획·절차 개발</v>
      </c>
      <c r="F42" s="27" t="str">
        <f aca="false">IFERROR(INDEX(연결!$G$5:$G$35,MATCH(D42,연결!$A$5:$A$35,0)),"")</f>
        <v>도출·이행된다</v>
      </c>
      <c r="G42" s="27" t="s">
        <v>85</v>
      </c>
      <c r="H42" s="12" t="s">
        <v>1379</v>
      </c>
      <c r="I42" s="27" t="str">
        <f aca="false">IFERROR(INDEX(연결!$H$5:$H$35,MATCH(D42,연결!$A$5:$A$35,0)),"")</f>
        <v>E1</v>
      </c>
      <c r="J42" s="27"/>
      <c r="K42" s="15" t="s">
        <v>1380</v>
      </c>
      <c r="L42" s="6" t="s">
        <v>1306</v>
      </c>
      <c r="M42" s="20"/>
      <c r="N42" s="20"/>
      <c r="O42" s="20"/>
      <c r="P42" s="20"/>
      <c r="Q42" s="20"/>
      <c r="R42" s="20"/>
      <c r="S42" s="35" t="str">
        <f aca="false">IFERROR(COUNTIF(M42:R42,"&gt;=3")/COUNT(M42:R42),"")</f>
        <v/>
      </c>
      <c r="T42" s="27" t="str">
        <f aca="false">IF(S42="","",IF(S42&gt;=검증!$B$4,"채택","수정·토론"))</f>
        <v/>
      </c>
      <c r="U42" s="27" t="str">
        <f aca="false">IF(COUNTIF($A$5:$A$183,A42)&lt;&gt;1,"ID 중복",IF(B42="C 연결",IF(COUNTIF(연결!$A$5:$A$35,D42)=1,"OK","연결 없음"),"OK"))</f>
        <v>OK</v>
      </c>
    </row>
    <row r="43" customFormat="false" ht="33.75" hidden="false" customHeight="true" outlineLevel="0" collapsed="false">
      <c r="A43" s="13" t="s">
        <v>1132</v>
      </c>
      <c r="B43" s="4" t="s">
        <v>1303</v>
      </c>
      <c r="C43" s="6" t="s">
        <v>685</v>
      </c>
      <c r="D43" s="15" t="s">
        <v>389</v>
      </c>
      <c r="E43" s="4" t="str">
        <f aca="false">IFERROR(INDEX(연결!$C$5:$C$35,MATCH(D43,연결!$A$5:$A$35,0)),"")</f>
        <v>STR BC 전략·솔루션 결정·선정 → PLAN BC 계획·절차 개발</v>
      </c>
      <c r="F43" s="27" t="str">
        <f aca="false">IFERROR(INDEX(연결!$G$5:$G$35,MATCH(D43,연결!$A$5:$A$35,0)),"")</f>
        <v>도출·이행된다</v>
      </c>
      <c r="G43" s="27" t="s">
        <v>90</v>
      </c>
      <c r="H43" s="12" t="s">
        <v>1381</v>
      </c>
      <c r="I43" s="27" t="str">
        <f aca="false">IFERROR(INDEX(연결!$H$5:$H$35,MATCH(D43,연결!$A$5:$A$35,0)),"")</f>
        <v>E1</v>
      </c>
      <c r="J43" s="27"/>
      <c r="K43" s="15" t="s">
        <v>1382</v>
      </c>
      <c r="L43" s="6" t="s">
        <v>1306</v>
      </c>
      <c r="M43" s="20"/>
      <c r="N43" s="20"/>
      <c r="O43" s="20"/>
      <c r="P43" s="20"/>
      <c r="Q43" s="20"/>
      <c r="R43" s="20"/>
      <c r="S43" s="35" t="str">
        <f aca="false">IFERROR(COUNTIF(M43:R43,"&gt;=3")/COUNT(M43:R43),"")</f>
        <v/>
      </c>
      <c r="T43" s="27" t="str">
        <f aca="false">IF(S43="","",IF(S43&gt;=검증!$B$4,"채택","수정·토론"))</f>
        <v/>
      </c>
      <c r="U43" s="27" t="str">
        <f aca="false">IF(COUNTIF($A$5:$A$183,A43)&lt;&gt;1,"ID 중복",IF(B43="C 연결",IF(COUNTIF(연결!$A$5:$A$35,D43)=1,"OK","연결 없음"),"OK"))</f>
        <v>OK</v>
      </c>
    </row>
    <row r="44" customFormat="false" ht="33.75" hidden="false" customHeight="true" outlineLevel="0" collapsed="false">
      <c r="A44" s="13" t="s">
        <v>1133</v>
      </c>
      <c r="B44" s="4" t="s">
        <v>1303</v>
      </c>
      <c r="C44" s="6" t="s">
        <v>685</v>
      </c>
      <c r="D44" s="15" t="s">
        <v>389</v>
      </c>
      <c r="E44" s="4" t="str">
        <f aca="false">IFERROR(INDEX(연결!$C$5:$C$35,MATCH(D44,연결!$A$5:$A$35,0)),"")</f>
        <v>STR BC 전략·솔루션 결정·선정 → PLAN BC 계획·절차 개발</v>
      </c>
      <c r="F44" s="27" t="str">
        <f aca="false">IFERROR(INDEX(연결!$G$5:$G$35,MATCH(D44,연결!$A$5:$A$35,0)),"")</f>
        <v>도출·이행된다</v>
      </c>
      <c r="G44" s="27" t="s">
        <v>95</v>
      </c>
      <c r="H44" s="12" t="s">
        <v>1383</v>
      </c>
      <c r="I44" s="27" t="str">
        <f aca="false">IFERROR(INDEX(연결!$H$5:$H$35,MATCH(D44,연결!$A$5:$A$35,0)),"")</f>
        <v>E1</v>
      </c>
      <c r="J44" s="27"/>
      <c r="K44" s="15" t="s">
        <v>1384</v>
      </c>
      <c r="L44" s="6" t="s">
        <v>1306</v>
      </c>
      <c r="M44" s="20"/>
      <c r="N44" s="20"/>
      <c r="O44" s="20"/>
      <c r="P44" s="20"/>
      <c r="Q44" s="20"/>
      <c r="R44" s="20"/>
      <c r="S44" s="35" t="str">
        <f aca="false">IFERROR(COUNTIF(M44:R44,"&gt;=3")/COUNT(M44:R44),"")</f>
        <v/>
      </c>
      <c r="T44" s="27" t="str">
        <f aca="false">IF(S44="","",IF(S44&gt;=검증!$B$4,"채택","수정·토론"))</f>
        <v/>
      </c>
      <c r="U44" s="27" t="str">
        <f aca="false">IF(COUNTIF($A$5:$A$183,A44)&lt;&gt;1,"ID 중복",IF(B44="C 연결",IF(COUNTIF(연결!$A$5:$A$35,D44)=1,"OK","연결 없음"),"OK"))</f>
        <v>OK</v>
      </c>
    </row>
    <row r="45" customFormat="false" ht="33.75" hidden="false" customHeight="true" outlineLevel="0" collapsed="false">
      <c r="A45" s="13" t="s">
        <v>1135</v>
      </c>
      <c r="B45" s="4" t="s">
        <v>1303</v>
      </c>
      <c r="C45" s="6" t="s">
        <v>685</v>
      </c>
      <c r="D45" s="15" t="s">
        <v>393</v>
      </c>
      <c r="E45" s="4" t="str">
        <f aca="false">IFERROR(INDEX(연결!$C$5:$C$35,MATCH(D45,연결!$A$5:$A$35,0)),"")</f>
        <v>RA 리스크평가 → PLAN BC 계획·절차 개발</v>
      </c>
      <c r="F45" s="27" t="str">
        <f aca="false">IFERROR(INDEX(연결!$G$5:$G$35,MATCH(D45,연결!$A$5:$A$35,0)),"")</f>
        <v>입력된다·활용된다</v>
      </c>
      <c r="G45" s="27" t="s">
        <v>75</v>
      </c>
      <c r="H45" s="12" t="s">
        <v>1385</v>
      </c>
      <c r="I45" s="27" t="str">
        <f aca="false">IFERROR(INDEX(연결!$H$5:$H$35,MATCH(D45,연결!$A$5:$A$35,0)),"")</f>
        <v>E1</v>
      </c>
      <c r="J45" s="27"/>
      <c r="K45" s="15" t="s">
        <v>1386</v>
      </c>
      <c r="L45" s="6" t="s">
        <v>1306</v>
      </c>
      <c r="M45" s="20"/>
      <c r="N45" s="20"/>
      <c r="O45" s="20"/>
      <c r="P45" s="20"/>
      <c r="Q45" s="20"/>
      <c r="R45" s="20"/>
      <c r="S45" s="35" t="str">
        <f aca="false">IFERROR(COUNTIF(M45:R45,"&gt;=3")/COUNT(M45:R45),"")</f>
        <v/>
      </c>
      <c r="T45" s="27" t="str">
        <f aca="false">IF(S45="","",IF(S45&gt;=검증!$B$4,"채택","수정·토론"))</f>
        <v/>
      </c>
      <c r="U45" s="27" t="str">
        <f aca="false">IF(COUNTIF($A$5:$A$183,A45)&lt;&gt;1,"ID 중복",IF(B45="C 연결",IF(COUNTIF(연결!$A$5:$A$35,D45)=1,"OK","연결 없음"),"OK"))</f>
        <v>OK</v>
      </c>
    </row>
    <row r="46" customFormat="false" ht="33.75" hidden="false" customHeight="true" outlineLevel="0" collapsed="false">
      <c r="A46" s="13" t="s">
        <v>1136</v>
      </c>
      <c r="B46" s="4" t="s">
        <v>1303</v>
      </c>
      <c r="C46" s="6" t="s">
        <v>685</v>
      </c>
      <c r="D46" s="15" t="s">
        <v>393</v>
      </c>
      <c r="E46" s="4" t="str">
        <f aca="false">IFERROR(INDEX(연결!$C$5:$C$35,MATCH(D46,연결!$A$5:$A$35,0)),"")</f>
        <v>RA 리스크평가 → PLAN BC 계획·절차 개발</v>
      </c>
      <c r="F46" s="27" t="str">
        <f aca="false">IFERROR(INDEX(연결!$G$5:$G$35,MATCH(D46,연결!$A$5:$A$35,0)),"")</f>
        <v>입력된다·활용된다</v>
      </c>
      <c r="G46" s="27" t="s">
        <v>81</v>
      </c>
      <c r="H46" s="12" t="s">
        <v>1387</v>
      </c>
      <c r="I46" s="27" t="str">
        <f aca="false">IFERROR(INDEX(연결!$H$5:$H$35,MATCH(D46,연결!$A$5:$A$35,0)),"")</f>
        <v>E1</v>
      </c>
      <c r="J46" s="27"/>
      <c r="K46" s="15" t="s">
        <v>1388</v>
      </c>
      <c r="L46" s="6" t="s">
        <v>1306</v>
      </c>
      <c r="M46" s="20"/>
      <c r="N46" s="20"/>
      <c r="O46" s="20"/>
      <c r="P46" s="20"/>
      <c r="Q46" s="20"/>
      <c r="R46" s="20"/>
      <c r="S46" s="35" t="str">
        <f aca="false">IFERROR(COUNTIF(M46:R46,"&gt;=3")/COUNT(M46:R46),"")</f>
        <v/>
      </c>
      <c r="T46" s="27" t="str">
        <f aca="false">IF(S46="","",IF(S46&gt;=검증!$B$4,"채택","수정·토론"))</f>
        <v/>
      </c>
      <c r="U46" s="27" t="str">
        <f aca="false">IF(COUNTIF($A$5:$A$183,A46)&lt;&gt;1,"ID 중복",IF(B46="C 연결",IF(COUNTIF(연결!$A$5:$A$35,D46)=1,"OK","연결 없음"),"OK"))</f>
        <v>OK</v>
      </c>
    </row>
    <row r="47" customFormat="false" ht="33.75" hidden="false" customHeight="true" outlineLevel="0" collapsed="false">
      <c r="A47" s="13" t="s">
        <v>1137</v>
      </c>
      <c r="B47" s="4" t="s">
        <v>1303</v>
      </c>
      <c r="C47" s="6" t="s">
        <v>685</v>
      </c>
      <c r="D47" s="15" t="s">
        <v>393</v>
      </c>
      <c r="E47" s="4" t="str">
        <f aca="false">IFERROR(INDEX(연결!$C$5:$C$35,MATCH(D47,연결!$A$5:$A$35,0)),"")</f>
        <v>RA 리스크평가 → PLAN BC 계획·절차 개발</v>
      </c>
      <c r="F47" s="27" t="str">
        <f aca="false">IFERROR(INDEX(연결!$G$5:$G$35,MATCH(D47,연결!$A$5:$A$35,0)),"")</f>
        <v>입력된다·활용된다</v>
      </c>
      <c r="G47" s="27" t="s">
        <v>85</v>
      </c>
      <c r="H47" s="12" t="s">
        <v>1389</v>
      </c>
      <c r="I47" s="27" t="str">
        <f aca="false">IFERROR(INDEX(연결!$H$5:$H$35,MATCH(D47,연결!$A$5:$A$35,0)),"")</f>
        <v>E1</v>
      </c>
      <c r="J47" s="27"/>
      <c r="K47" s="15" t="s">
        <v>1390</v>
      </c>
      <c r="L47" s="6" t="s">
        <v>1306</v>
      </c>
      <c r="M47" s="20"/>
      <c r="N47" s="20"/>
      <c r="O47" s="20"/>
      <c r="P47" s="20"/>
      <c r="Q47" s="20"/>
      <c r="R47" s="20"/>
      <c r="S47" s="35" t="str">
        <f aca="false">IFERROR(COUNTIF(M47:R47,"&gt;=3")/COUNT(M47:R47),"")</f>
        <v/>
      </c>
      <c r="T47" s="27" t="str">
        <f aca="false">IF(S47="","",IF(S47&gt;=검증!$B$4,"채택","수정·토론"))</f>
        <v/>
      </c>
      <c r="U47" s="27" t="str">
        <f aca="false">IF(COUNTIF($A$5:$A$183,A47)&lt;&gt;1,"ID 중복",IF(B47="C 연결",IF(COUNTIF(연결!$A$5:$A$35,D47)=1,"OK","연결 없음"),"OK"))</f>
        <v>OK</v>
      </c>
    </row>
    <row r="48" customFormat="false" ht="33.75" hidden="false" customHeight="true" outlineLevel="0" collapsed="false">
      <c r="A48" s="13" t="s">
        <v>1138</v>
      </c>
      <c r="B48" s="4" t="s">
        <v>1303</v>
      </c>
      <c r="C48" s="6" t="s">
        <v>685</v>
      </c>
      <c r="D48" s="15" t="s">
        <v>393</v>
      </c>
      <c r="E48" s="4" t="str">
        <f aca="false">IFERROR(INDEX(연결!$C$5:$C$35,MATCH(D48,연결!$A$5:$A$35,0)),"")</f>
        <v>RA 리스크평가 → PLAN BC 계획·절차 개발</v>
      </c>
      <c r="F48" s="27" t="str">
        <f aca="false">IFERROR(INDEX(연결!$G$5:$G$35,MATCH(D48,연결!$A$5:$A$35,0)),"")</f>
        <v>입력된다·활용된다</v>
      </c>
      <c r="G48" s="27" t="s">
        <v>90</v>
      </c>
      <c r="H48" s="12" t="s">
        <v>1391</v>
      </c>
      <c r="I48" s="27" t="str">
        <f aca="false">IFERROR(INDEX(연결!$H$5:$H$35,MATCH(D48,연결!$A$5:$A$35,0)),"")</f>
        <v>E1</v>
      </c>
      <c r="J48" s="27"/>
      <c r="K48" s="15" t="s">
        <v>1392</v>
      </c>
      <c r="L48" s="6" t="s">
        <v>1306</v>
      </c>
      <c r="M48" s="20"/>
      <c r="N48" s="20"/>
      <c r="O48" s="20"/>
      <c r="P48" s="20"/>
      <c r="Q48" s="20"/>
      <c r="R48" s="20"/>
      <c r="S48" s="35" t="str">
        <f aca="false">IFERROR(COUNTIF(M48:R48,"&gt;=3")/COUNT(M48:R48),"")</f>
        <v/>
      </c>
      <c r="T48" s="27" t="str">
        <f aca="false">IF(S48="","",IF(S48&gt;=검증!$B$4,"채택","수정·토론"))</f>
        <v/>
      </c>
      <c r="U48" s="27" t="str">
        <f aca="false">IF(COUNTIF($A$5:$A$183,A48)&lt;&gt;1,"ID 중복",IF(B48="C 연결",IF(COUNTIF(연결!$A$5:$A$35,D48)=1,"OK","연결 없음"),"OK"))</f>
        <v>OK</v>
      </c>
    </row>
    <row r="49" customFormat="false" ht="33.75" hidden="false" customHeight="true" outlineLevel="0" collapsed="false">
      <c r="A49" s="13" t="s">
        <v>1139</v>
      </c>
      <c r="B49" s="4" t="s">
        <v>1303</v>
      </c>
      <c r="C49" s="6" t="s">
        <v>685</v>
      </c>
      <c r="D49" s="15" t="s">
        <v>393</v>
      </c>
      <c r="E49" s="4" t="str">
        <f aca="false">IFERROR(INDEX(연결!$C$5:$C$35,MATCH(D49,연결!$A$5:$A$35,0)),"")</f>
        <v>RA 리스크평가 → PLAN BC 계획·절차 개발</v>
      </c>
      <c r="F49" s="27" t="str">
        <f aca="false">IFERROR(INDEX(연결!$G$5:$G$35,MATCH(D49,연결!$A$5:$A$35,0)),"")</f>
        <v>입력된다·활용된다</v>
      </c>
      <c r="G49" s="27" t="s">
        <v>95</v>
      </c>
      <c r="H49" s="12" t="s">
        <v>1393</v>
      </c>
      <c r="I49" s="27" t="str">
        <f aca="false">IFERROR(INDEX(연결!$H$5:$H$35,MATCH(D49,연결!$A$5:$A$35,0)),"")</f>
        <v>E1</v>
      </c>
      <c r="J49" s="27"/>
      <c r="K49" s="15" t="s">
        <v>1394</v>
      </c>
      <c r="L49" s="6" t="s">
        <v>1306</v>
      </c>
      <c r="M49" s="20"/>
      <c r="N49" s="20"/>
      <c r="O49" s="20"/>
      <c r="P49" s="20"/>
      <c r="Q49" s="20"/>
      <c r="R49" s="20"/>
      <c r="S49" s="35" t="str">
        <f aca="false">IFERROR(COUNTIF(M49:R49,"&gt;=3")/COUNT(M49:R49),"")</f>
        <v/>
      </c>
      <c r="T49" s="27" t="str">
        <f aca="false">IF(S49="","",IF(S49&gt;=검증!$B$4,"채택","수정·토론"))</f>
        <v/>
      </c>
      <c r="U49" s="27" t="str">
        <f aca="false">IF(COUNTIF($A$5:$A$183,A49)&lt;&gt;1,"ID 중복",IF(B49="C 연결",IF(COUNTIF(연결!$A$5:$A$35,D49)=1,"OK","연결 없음"),"OK"))</f>
        <v>OK</v>
      </c>
    </row>
    <row r="50" customFormat="false" ht="33.75" hidden="false" customHeight="true" outlineLevel="0" collapsed="false">
      <c r="A50" s="13" t="s">
        <v>1141</v>
      </c>
      <c r="B50" s="4" t="s">
        <v>1303</v>
      </c>
      <c r="C50" s="6" t="s">
        <v>685</v>
      </c>
      <c r="D50" s="15" t="s">
        <v>703</v>
      </c>
      <c r="E50" s="4" t="str">
        <f aca="false">IFERROR(INDEX(연결!$C$5:$C$35,MATCH(D50,연결!$A$5:$A$35,0)),"")</f>
        <v>RES 자원관리 → IMP 솔루션 이행관리</v>
      </c>
      <c r="F50" s="27" t="str">
        <f aca="false">IFERROR(INDEX(연결!$G$5:$G$35,MATCH(D50,연결!$A$5:$A$35,0)),"")</f>
        <v>제공한다</v>
      </c>
      <c r="G50" s="27" t="s">
        <v>75</v>
      </c>
      <c r="H50" s="12" t="s">
        <v>1395</v>
      </c>
      <c r="I50" s="27" t="str">
        <f aca="false">IFERROR(INDEX(연결!$H$5:$H$35,MATCH(D50,연결!$A$5:$A$35,0)),"")</f>
        <v>E2</v>
      </c>
      <c r="J50" s="27"/>
      <c r="K50" s="15" t="s">
        <v>1396</v>
      </c>
      <c r="L50" s="6" t="s">
        <v>1306</v>
      </c>
      <c r="M50" s="20"/>
      <c r="N50" s="20"/>
      <c r="O50" s="20"/>
      <c r="P50" s="20"/>
      <c r="Q50" s="20"/>
      <c r="R50" s="20"/>
      <c r="S50" s="35" t="str">
        <f aca="false">IFERROR(COUNTIF(M50:R50,"&gt;=3")/COUNT(M50:R50),"")</f>
        <v/>
      </c>
      <c r="T50" s="27" t="str">
        <f aca="false">IF(S50="","",IF(S50&gt;=검증!$B$4,"채택","수정·토론"))</f>
        <v/>
      </c>
      <c r="U50" s="27" t="str">
        <f aca="false">IF(COUNTIF($A$5:$A$183,A50)&lt;&gt;1,"ID 중복",IF(B50="C 연결",IF(COUNTIF(연결!$A$5:$A$35,D50)=1,"OK","연결 없음"),"OK"))</f>
        <v>OK</v>
      </c>
    </row>
    <row r="51" customFormat="false" ht="33.75" hidden="false" customHeight="true" outlineLevel="0" collapsed="false">
      <c r="A51" s="13" t="s">
        <v>1142</v>
      </c>
      <c r="B51" s="4" t="s">
        <v>1303</v>
      </c>
      <c r="C51" s="6" t="s">
        <v>685</v>
      </c>
      <c r="D51" s="15" t="s">
        <v>703</v>
      </c>
      <c r="E51" s="4" t="str">
        <f aca="false">IFERROR(INDEX(연결!$C$5:$C$35,MATCH(D51,연결!$A$5:$A$35,0)),"")</f>
        <v>RES 자원관리 → IMP 솔루션 이행관리</v>
      </c>
      <c r="F51" s="27" t="str">
        <f aca="false">IFERROR(INDEX(연결!$G$5:$G$35,MATCH(D51,연결!$A$5:$A$35,0)),"")</f>
        <v>제공한다</v>
      </c>
      <c r="G51" s="27" t="s">
        <v>81</v>
      </c>
      <c r="H51" s="12" t="s">
        <v>1397</v>
      </c>
      <c r="I51" s="27" t="str">
        <f aca="false">IFERROR(INDEX(연결!$H$5:$H$35,MATCH(D51,연결!$A$5:$A$35,0)),"")</f>
        <v>E2</v>
      </c>
      <c r="J51" s="27"/>
      <c r="K51" s="15" t="s">
        <v>1398</v>
      </c>
      <c r="L51" s="6" t="s">
        <v>1306</v>
      </c>
      <c r="M51" s="20"/>
      <c r="N51" s="20"/>
      <c r="O51" s="20"/>
      <c r="P51" s="20"/>
      <c r="Q51" s="20"/>
      <c r="R51" s="20"/>
      <c r="S51" s="35" t="str">
        <f aca="false">IFERROR(COUNTIF(M51:R51,"&gt;=3")/COUNT(M51:R51),"")</f>
        <v/>
      </c>
      <c r="T51" s="27" t="str">
        <f aca="false">IF(S51="","",IF(S51&gt;=검증!$B$4,"채택","수정·토론"))</f>
        <v/>
      </c>
      <c r="U51" s="27" t="str">
        <f aca="false">IF(COUNTIF($A$5:$A$183,A51)&lt;&gt;1,"ID 중복",IF(B51="C 연결",IF(COUNTIF(연결!$A$5:$A$35,D51)=1,"OK","연결 없음"),"OK"))</f>
        <v>OK</v>
      </c>
    </row>
    <row r="52" customFormat="false" ht="33.75" hidden="false" customHeight="true" outlineLevel="0" collapsed="false">
      <c r="A52" s="13" t="s">
        <v>1143</v>
      </c>
      <c r="B52" s="4" t="s">
        <v>1303</v>
      </c>
      <c r="C52" s="6" t="s">
        <v>685</v>
      </c>
      <c r="D52" s="15" t="s">
        <v>703</v>
      </c>
      <c r="E52" s="4" t="str">
        <f aca="false">IFERROR(INDEX(연결!$C$5:$C$35,MATCH(D52,연결!$A$5:$A$35,0)),"")</f>
        <v>RES 자원관리 → IMP 솔루션 이행관리</v>
      </c>
      <c r="F52" s="27" t="str">
        <f aca="false">IFERROR(INDEX(연결!$G$5:$G$35,MATCH(D52,연결!$A$5:$A$35,0)),"")</f>
        <v>제공한다</v>
      </c>
      <c r="G52" s="27" t="s">
        <v>85</v>
      </c>
      <c r="H52" s="12" t="s">
        <v>1399</v>
      </c>
      <c r="I52" s="27" t="str">
        <f aca="false">IFERROR(INDEX(연결!$H$5:$H$35,MATCH(D52,연결!$A$5:$A$35,0)),"")</f>
        <v>E2</v>
      </c>
      <c r="J52" s="27"/>
      <c r="K52" s="15" t="s">
        <v>1400</v>
      </c>
      <c r="L52" s="6" t="s">
        <v>1306</v>
      </c>
      <c r="M52" s="20"/>
      <c r="N52" s="20"/>
      <c r="O52" s="20"/>
      <c r="P52" s="20"/>
      <c r="Q52" s="20"/>
      <c r="R52" s="20"/>
      <c r="S52" s="35" t="str">
        <f aca="false">IFERROR(COUNTIF(M52:R52,"&gt;=3")/COUNT(M52:R52),"")</f>
        <v/>
      </c>
      <c r="T52" s="27" t="str">
        <f aca="false">IF(S52="","",IF(S52&gt;=검증!$B$4,"채택","수정·토론"))</f>
        <v/>
      </c>
      <c r="U52" s="27" t="str">
        <f aca="false">IF(COUNTIF($A$5:$A$183,A52)&lt;&gt;1,"ID 중복",IF(B52="C 연결",IF(COUNTIF(연결!$A$5:$A$35,D52)=1,"OK","연결 없음"),"OK"))</f>
        <v>OK</v>
      </c>
    </row>
    <row r="53" customFormat="false" ht="33.75" hidden="false" customHeight="true" outlineLevel="0" collapsed="false">
      <c r="A53" s="13" t="s">
        <v>1144</v>
      </c>
      <c r="B53" s="4" t="s">
        <v>1303</v>
      </c>
      <c r="C53" s="6" t="s">
        <v>685</v>
      </c>
      <c r="D53" s="15" t="s">
        <v>703</v>
      </c>
      <c r="E53" s="4" t="str">
        <f aca="false">IFERROR(INDEX(연결!$C$5:$C$35,MATCH(D53,연결!$A$5:$A$35,0)),"")</f>
        <v>RES 자원관리 → IMP 솔루션 이행관리</v>
      </c>
      <c r="F53" s="27" t="str">
        <f aca="false">IFERROR(INDEX(연결!$G$5:$G$35,MATCH(D53,연결!$A$5:$A$35,0)),"")</f>
        <v>제공한다</v>
      </c>
      <c r="G53" s="27" t="s">
        <v>90</v>
      </c>
      <c r="H53" s="12" t="s">
        <v>1401</v>
      </c>
      <c r="I53" s="27" t="str">
        <f aca="false">IFERROR(INDEX(연결!$H$5:$H$35,MATCH(D53,연결!$A$5:$A$35,0)),"")</f>
        <v>E2</v>
      </c>
      <c r="J53" s="27"/>
      <c r="K53" s="15" t="s">
        <v>1402</v>
      </c>
      <c r="L53" s="6" t="s">
        <v>1306</v>
      </c>
      <c r="M53" s="20"/>
      <c r="N53" s="20"/>
      <c r="O53" s="20"/>
      <c r="P53" s="20"/>
      <c r="Q53" s="20"/>
      <c r="R53" s="20"/>
      <c r="S53" s="35" t="str">
        <f aca="false">IFERROR(COUNTIF(M53:R53,"&gt;=3")/COUNT(M53:R53),"")</f>
        <v/>
      </c>
      <c r="T53" s="27" t="str">
        <f aca="false">IF(S53="","",IF(S53&gt;=검증!$B$4,"채택","수정·토론"))</f>
        <v/>
      </c>
      <c r="U53" s="27" t="str">
        <f aca="false">IF(COUNTIF($A$5:$A$183,A53)&lt;&gt;1,"ID 중복",IF(B53="C 연결",IF(COUNTIF(연결!$A$5:$A$35,D53)=1,"OK","연결 없음"),"OK"))</f>
        <v>OK</v>
      </c>
    </row>
    <row r="54" customFormat="false" ht="33.75" hidden="false" customHeight="true" outlineLevel="0" collapsed="false">
      <c r="A54" s="13" t="s">
        <v>1145</v>
      </c>
      <c r="B54" s="4" t="s">
        <v>1303</v>
      </c>
      <c r="C54" s="6" t="s">
        <v>685</v>
      </c>
      <c r="D54" s="15" t="s">
        <v>703</v>
      </c>
      <c r="E54" s="4" t="str">
        <f aca="false">IFERROR(INDEX(연결!$C$5:$C$35,MATCH(D54,연결!$A$5:$A$35,0)),"")</f>
        <v>RES 자원관리 → IMP 솔루션 이행관리</v>
      </c>
      <c r="F54" s="27" t="str">
        <f aca="false">IFERROR(INDEX(연결!$G$5:$G$35,MATCH(D54,연결!$A$5:$A$35,0)),"")</f>
        <v>제공한다</v>
      </c>
      <c r="G54" s="27" t="s">
        <v>95</v>
      </c>
      <c r="H54" s="12" t="s">
        <v>1403</v>
      </c>
      <c r="I54" s="27" t="str">
        <f aca="false">IFERROR(INDEX(연결!$H$5:$H$35,MATCH(D54,연결!$A$5:$A$35,0)),"")</f>
        <v>E2</v>
      </c>
      <c r="J54" s="27"/>
      <c r="K54" s="15" t="s">
        <v>1404</v>
      </c>
      <c r="L54" s="6" t="s">
        <v>1306</v>
      </c>
      <c r="M54" s="20"/>
      <c r="N54" s="20"/>
      <c r="O54" s="20"/>
      <c r="P54" s="20"/>
      <c r="Q54" s="20"/>
      <c r="R54" s="20"/>
      <c r="S54" s="35" t="str">
        <f aca="false">IFERROR(COUNTIF(M54:R54,"&gt;=3")/COUNT(M54:R54),"")</f>
        <v/>
      </c>
      <c r="T54" s="27" t="str">
        <f aca="false">IF(S54="","",IF(S54&gt;=검증!$B$4,"채택","수정·토론"))</f>
        <v/>
      </c>
      <c r="U54" s="27" t="str">
        <f aca="false">IF(COUNTIF($A$5:$A$183,A54)&lt;&gt;1,"ID 중복",IF(B54="C 연결",IF(COUNTIF(연결!$A$5:$A$35,D54)=1,"OK","연결 없음"),"OK"))</f>
        <v>OK</v>
      </c>
    </row>
    <row r="55" customFormat="false" ht="33.75" hidden="false" customHeight="true" outlineLevel="0" collapsed="false">
      <c r="A55" s="13" t="s">
        <v>1147</v>
      </c>
      <c r="B55" s="4" t="s">
        <v>1303</v>
      </c>
      <c r="C55" s="6" t="s">
        <v>685</v>
      </c>
      <c r="D55" s="15" t="s">
        <v>573</v>
      </c>
      <c r="E55" s="4" t="str">
        <f aca="false">IFERROR(INDEX(연결!$C$5:$C$35,MATCH(D55,연결!$A$5:$A$35,0)),"")</f>
        <v>BIA BIA·중요도 분석 → RES 자원관리</v>
      </c>
      <c r="F55" s="27" t="str">
        <f aca="false">IFERROR(INDEX(연결!$G$5:$G$35,MATCH(D55,연결!$A$5:$A$35,0)),"")</f>
        <v>입력된다·활용된다</v>
      </c>
      <c r="G55" s="27" t="s">
        <v>75</v>
      </c>
      <c r="H55" s="12" t="s">
        <v>1405</v>
      </c>
      <c r="I55" s="27" t="str">
        <f aca="false">IFERROR(INDEX(연결!$H$5:$H$35,MATCH(D55,연결!$A$5:$A$35,0)),"")</f>
        <v>E3</v>
      </c>
      <c r="J55" s="27"/>
      <c r="K55" s="15" t="s">
        <v>1406</v>
      </c>
      <c r="L55" s="6" t="s">
        <v>1306</v>
      </c>
      <c r="M55" s="20"/>
      <c r="N55" s="20"/>
      <c r="O55" s="20"/>
      <c r="P55" s="20"/>
      <c r="Q55" s="20"/>
      <c r="R55" s="20"/>
      <c r="S55" s="35" t="str">
        <f aca="false">IFERROR(COUNTIF(M55:R55,"&gt;=3")/COUNT(M55:R55),"")</f>
        <v/>
      </c>
      <c r="T55" s="27" t="str">
        <f aca="false">IF(S55="","",IF(S55&gt;=검증!$B$4,"채택","수정·토론"))</f>
        <v/>
      </c>
      <c r="U55" s="27" t="str">
        <f aca="false">IF(COUNTIF($A$5:$A$183,A55)&lt;&gt;1,"ID 중복",IF(B55="C 연결",IF(COUNTIF(연결!$A$5:$A$35,D55)=1,"OK","연결 없음"),"OK"))</f>
        <v>OK</v>
      </c>
    </row>
    <row r="56" customFormat="false" ht="33.75" hidden="false" customHeight="true" outlineLevel="0" collapsed="false">
      <c r="A56" s="13" t="s">
        <v>1148</v>
      </c>
      <c r="B56" s="4" t="s">
        <v>1303</v>
      </c>
      <c r="C56" s="6" t="s">
        <v>685</v>
      </c>
      <c r="D56" s="15" t="s">
        <v>573</v>
      </c>
      <c r="E56" s="4" t="str">
        <f aca="false">IFERROR(INDEX(연결!$C$5:$C$35,MATCH(D56,연결!$A$5:$A$35,0)),"")</f>
        <v>BIA BIA·중요도 분석 → RES 자원관리</v>
      </c>
      <c r="F56" s="27" t="str">
        <f aca="false">IFERROR(INDEX(연결!$G$5:$G$35,MATCH(D56,연결!$A$5:$A$35,0)),"")</f>
        <v>입력된다·활용된다</v>
      </c>
      <c r="G56" s="27" t="s">
        <v>81</v>
      </c>
      <c r="H56" s="12" t="s">
        <v>1407</v>
      </c>
      <c r="I56" s="27" t="str">
        <f aca="false">IFERROR(INDEX(연결!$H$5:$H$35,MATCH(D56,연결!$A$5:$A$35,0)),"")</f>
        <v>E3</v>
      </c>
      <c r="J56" s="27"/>
      <c r="K56" s="15" t="s">
        <v>1408</v>
      </c>
      <c r="L56" s="6" t="s">
        <v>1306</v>
      </c>
      <c r="M56" s="20"/>
      <c r="N56" s="20"/>
      <c r="O56" s="20"/>
      <c r="P56" s="20"/>
      <c r="Q56" s="20"/>
      <c r="R56" s="20"/>
      <c r="S56" s="35" t="str">
        <f aca="false">IFERROR(COUNTIF(M56:R56,"&gt;=3")/COUNT(M56:R56),"")</f>
        <v/>
      </c>
      <c r="T56" s="27" t="str">
        <f aca="false">IF(S56="","",IF(S56&gt;=검증!$B$4,"채택","수정·토론"))</f>
        <v/>
      </c>
      <c r="U56" s="27" t="str">
        <f aca="false">IF(COUNTIF($A$5:$A$183,A56)&lt;&gt;1,"ID 중복",IF(B56="C 연결",IF(COUNTIF(연결!$A$5:$A$35,D56)=1,"OK","연결 없음"),"OK"))</f>
        <v>OK</v>
      </c>
    </row>
    <row r="57" customFormat="false" ht="33.75" hidden="false" customHeight="true" outlineLevel="0" collapsed="false">
      <c r="A57" s="13" t="s">
        <v>1149</v>
      </c>
      <c r="B57" s="4" t="s">
        <v>1303</v>
      </c>
      <c r="C57" s="6" t="s">
        <v>685</v>
      </c>
      <c r="D57" s="15" t="s">
        <v>573</v>
      </c>
      <c r="E57" s="4" t="str">
        <f aca="false">IFERROR(INDEX(연결!$C$5:$C$35,MATCH(D57,연결!$A$5:$A$35,0)),"")</f>
        <v>BIA BIA·중요도 분석 → RES 자원관리</v>
      </c>
      <c r="F57" s="27" t="str">
        <f aca="false">IFERROR(INDEX(연결!$G$5:$G$35,MATCH(D57,연결!$A$5:$A$35,0)),"")</f>
        <v>입력된다·활용된다</v>
      </c>
      <c r="G57" s="27" t="s">
        <v>85</v>
      </c>
      <c r="H57" s="12" t="s">
        <v>1409</v>
      </c>
      <c r="I57" s="27" t="str">
        <f aca="false">IFERROR(INDEX(연결!$H$5:$H$35,MATCH(D57,연결!$A$5:$A$35,0)),"")</f>
        <v>E3</v>
      </c>
      <c r="J57" s="27"/>
      <c r="K57" s="15" t="s">
        <v>1410</v>
      </c>
      <c r="L57" s="6" t="s">
        <v>1306</v>
      </c>
      <c r="M57" s="20"/>
      <c r="N57" s="20"/>
      <c r="O57" s="20"/>
      <c r="P57" s="20"/>
      <c r="Q57" s="20"/>
      <c r="R57" s="20"/>
      <c r="S57" s="35" t="str">
        <f aca="false">IFERROR(COUNTIF(M57:R57,"&gt;=3")/COUNT(M57:R57),"")</f>
        <v/>
      </c>
      <c r="T57" s="27" t="str">
        <f aca="false">IF(S57="","",IF(S57&gt;=검증!$B$4,"채택","수정·토론"))</f>
        <v/>
      </c>
      <c r="U57" s="27" t="str">
        <f aca="false">IF(COUNTIF($A$5:$A$183,A57)&lt;&gt;1,"ID 중복",IF(B57="C 연결",IF(COUNTIF(연결!$A$5:$A$35,D57)=1,"OK","연결 없음"),"OK"))</f>
        <v>OK</v>
      </c>
    </row>
    <row r="58" customFormat="false" ht="33.75" hidden="false" customHeight="true" outlineLevel="0" collapsed="false">
      <c r="A58" s="13" t="s">
        <v>1150</v>
      </c>
      <c r="B58" s="4" t="s">
        <v>1303</v>
      </c>
      <c r="C58" s="6" t="s">
        <v>685</v>
      </c>
      <c r="D58" s="15" t="s">
        <v>573</v>
      </c>
      <c r="E58" s="4" t="str">
        <f aca="false">IFERROR(INDEX(연결!$C$5:$C$35,MATCH(D58,연결!$A$5:$A$35,0)),"")</f>
        <v>BIA BIA·중요도 분석 → RES 자원관리</v>
      </c>
      <c r="F58" s="27" t="str">
        <f aca="false">IFERROR(INDEX(연결!$G$5:$G$35,MATCH(D58,연결!$A$5:$A$35,0)),"")</f>
        <v>입력된다·활용된다</v>
      </c>
      <c r="G58" s="27" t="s">
        <v>90</v>
      </c>
      <c r="H58" s="12" t="s">
        <v>1411</v>
      </c>
      <c r="I58" s="27" t="str">
        <f aca="false">IFERROR(INDEX(연결!$H$5:$H$35,MATCH(D58,연결!$A$5:$A$35,0)),"")</f>
        <v>E3</v>
      </c>
      <c r="J58" s="27"/>
      <c r="K58" s="15" t="s">
        <v>762</v>
      </c>
      <c r="L58" s="6" t="s">
        <v>1306</v>
      </c>
      <c r="M58" s="20"/>
      <c r="N58" s="20"/>
      <c r="O58" s="20"/>
      <c r="P58" s="20"/>
      <c r="Q58" s="20"/>
      <c r="R58" s="20"/>
      <c r="S58" s="35" t="str">
        <f aca="false">IFERROR(COUNTIF(M58:R58,"&gt;=3")/COUNT(M58:R58),"")</f>
        <v/>
      </c>
      <c r="T58" s="27" t="str">
        <f aca="false">IF(S58="","",IF(S58&gt;=검증!$B$4,"채택","수정·토론"))</f>
        <v/>
      </c>
      <c r="U58" s="27" t="str">
        <f aca="false">IF(COUNTIF($A$5:$A$183,A58)&lt;&gt;1,"ID 중복",IF(B58="C 연결",IF(COUNTIF(연결!$A$5:$A$35,D58)=1,"OK","연결 없음"),"OK"))</f>
        <v>OK</v>
      </c>
    </row>
    <row r="59" customFormat="false" ht="33.75" hidden="false" customHeight="true" outlineLevel="0" collapsed="false">
      <c r="A59" s="13" t="s">
        <v>1151</v>
      </c>
      <c r="B59" s="4" t="s">
        <v>1303</v>
      </c>
      <c r="C59" s="6" t="s">
        <v>685</v>
      </c>
      <c r="D59" s="15" t="s">
        <v>573</v>
      </c>
      <c r="E59" s="4" t="str">
        <f aca="false">IFERROR(INDEX(연결!$C$5:$C$35,MATCH(D59,연결!$A$5:$A$35,0)),"")</f>
        <v>BIA BIA·중요도 분석 → RES 자원관리</v>
      </c>
      <c r="F59" s="27" t="str">
        <f aca="false">IFERROR(INDEX(연결!$G$5:$G$35,MATCH(D59,연결!$A$5:$A$35,0)),"")</f>
        <v>입력된다·활용된다</v>
      </c>
      <c r="G59" s="27" t="s">
        <v>95</v>
      </c>
      <c r="H59" s="12" t="s">
        <v>1412</v>
      </c>
      <c r="I59" s="27" t="str">
        <f aca="false">IFERROR(INDEX(연결!$H$5:$H$35,MATCH(D59,연결!$A$5:$A$35,0)),"")</f>
        <v>E3</v>
      </c>
      <c r="J59" s="27"/>
      <c r="K59" s="15" t="s">
        <v>1413</v>
      </c>
      <c r="L59" s="6" t="s">
        <v>1306</v>
      </c>
      <c r="M59" s="20"/>
      <c r="N59" s="20"/>
      <c r="O59" s="20"/>
      <c r="P59" s="20"/>
      <c r="Q59" s="20"/>
      <c r="R59" s="20"/>
      <c r="S59" s="35" t="str">
        <f aca="false">IFERROR(COUNTIF(M59:R59,"&gt;=3")/COUNT(M59:R59),"")</f>
        <v/>
      </c>
      <c r="T59" s="27" t="str">
        <f aca="false">IF(S59="","",IF(S59&gt;=검증!$B$4,"채택","수정·토론"))</f>
        <v/>
      </c>
      <c r="U59" s="27" t="str">
        <f aca="false">IF(COUNTIF($A$5:$A$183,A59)&lt;&gt;1,"ID 중복",IF(B59="C 연결",IF(COUNTIF(연결!$A$5:$A$35,D59)=1,"OK","연결 없음"),"OK"))</f>
        <v>OK</v>
      </c>
    </row>
    <row r="60" customFormat="false" ht="33.75" hidden="false" customHeight="true" outlineLevel="0" collapsed="false">
      <c r="A60" s="13" t="s">
        <v>1153</v>
      </c>
      <c r="B60" s="4" t="s">
        <v>1303</v>
      </c>
      <c r="C60" s="6" t="s">
        <v>720</v>
      </c>
      <c r="D60" s="15" t="s">
        <v>402</v>
      </c>
      <c r="E60" s="4" t="str">
        <f aca="false">IFERROR(INDEX(연결!$C$5:$C$35,MATCH(D60,연결!$A$5:$A$35,0)),"")</f>
        <v>PLAN BC 계획·절차 개발 → INC 사고·비상 대응</v>
      </c>
      <c r="F60" s="27" t="str">
        <f aca="false">IFERROR(INDEX(연결!$G$5:$G$35,MATCH(D60,연결!$A$5:$A$35,0)),"")</f>
        <v>도출·이행된다</v>
      </c>
      <c r="G60" s="27" t="s">
        <v>75</v>
      </c>
      <c r="H60" s="12" t="s">
        <v>1414</v>
      </c>
      <c r="I60" s="27" t="str">
        <f aca="false">IFERROR(INDEX(연결!$H$5:$H$35,MATCH(D60,연결!$A$5:$A$35,0)),"")</f>
        <v>E2</v>
      </c>
      <c r="J60" s="27"/>
      <c r="K60" s="15" t="s">
        <v>1415</v>
      </c>
      <c r="L60" s="6" t="s">
        <v>1306</v>
      </c>
      <c r="M60" s="20"/>
      <c r="N60" s="20"/>
      <c r="O60" s="20"/>
      <c r="P60" s="20"/>
      <c r="Q60" s="20"/>
      <c r="R60" s="20"/>
      <c r="S60" s="35" t="str">
        <f aca="false">IFERROR(COUNTIF(M60:R60,"&gt;=3")/COUNT(M60:R60),"")</f>
        <v/>
      </c>
      <c r="T60" s="27" t="str">
        <f aca="false">IF(S60="","",IF(S60&gt;=검증!$B$4,"채택","수정·토론"))</f>
        <v/>
      </c>
      <c r="U60" s="27" t="str">
        <f aca="false">IF(COUNTIF($A$5:$A$183,A60)&lt;&gt;1,"ID 중복",IF(B60="C 연결",IF(COUNTIF(연결!$A$5:$A$35,D60)=1,"OK","연결 없음"),"OK"))</f>
        <v>OK</v>
      </c>
    </row>
    <row r="61" customFormat="false" ht="33.75" hidden="false" customHeight="true" outlineLevel="0" collapsed="false">
      <c r="A61" s="13" t="s">
        <v>1154</v>
      </c>
      <c r="B61" s="4" t="s">
        <v>1303</v>
      </c>
      <c r="C61" s="6" t="s">
        <v>720</v>
      </c>
      <c r="D61" s="15" t="s">
        <v>402</v>
      </c>
      <c r="E61" s="4" t="str">
        <f aca="false">IFERROR(INDEX(연결!$C$5:$C$35,MATCH(D61,연결!$A$5:$A$35,0)),"")</f>
        <v>PLAN BC 계획·절차 개발 → INC 사고·비상 대응</v>
      </c>
      <c r="F61" s="27" t="str">
        <f aca="false">IFERROR(INDEX(연결!$G$5:$G$35,MATCH(D61,연결!$A$5:$A$35,0)),"")</f>
        <v>도출·이행된다</v>
      </c>
      <c r="G61" s="27" t="s">
        <v>81</v>
      </c>
      <c r="H61" s="12" t="s">
        <v>1416</v>
      </c>
      <c r="I61" s="27" t="str">
        <f aca="false">IFERROR(INDEX(연결!$H$5:$H$35,MATCH(D61,연결!$A$5:$A$35,0)),"")</f>
        <v>E2</v>
      </c>
      <c r="J61" s="27"/>
      <c r="K61" s="15" t="s">
        <v>1417</v>
      </c>
      <c r="L61" s="6" t="s">
        <v>1306</v>
      </c>
      <c r="M61" s="20"/>
      <c r="N61" s="20"/>
      <c r="O61" s="20"/>
      <c r="P61" s="20"/>
      <c r="Q61" s="20"/>
      <c r="R61" s="20"/>
      <c r="S61" s="35" t="str">
        <f aca="false">IFERROR(COUNTIF(M61:R61,"&gt;=3")/COUNT(M61:R61),"")</f>
        <v/>
      </c>
      <c r="T61" s="27" t="str">
        <f aca="false">IF(S61="","",IF(S61&gt;=검증!$B$4,"채택","수정·토론"))</f>
        <v/>
      </c>
      <c r="U61" s="27" t="str">
        <f aca="false">IF(COUNTIF($A$5:$A$183,A61)&lt;&gt;1,"ID 중복",IF(B61="C 연결",IF(COUNTIF(연결!$A$5:$A$35,D61)=1,"OK","연결 없음"),"OK"))</f>
        <v>OK</v>
      </c>
    </row>
    <row r="62" customFormat="false" ht="33.75" hidden="false" customHeight="true" outlineLevel="0" collapsed="false">
      <c r="A62" s="13" t="s">
        <v>1155</v>
      </c>
      <c r="B62" s="4" t="s">
        <v>1303</v>
      </c>
      <c r="C62" s="6" t="s">
        <v>720</v>
      </c>
      <c r="D62" s="15" t="s">
        <v>402</v>
      </c>
      <c r="E62" s="4" t="str">
        <f aca="false">IFERROR(INDEX(연결!$C$5:$C$35,MATCH(D62,연결!$A$5:$A$35,0)),"")</f>
        <v>PLAN BC 계획·절차 개발 → INC 사고·비상 대응</v>
      </c>
      <c r="F62" s="27" t="str">
        <f aca="false">IFERROR(INDEX(연결!$G$5:$G$35,MATCH(D62,연결!$A$5:$A$35,0)),"")</f>
        <v>도출·이행된다</v>
      </c>
      <c r="G62" s="27" t="s">
        <v>85</v>
      </c>
      <c r="H62" s="12" t="s">
        <v>1418</v>
      </c>
      <c r="I62" s="27" t="str">
        <f aca="false">IFERROR(INDEX(연결!$H$5:$H$35,MATCH(D62,연결!$A$5:$A$35,0)),"")</f>
        <v>E2</v>
      </c>
      <c r="J62" s="27"/>
      <c r="K62" s="15" t="s">
        <v>1419</v>
      </c>
      <c r="L62" s="6" t="s">
        <v>1306</v>
      </c>
      <c r="M62" s="20"/>
      <c r="N62" s="20"/>
      <c r="O62" s="20"/>
      <c r="P62" s="20"/>
      <c r="Q62" s="20"/>
      <c r="R62" s="20"/>
      <c r="S62" s="35" t="str">
        <f aca="false">IFERROR(COUNTIF(M62:R62,"&gt;=3")/COUNT(M62:R62),"")</f>
        <v/>
      </c>
      <c r="T62" s="27" t="str">
        <f aca="false">IF(S62="","",IF(S62&gt;=검증!$B$4,"채택","수정·토론"))</f>
        <v/>
      </c>
      <c r="U62" s="27" t="str">
        <f aca="false">IF(COUNTIF($A$5:$A$183,A62)&lt;&gt;1,"ID 중복",IF(B62="C 연결",IF(COUNTIF(연결!$A$5:$A$35,D62)=1,"OK","연결 없음"),"OK"))</f>
        <v>OK</v>
      </c>
    </row>
    <row r="63" customFormat="false" ht="33.75" hidden="false" customHeight="true" outlineLevel="0" collapsed="false">
      <c r="A63" s="13" t="s">
        <v>1156</v>
      </c>
      <c r="B63" s="4" t="s">
        <v>1303</v>
      </c>
      <c r="C63" s="6" t="s">
        <v>720</v>
      </c>
      <c r="D63" s="15" t="s">
        <v>402</v>
      </c>
      <c r="E63" s="4" t="str">
        <f aca="false">IFERROR(INDEX(연결!$C$5:$C$35,MATCH(D63,연결!$A$5:$A$35,0)),"")</f>
        <v>PLAN BC 계획·절차 개발 → INC 사고·비상 대응</v>
      </c>
      <c r="F63" s="27" t="str">
        <f aca="false">IFERROR(INDEX(연결!$G$5:$G$35,MATCH(D63,연결!$A$5:$A$35,0)),"")</f>
        <v>도출·이행된다</v>
      </c>
      <c r="G63" s="27" t="s">
        <v>90</v>
      </c>
      <c r="H63" s="12" t="s">
        <v>1420</v>
      </c>
      <c r="I63" s="27" t="str">
        <f aca="false">IFERROR(INDEX(연결!$H$5:$H$35,MATCH(D63,연결!$A$5:$A$35,0)),"")</f>
        <v>E2</v>
      </c>
      <c r="J63" s="27"/>
      <c r="K63" s="15" t="s">
        <v>1421</v>
      </c>
      <c r="L63" s="6" t="s">
        <v>1306</v>
      </c>
      <c r="M63" s="20"/>
      <c r="N63" s="20"/>
      <c r="O63" s="20"/>
      <c r="P63" s="20"/>
      <c r="Q63" s="20"/>
      <c r="R63" s="20"/>
      <c r="S63" s="35" t="str">
        <f aca="false">IFERROR(COUNTIF(M63:R63,"&gt;=3")/COUNT(M63:R63),"")</f>
        <v/>
      </c>
      <c r="T63" s="27" t="str">
        <f aca="false">IF(S63="","",IF(S63&gt;=검증!$B$4,"채택","수정·토론"))</f>
        <v/>
      </c>
      <c r="U63" s="27" t="str">
        <f aca="false">IF(COUNTIF($A$5:$A$183,A63)&lt;&gt;1,"ID 중복",IF(B63="C 연결",IF(COUNTIF(연결!$A$5:$A$35,D63)=1,"OK","연결 없음"),"OK"))</f>
        <v>OK</v>
      </c>
    </row>
    <row r="64" customFormat="false" ht="33.75" hidden="false" customHeight="true" outlineLevel="0" collapsed="false">
      <c r="A64" s="13" t="s">
        <v>1157</v>
      </c>
      <c r="B64" s="4" t="s">
        <v>1303</v>
      </c>
      <c r="C64" s="6" t="s">
        <v>720</v>
      </c>
      <c r="D64" s="15" t="s">
        <v>402</v>
      </c>
      <c r="E64" s="4" t="str">
        <f aca="false">IFERROR(INDEX(연결!$C$5:$C$35,MATCH(D64,연결!$A$5:$A$35,0)),"")</f>
        <v>PLAN BC 계획·절차 개발 → INC 사고·비상 대응</v>
      </c>
      <c r="F64" s="27" t="str">
        <f aca="false">IFERROR(INDEX(연결!$G$5:$G$35,MATCH(D64,연결!$A$5:$A$35,0)),"")</f>
        <v>도출·이행된다</v>
      </c>
      <c r="G64" s="27" t="s">
        <v>95</v>
      </c>
      <c r="H64" s="12" t="s">
        <v>1422</v>
      </c>
      <c r="I64" s="27" t="str">
        <f aca="false">IFERROR(INDEX(연결!$H$5:$H$35,MATCH(D64,연결!$A$5:$A$35,0)),"")</f>
        <v>E2</v>
      </c>
      <c r="J64" s="27"/>
      <c r="K64" s="15" t="s">
        <v>173</v>
      </c>
      <c r="L64" s="6" t="s">
        <v>1306</v>
      </c>
      <c r="M64" s="20"/>
      <c r="N64" s="20"/>
      <c r="O64" s="20"/>
      <c r="P64" s="20"/>
      <c r="Q64" s="20"/>
      <c r="R64" s="20"/>
      <c r="S64" s="35" t="str">
        <f aca="false">IFERROR(COUNTIF(M64:R64,"&gt;=3")/COUNT(M64:R64),"")</f>
        <v/>
      </c>
      <c r="T64" s="27" t="str">
        <f aca="false">IF(S64="","",IF(S64&gt;=검증!$B$4,"채택","수정·토론"))</f>
        <v/>
      </c>
      <c r="U64" s="27" t="str">
        <f aca="false">IF(COUNTIF($A$5:$A$183,A64)&lt;&gt;1,"ID 중복",IF(B64="C 연결",IF(COUNTIF(연결!$A$5:$A$35,D64)=1,"OK","연결 없음"),"OK"))</f>
        <v>OK</v>
      </c>
    </row>
    <row r="65" customFormat="false" ht="33.75" hidden="false" customHeight="true" outlineLevel="0" collapsed="false">
      <c r="A65" s="13" t="s">
        <v>1159</v>
      </c>
      <c r="B65" s="4" t="s">
        <v>1303</v>
      </c>
      <c r="C65" s="6" t="s">
        <v>720</v>
      </c>
      <c r="D65" s="15" t="s">
        <v>725</v>
      </c>
      <c r="E65" s="4" t="str">
        <f aca="false">IFERROR(INDEX(연결!$C$5:$C$35,MATCH(D65,연결!$A$5:$A$35,0)),"")</f>
        <v>INC 사고·비상 대응 → WARN 경보·커뮤니케이션</v>
      </c>
      <c r="F65" s="27" t="str">
        <f aca="false">IFERROR(INDEX(연결!$G$5:$G$35,MATCH(D65,연결!$A$5:$A$35,0)),"")</f>
        <v>포함한다</v>
      </c>
      <c r="G65" s="27" t="s">
        <v>75</v>
      </c>
      <c r="H65" s="12" t="s">
        <v>1423</v>
      </c>
      <c r="I65" s="27" t="str">
        <f aca="false">IFERROR(INDEX(연결!$H$5:$H$35,MATCH(D65,연결!$A$5:$A$35,0)),"")</f>
        <v>E1</v>
      </c>
      <c r="J65" s="27"/>
      <c r="K65" s="15" t="s">
        <v>1424</v>
      </c>
      <c r="L65" s="6" t="s">
        <v>1306</v>
      </c>
      <c r="M65" s="20"/>
      <c r="N65" s="20"/>
      <c r="O65" s="20"/>
      <c r="P65" s="20"/>
      <c r="Q65" s="20"/>
      <c r="R65" s="20"/>
      <c r="S65" s="35" t="str">
        <f aca="false">IFERROR(COUNTIF(M65:R65,"&gt;=3")/COUNT(M65:R65),"")</f>
        <v/>
      </c>
      <c r="T65" s="27" t="str">
        <f aca="false">IF(S65="","",IF(S65&gt;=검증!$B$4,"채택","수정·토론"))</f>
        <v/>
      </c>
      <c r="U65" s="27" t="str">
        <f aca="false">IF(COUNTIF($A$5:$A$183,A65)&lt;&gt;1,"ID 중복",IF(B65="C 연결",IF(COUNTIF(연결!$A$5:$A$35,D65)=1,"OK","연결 없음"),"OK"))</f>
        <v>OK</v>
      </c>
    </row>
    <row r="66" customFormat="false" ht="33.75" hidden="false" customHeight="true" outlineLevel="0" collapsed="false">
      <c r="A66" s="13" t="s">
        <v>1160</v>
      </c>
      <c r="B66" s="4" t="s">
        <v>1303</v>
      </c>
      <c r="C66" s="6" t="s">
        <v>720</v>
      </c>
      <c r="D66" s="15" t="s">
        <v>725</v>
      </c>
      <c r="E66" s="4" t="str">
        <f aca="false">IFERROR(INDEX(연결!$C$5:$C$35,MATCH(D66,연결!$A$5:$A$35,0)),"")</f>
        <v>INC 사고·비상 대응 → WARN 경보·커뮤니케이션</v>
      </c>
      <c r="F66" s="27" t="str">
        <f aca="false">IFERROR(INDEX(연결!$G$5:$G$35,MATCH(D66,연결!$A$5:$A$35,0)),"")</f>
        <v>포함한다</v>
      </c>
      <c r="G66" s="27" t="s">
        <v>81</v>
      </c>
      <c r="H66" s="12" t="s">
        <v>1425</v>
      </c>
      <c r="I66" s="27" t="str">
        <f aca="false">IFERROR(INDEX(연결!$H$5:$H$35,MATCH(D66,연결!$A$5:$A$35,0)),"")</f>
        <v>E1</v>
      </c>
      <c r="J66" s="27"/>
      <c r="K66" s="15" t="s">
        <v>1426</v>
      </c>
      <c r="L66" s="6" t="s">
        <v>1306</v>
      </c>
      <c r="M66" s="20"/>
      <c r="N66" s="20"/>
      <c r="O66" s="20"/>
      <c r="P66" s="20"/>
      <c r="Q66" s="20"/>
      <c r="R66" s="20"/>
      <c r="S66" s="35" t="str">
        <f aca="false">IFERROR(COUNTIF(M66:R66,"&gt;=3")/COUNT(M66:R66),"")</f>
        <v/>
      </c>
      <c r="T66" s="27" t="str">
        <f aca="false">IF(S66="","",IF(S66&gt;=검증!$B$4,"채택","수정·토론"))</f>
        <v/>
      </c>
      <c r="U66" s="27" t="str">
        <f aca="false">IF(COUNTIF($A$5:$A$183,A66)&lt;&gt;1,"ID 중복",IF(B66="C 연결",IF(COUNTIF(연결!$A$5:$A$35,D66)=1,"OK","연결 없음"),"OK"))</f>
        <v>OK</v>
      </c>
    </row>
    <row r="67" customFormat="false" ht="33.75" hidden="false" customHeight="true" outlineLevel="0" collapsed="false">
      <c r="A67" s="13" t="s">
        <v>1161</v>
      </c>
      <c r="B67" s="4" t="s">
        <v>1303</v>
      </c>
      <c r="C67" s="6" t="s">
        <v>720</v>
      </c>
      <c r="D67" s="15" t="s">
        <v>725</v>
      </c>
      <c r="E67" s="4" t="str">
        <f aca="false">IFERROR(INDEX(연결!$C$5:$C$35,MATCH(D67,연결!$A$5:$A$35,0)),"")</f>
        <v>INC 사고·비상 대응 → WARN 경보·커뮤니케이션</v>
      </c>
      <c r="F67" s="27" t="str">
        <f aca="false">IFERROR(INDEX(연결!$G$5:$G$35,MATCH(D67,연결!$A$5:$A$35,0)),"")</f>
        <v>포함한다</v>
      </c>
      <c r="G67" s="27" t="s">
        <v>85</v>
      </c>
      <c r="H67" s="12" t="s">
        <v>1427</v>
      </c>
      <c r="I67" s="27" t="str">
        <f aca="false">IFERROR(INDEX(연결!$H$5:$H$35,MATCH(D67,연결!$A$5:$A$35,0)),"")</f>
        <v>E1</v>
      </c>
      <c r="J67" s="27"/>
      <c r="K67" s="15" t="s">
        <v>1428</v>
      </c>
      <c r="L67" s="6" t="s">
        <v>1306</v>
      </c>
      <c r="M67" s="20"/>
      <c r="N67" s="20"/>
      <c r="O67" s="20"/>
      <c r="P67" s="20"/>
      <c r="Q67" s="20"/>
      <c r="R67" s="20"/>
      <c r="S67" s="35" t="str">
        <f aca="false">IFERROR(COUNTIF(M67:R67,"&gt;=3")/COUNT(M67:R67),"")</f>
        <v/>
      </c>
      <c r="T67" s="27" t="str">
        <f aca="false">IF(S67="","",IF(S67&gt;=검증!$B$4,"채택","수정·토론"))</f>
        <v/>
      </c>
      <c r="U67" s="27" t="str">
        <f aca="false">IF(COUNTIF($A$5:$A$183,A67)&lt;&gt;1,"ID 중복",IF(B67="C 연결",IF(COUNTIF(연결!$A$5:$A$35,D67)=1,"OK","연결 없음"),"OK"))</f>
        <v>OK</v>
      </c>
    </row>
    <row r="68" customFormat="false" ht="33.75" hidden="false" customHeight="true" outlineLevel="0" collapsed="false">
      <c r="A68" s="13" t="s">
        <v>1162</v>
      </c>
      <c r="B68" s="4" t="s">
        <v>1303</v>
      </c>
      <c r="C68" s="6" t="s">
        <v>720</v>
      </c>
      <c r="D68" s="15" t="s">
        <v>725</v>
      </c>
      <c r="E68" s="4" t="str">
        <f aca="false">IFERROR(INDEX(연결!$C$5:$C$35,MATCH(D68,연결!$A$5:$A$35,0)),"")</f>
        <v>INC 사고·비상 대응 → WARN 경보·커뮤니케이션</v>
      </c>
      <c r="F68" s="27" t="str">
        <f aca="false">IFERROR(INDEX(연결!$G$5:$G$35,MATCH(D68,연결!$A$5:$A$35,0)),"")</f>
        <v>포함한다</v>
      </c>
      <c r="G68" s="27" t="s">
        <v>90</v>
      </c>
      <c r="H68" s="12" t="s">
        <v>1429</v>
      </c>
      <c r="I68" s="27" t="str">
        <f aca="false">IFERROR(INDEX(연결!$H$5:$H$35,MATCH(D68,연결!$A$5:$A$35,0)),"")</f>
        <v>E1</v>
      </c>
      <c r="J68" s="27"/>
      <c r="K68" s="15" t="s">
        <v>1430</v>
      </c>
      <c r="L68" s="6" t="s">
        <v>1306</v>
      </c>
      <c r="M68" s="20"/>
      <c r="N68" s="20"/>
      <c r="O68" s="20"/>
      <c r="P68" s="20"/>
      <c r="Q68" s="20"/>
      <c r="R68" s="20"/>
      <c r="S68" s="35" t="str">
        <f aca="false">IFERROR(COUNTIF(M68:R68,"&gt;=3")/COUNT(M68:R68),"")</f>
        <v/>
      </c>
      <c r="T68" s="27" t="str">
        <f aca="false">IF(S68="","",IF(S68&gt;=검증!$B$4,"채택","수정·토론"))</f>
        <v/>
      </c>
      <c r="U68" s="27" t="str">
        <f aca="false">IF(COUNTIF($A$5:$A$183,A68)&lt;&gt;1,"ID 중복",IF(B68="C 연결",IF(COUNTIF(연결!$A$5:$A$35,D68)=1,"OK","연결 없음"),"OK"))</f>
        <v>OK</v>
      </c>
    </row>
    <row r="69" customFormat="false" ht="33.75" hidden="false" customHeight="true" outlineLevel="0" collapsed="false">
      <c r="A69" s="13" t="s">
        <v>1163</v>
      </c>
      <c r="B69" s="4" t="s">
        <v>1303</v>
      </c>
      <c r="C69" s="6" t="s">
        <v>720</v>
      </c>
      <c r="D69" s="15" t="s">
        <v>725</v>
      </c>
      <c r="E69" s="4" t="str">
        <f aca="false">IFERROR(INDEX(연결!$C$5:$C$35,MATCH(D69,연결!$A$5:$A$35,0)),"")</f>
        <v>INC 사고·비상 대응 → WARN 경보·커뮤니케이션</v>
      </c>
      <c r="F69" s="27" t="str">
        <f aca="false">IFERROR(INDEX(연결!$G$5:$G$35,MATCH(D69,연결!$A$5:$A$35,0)),"")</f>
        <v>포함한다</v>
      </c>
      <c r="G69" s="27" t="s">
        <v>95</v>
      </c>
      <c r="H69" s="12" t="s">
        <v>1431</v>
      </c>
      <c r="I69" s="27" t="str">
        <f aca="false">IFERROR(INDEX(연결!$H$5:$H$35,MATCH(D69,연결!$A$5:$A$35,0)),"")</f>
        <v>E1</v>
      </c>
      <c r="J69" s="27"/>
      <c r="K69" s="15" t="s">
        <v>1432</v>
      </c>
      <c r="L69" s="6" t="s">
        <v>1306</v>
      </c>
      <c r="M69" s="20"/>
      <c r="N69" s="20"/>
      <c r="O69" s="20"/>
      <c r="P69" s="20"/>
      <c r="Q69" s="20"/>
      <c r="R69" s="20"/>
      <c r="S69" s="35" t="str">
        <f aca="false">IFERROR(COUNTIF(M69:R69,"&gt;=3")/COUNT(M69:R69),"")</f>
        <v/>
      </c>
      <c r="T69" s="27" t="str">
        <f aca="false">IF(S69="","",IF(S69&gt;=검증!$B$4,"채택","수정·토론"))</f>
        <v/>
      </c>
      <c r="U69" s="27" t="str">
        <f aca="false">IF(COUNTIF($A$5:$A$183,A69)&lt;&gt;1,"ID 중복",IF(B69="C 연결",IF(COUNTIF(연결!$A$5:$A$35,D69)=1,"OK","연결 없음"),"OK"))</f>
        <v>OK</v>
      </c>
    </row>
    <row r="70" customFormat="false" ht="33.75" hidden="false" customHeight="true" outlineLevel="0" collapsed="false">
      <c r="A70" s="13" t="s">
        <v>1165</v>
      </c>
      <c r="B70" s="4" t="s">
        <v>1303</v>
      </c>
      <c r="C70" s="6" t="s">
        <v>720</v>
      </c>
      <c r="D70" s="15" t="s">
        <v>414</v>
      </c>
      <c r="E70" s="4" t="str">
        <f aca="false">IFERROR(INDEX(연결!$C$5:$C$35,MATCH(D70,연결!$A$5:$A$35,0)),"")</f>
        <v>INC 사고·비상 대응 → REC 복구</v>
      </c>
      <c r="F70" s="27" t="str">
        <f aca="false">IFERROR(INDEX(연결!$G$5:$G$35,MATCH(D70,연결!$A$5:$A$35,0)),"")</f>
        <v>포함한다</v>
      </c>
      <c r="G70" s="27" t="s">
        <v>75</v>
      </c>
      <c r="H70" s="12" t="s">
        <v>1433</v>
      </c>
      <c r="I70" s="27" t="str">
        <f aca="false">IFERROR(INDEX(연결!$H$5:$H$35,MATCH(D70,연결!$A$5:$A$35,0)),"")</f>
        <v>E1</v>
      </c>
      <c r="J70" s="27"/>
      <c r="K70" s="15" t="s">
        <v>1434</v>
      </c>
      <c r="L70" s="6" t="s">
        <v>1306</v>
      </c>
      <c r="M70" s="20"/>
      <c r="N70" s="20"/>
      <c r="O70" s="20"/>
      <c r="P70" s="20"/>
      <c r="Q70" s="20"/>
      <c r="R70" s="20"/>
      <c r="S70" s="35" t="str">
        <f aca="false">IFERROR(COUNTIF(M70:R70,"&gt;=3")/COUNT(M70:R70),"")</f>
        <v/>
      </c>
      <c r="T70" s="27" t="str">
        <f aca="false">IF(S70="","",IF(S70&gt;=검증!$B$4,"채택","수정·토론"))</f>
        <v/>
      </c>
      <c r="U70" s="27" t="str">
        <f aca="false">IF(COUNTIF($A$5:$A$183,A70)&lt;&gt;1,"ID 중복",IF(B70="C 연결",IF(COUNTIF(연결!$A$5:$A$35,D70)=1,"OK","연결 없음"),"OK"))</f>
        <v>OK</v>
      </c>
    </row>
    <row r="71" customFormat="false" ht="33.75" hidden="false" customHeight="true" outlineLevel="0" collapsed="false">
      <c r="A71" s="13" t="s">
        <v>1166</v>
      </c>
      <c r="B71" s="4" t="s">
        <v>1303</v>
      </c>
      <c r="C71" s="6" t="s">
        <v>720</v>
      </c>
      <c r="D71" s="15" t="s">
        <v>414</v>
      </c>
      <c r="E71" s="4" t="str">
        <f aca="false">IFERROR(INDEX(연결!$C$5:$C$35,MATCH(D71,연결!$A$5:$A$35,0)),"")</f>
        <v>INC 사고·비상 대응 → REC 복구</v>
      </c>
      <c r="F71" s="27" t="str">
        <f aca="false">IFERROR(INDEX(연결!$G$5:$G$35,MATCH(D71,연결!$A$5:$A$35,0)),"")</f>
        <v>포함한다</v>
      </c>
      <c r="G71" s="27" t="s">
        <v>81</v>
      </c>
      <c r="H71" s="12" t="s">
        <v>1435</v>
      </c>
      <c r="I71" s="27" t="str">
        <f aca="false">IFERROR(INDEX(연결!$H$5:$H$35,MATCH(D71,연결!$A$5:$A$35,0)),"")</f>
        <v>E1</v>
      </c>
      <c r="J71" s="27"/>
      <c r="K71" s="15" t="s">
        <v>1436</v>
      </c>
      <c r="L71" s="6" t="s">
        <v>1306</v>
      </c>
      <c r="M71" s="20"/>
      <c r="N71" s="20"/>
      <c r="O71" s="20"/>
      <c r="P71" s="20"/>
      <c r="Q71" s="20"/>
      <c r="R71" s="20"/>
      <c r="S71" s="35" t="str">
        <f aca="false">IFERROR(COUNTIF(M71:R71,"&gt;=3")/COUNT(M71:R71),"")</f>
        <v/>
      </c>
      <c r="T71" s="27" t="str">
        <f aca="false">IF(S71="","",IF(S71&gt;=검증!$B$4,"채택","수정·토론"))</f>
        <v/>
      </c>
      <c r="U71" s="27" t="str">
        <f aca="false">IF(COUNTIF($A$5:$A$183,A71)&lt;&gt;1,"ID 중복",IF(B71="C 연결",IF(COUNTIF(연결!$A$5:$A$35,D71)=1,"OK","연결 없음"),"OK"))</f>
        <v>OK</v>
      </c>
    </row>
    <row r="72" customFormat="false" ht="33.75" hidden="false" customHeight="true" outlineLevel="0" collapsed="false">
      <c r="A72" s="13" t="s">
        <v>1167</v>
      </c>
      <c r="B72" s="4" t="s">
        <v>1303</v>
      </c>
      <c r="C72" s="6" t="s">
        <v>720</v>
      </c>
      <c r="D72" s="15" t="s">
        <v>414</v>
      </c>
      <c r="E72" s="4" t="str">
        <f aca="false">IFERROR(INDEX(연결!$C$5:$C$35,MATCH(D72,연결!$A$5:$A$35,0)),"")</f>
        <v>INC 사고·비상 대응 → REC 복구</v>
      </c>
      <c r="F72" s="27" t="str">
        <f aca="false">IFERROR(INDEX(연결!$G$5:$G$35,MATCH(D72,연결!$A$5:$A$35,0)),"")</f>
        <v>포함한다</v>
      </c>
      <c r="G72" s="27" t="s">
        <v>85</v>
      </c>
      <c r="H72" s="12" t="s">
        <v>1437</v>
      </c>
      <c r="I72" s="27" t="str">
        <f aca="false">IFERROR(INDEX(연결!$H$5:$H$35,MATCH(D72,연결!$A$5:$A$35,0)),"")</f>
        <v>E1</v>
      </c>
      <c r="J72" s="27"/>
      <c r="K72" s="15" t="s">
        <v>1438</v>
      </c>
      <c r="L72" s="6" t="s">
        <v>1306</v>
      </c>
      <c r="M72" s="20"/>
      <c r="N72" s="20"/>
      <c r="O72" s="20"/>
      <c r="P72" s="20"/>
      <c r="Q72" s="20"/>
      <c r="R72" s="20"/>
      <c r="S72" s="35" t="str">
        <f aca="false">IFERROR(COUNTIF(M72:R72,"&gt;=3")/COUNT(M72:R72),"")</f>
        <v/>
      </c>
      <c r="T72" s="27" t="str">
        <f aca="false">IF(S72="","",IF(S72&gt;=검증!$B$4,"채택","수정·토론"))</f>
        <v/>
      </c>
      <c r="U72" s="27" t="str">
        <f aca="false">IF(COUNTIF($A$5:$A$183,A72)&lt;&gt;1,"ID 중복",IF(B72="C 연결",IF(COUNTIF(연결!$A$5:$A$35,D72)=1,"OK","연결 없음"),"OK"))</f>
        <v>OK</v>
      </c>
    </row>
    <row r="73" customFormat="false" ht="33.75" hidden="false" customHeight="true" outlineLevel="0" collapsed="false">
      <c r="A73" s="13" t="s">
        <v>1168</v>
      </c>
      <c r="B73" s="4" t="s">
        <v>1303</v>
      </c>
      <c r="C73" s="6" t="s">
        <v>720</v>
      </c>
      <c r="D73" s="15" t="s">
        <v>414</v>
      </c>
      <c r="E73" s="4" t="str">
        <f aca="false">IFERROR(INDEX(연결!$C$5:$C$35,MATCH(D73,연결!$A$5:$A$35,0)),"")</f>
        <v>INC 사고·비상 대응 → REC 복구</v>
      </c>
      <c r="F73" s="27" t="str">
        <f aca="false">IFERROR(INDEX(연결!$G$5:$G$35,MATCH(D73,연결!$A$5:$A$35,0)),"")</f>
        <v>포함한다</v>
      </c>
      <c r="G73" s="27" t="s">
        <v>90</v>
      </c>
      <c r="H73" s="12" t="s">
        <v>1439</v>
      </c>
      <c r="I73" s="27" t="str">
        <f aca="false">IFERROR(INDEX(연결!$H$5:$H$35,MATCH(D73,연결!$A$5:$A$35,0)),"")</f>
        <v>E1</v>
      </c>
      <c r="J73" s="27"/>
      <c r="K73" s="15" t="s">
        <v>1440</v>
      </c>
      <c r="L73" s="6" t="s">
        <v>1306</v>
      </c>
      <c r="M73" s="20"/>
      <c r="N73" s="20"/>
      <c r="O73" s="20"/>
      <c r="P73" s="20"/>
      <c r="Q73" s="20"/>
      <c r="R73" s="20"/>
      <c r="S73" s="35" t="str">
        <f aca="false">IFERROR(COUNTIF(M73:R73,"&gt;=3")/COUNT(M73:R73),"")</f>
        <v/>
      </c>
      <c r="T73" s="27" t="str">
        <f aca="false">IF(S73="","",IF(S73&gt;=검증!$B$4,"채택","수정·토론"))</f>
        <v/>
      </c>
      <c r="U73" s="27" t="str">
        <f aca="false">IF(COUNTIF($A$5:$A$183,A73)&lt;&gt;1,"ID 중복",IF(B73="C 연결",IF(COUNTIF(연결!$A$5:$A$35,D73)=1,"OK","연결 없음"),"OK"))</f>
        <v>OK</v>
      </c>
    </row>
    <row r="74" customFormat="false" ht="33.75" hidden="false" customHeight="true" outlineLevel="0" collapsed="false">
      <c r="A74" s="13" t="s">
        <v>1169</v>
      </c>
      <c r="B74" s="4" t="s">
        <v>1303</v>
      </c>
      <c r="C74" s="6" t="s">
        <v>720</v>
      </c>
      <c r="D74" s="15" t="s">
        <v>414</v>
      </c>
      <c r="E74" s="4" t="str">
        <f aca="false">IFERROR(INDEX(연결!$C$5:$C$35,MATCH(D74,연결!$A$5:$A$35,0)),"")</f>
        <v>INC 사고·비상 대응 → REC 복구</v>
      </c>
      <c r="F74" s="27" t="str">
        <f aca="false">IFERROR(INDEX(연결!$G$5:$G$35,MATCH(D74,연결!$A$5:$A$35,0)),"")</f>
        <v>포함한다</v>
      </c>
      <c r="G74" s="27" t="s">
        <v>95</v>
      </c>
      <c r="H74" s="12" t="s">
        <v>1441</v>
      </c>
      <c r="I74" s="27" t="str">
        <f aca="false">IFERROR(INDEX(연결!$H$5:$H$35,MATCH(D74,연결!$A$5:$A$35,0)),"")</f>
        <v>E1</v>
      </c>
      <c r="J74" s="27"/>
      <c r="K74" s="15" t="s">
        <v>1442</v>
      </c>
      <c r="L74" s="6" t="s">
        <v>1306</v>
      </c>
      <c r="M74" s="20"/>
      <c r="N74" s="20"/>
      <c r="O74" s="20"/>
      <c r="P74" s="20"/>
      <c r="Q74" s="20"/>
      <c r="R74" s="20"/>
      <c r="S74" s="35" t="str">
        <f aca="false">IFERROR(COUNTIF(M74:R74,"&gt;=3")/COUNT(M74:R74),"")</f>
        <v/>
      </c>
      <c r="T74" s="27" t="str">
        <f aca="false">IF(S74="","",IF(S74&gt;=검증!$B$4,"채택","수정·토론"))</f>
        <v/>
      </c>
      <c r="U74" s="27" t="str">
        <f aca="false">IF(COUNTIF($A$5:$A$183,A74)&lt;&gt;1,"ID 중복",IF(B74="C 연결",IF(COUNTIF(연결!$A$5:$A$35,D74)=1,"OK","연결 없음"),"OK"))</f>
        <v>OK</v>
      </c>
    </row>
    <row r="75" customFormat="false" ht="33.75" hidden="false" customHeight="true" outlineLevel="0" collapsed="false">
      <c r="A75" s="13" t="s">
        <v>1171</v>
      </c>
      <c r="B75" s="4" t="s">
        <v>1303</v>
      </c>
      <c r="C75" s="6" t="s">
        <v>720</v>
      </c>
      <c r="D75" s="15" t="s">
        <v>737</v>
      </c>
      <c r="E75" s="4" t="str">
        <f aca="false">IFERROR(INDEX(연결!$C$5:$C$35,MATCH(D75,연결!$A$5:$A$35,0)),"")</f>
        <v>PLAN BC 계획·절차 개발 → EXE BC 계획·절차 훈련·연습</v>
      </c>
      <c r="F75" s="27" t="str">
        <f aca="false">IFERROR(INDEX(연결!$G$5:$G$35,MATCH(D75,연결!$A$5:$A$35,0)),"")</f>
        <v>시험·검증된다</v>
      </c>
      <c r="G75" s="27" t="s">
        <v>75</v>
      </c>
      <c r="H75" s="12" t="s">
        <v>1443</v>
      </c>
      <c r="I75" s="27" t="str">
        <f aca="false">IFERROR(INDEX(연결!$H$5:$H$35,MATCH(D75,연결!$A$5:$A$35,0)),"")</f>
        <v>E1</v>
      </c>
      <c r="J75" s="27"/>
      <c r="K75" s="15" t="s">
        <v>1444</v>
      </c>
      <c r="L75" s="6" t="s">
        <v>1306</v>
      </c>
      <c r="M75" s="20"/>
      <c r="N75" s="20"/>
      <c r="O75" s="20"/>
      <c r="P75" s="20"/>
      <c r="Q75" s="20"/>
      <c r="R75" s="20"/>
      <c r="S75" s="35" t="str">
        <f aca="false">IFERROR(COUNTIF(M75:R75,"&gt;=3")/COUNT(M75:R75),"")</f>
        <v/>
      </c>
      <c r="T75" s="27" t="str">
        <f aca="false">IF(S75="","",IF(S75&gt;=검증!$B$4,"채택","수정·토론"))</f>
        <v/>
      </c>
      <c r="U75" s="27" t="str">
        <f aca="false">IF(COUNTIF($A$5:$A$183,A75)&lt;&gt;1,"ID 중복",IF(B75="C 연결",IF(COUNTIF(연결!$A$5:$A$35,D75)=1,"OK","연결 없음"),"OK"))</f>
        <v>OK</v>
      </c>
    </row>
    <row r="76" customFormat="false" ht="33.75" hidden="false" customHeight="true" outlineLevel="0" collapsed="false">
      <c r="A76" s="13" t="s">
        <v>1172</v>
      </c>
      <c r="B76" s="4" t="s">
        <v>1303</v>
      </c>
      <c r="C76" s="6" t="s">
        <v>720</v>
      </c>
      <c r="D76" s="15" t="s">
        <v>737</v>
      </c>
      <c r="E76" s="4" t="str">
        <f aca="false">IFERROR(INDEX(연결!$C$5:$C$35,MATCH(D76,연결!$A$5:$A$35,0)),"")</f>
        <v>PLAN BC 계획·절차 개발 → EXE BC 계획·절차 훈련·연습</v>
      </c>
      <c r="F76" s="27" t="str">
        <f aca="false">IFERROR(INDEX(연결!$G$5:$G$35,MATCH(D76,연결!$A$5:$A$35,0)),"")</f>
        <v>시험·검증된다</v>
      </c>
      <c r="G76" s="27" t="s">
        <v>81</v>
      </c>
      <c r="H76" s="12" t="s">
        <v>1445</v>
      </c>
      <c r="I76" s="27" t="str">
        <f aca="false">IFERROR(INDEX(연결!$H$5:$H$35,MATCH(D76,연결!$A$5:$A$35,0)),"")</f>
        <v>E1</v>
      </c>
      <c r="J76" s="27"/>
      <c r="K76" s="15" t="s">
        <v>1446</v>
      </c>
      <c r="L76" s="6" t="s">
        <v>1306</v>
      </c>
      <c r="M76" s="20"/>
      <c r="N76" s="20"/>
      <c r="O76" s="20"/>
      <c r="P76" s="20"/>
      <c r="Q76" s="20"/>
      <c r="R76" s="20"/>
      <c r="S76" s="35" t="str">
        <f aca="false">IFERROR(COUNTIF(M76:R76,"&gt;=3")/COUNT(M76:R76),"")</f>
        <v/>
      </c>
      <c r="T76" s="27" t="str">
        <f aca="false">IF(S76="","",IF(S76&gt;=검증!$B$4,"채택","수정·토론"))</f>
        <v/>
      </c>
      <c r="U76" s="27" t="str">
        <f aca="false">IF(COUNTIF($A$5:$A$183,A76)&lt;&gt;1,"ID 중복",IF(B76="C 연결",IF(COUNTIF(연결!$A$5:$A$35,D76)=1,"OK","연결 없음"),"OK"))</f>
        <v>OK</v>
      </c>
    </row>
    <row r="77" customFormat="false" ht="33.75" hidden="false" customHeight="true" outlineLevel="0" collapsed="false">
      <c r="A77" s="13" t="s">
        <v>1173</v>
      </c>
      <c r="B77" s="4" t="s">
        <v>1303</v>
      </c>
      <c r="C77" s="6" t="s">
        <v>720</v>
      </c>
      <c r="D77" s="15" t="s">
        <v>737</v>
      </c>
      <c r="E77" s="4" t="str">
        <f aca="false">IFERROR(INDEX(연결!$C$5:$C$35,MATCH(D77,연결!$A$5:$A$35,0)),"")</f>
        <v>PLAN BC 계획·절차 개발 → EXE BC 계획·절차 훈련·연습</v>
      </c>
      <c r="F77" s="27" t="str">
        <f aca="false">IFERROR(INDEX(연결!$G$5:$G$35,MATCH(D77,연결!$A$5:$A$35,0)),"")</f>
        <v>시험·검증된다</v>
      </c>
      <c r="G77" s="27" t="s">
        <v>85</v>
      </c>
      <c r="H77" s="12" t="s">
        <v>1447</v>
      </c>
      <c r="I77" s="27" t="str">
        <f aca="false">IFERROR(INDEX(연결!$H$5:$H$35,MATCH(D77,연결!$A$5:$A$35,0)),"")</f>
        <v>E1</v>
      </c>
      <c r="J77" s="27"/>
      <c r="K77" s="15" t="s">
        <v>1448</v>
      </c>
      <c r="L77" s="6" t="s">
        <v>1306</v>
      </c>
      <c r="M77" s="20"/>
      <c r="N77" s="20"/>
      <c r="O77" s="20"/>
      <c r="P77" s="20"/>
      <c r="Q77" s="20"/>
      <c r="R77" s="20"/>
      <c r="S77" s="35" t="str">
        <f aca="false">IFERROR(COUNTIF(M77:R77,"&gt;=3")/COUNT(M77:R77),"")</f>
        <v/>
      </c>
      <c r="T77" s="27" t="str">
        <f aca="false">IF(S77="","",IF(S77&gt;=검증!$B$4,"채택","수정·토론"))</f>
        <v/>
      </c>
      <c r="U77" s="27" t="str">
        <f aca="false">IF(COUNTIF($A$5:$A$183,A77)&lt;&gt;1,"ID 중복",IF(B77="C 연결",IF(COUNTIF(연결!$A$5:$A$35,D77)=1,"OK","연결 없음"),"OK"))</f>
        <v>OK</v>
      </c>
    </row>
    <row r="78" customFormat="false" ht="33.75" hidden="false" customHeight="true" outlineLevel="0" collapsed="false">
      <c r="A78" s="13" t="s">
        <v>1174</v>
      </c>
      <c r="B78" s="4" t="s">
        <v>1303</v>
      </c>
      <c r="C78" s="6" t="s">
        <v>720</v>
      </c>
      <c r="D78" s="15" t="s">
        <v>737</v>
      </c>
      <c r="E78" s="4" t="str">
        <f aca="false">IFERROR(INDEX(연결!$C$5:$C$35,MATCH(D78,연결!$A$5:$A$35,0)),"")</f>
        <v>PLAN BC 계획·절차 개발 → EXE BC 계획·절차 훈련·연습</v>
      </c>
      <c r="F78" s="27" t="str">
        <f aca="false">IFERROR(INDEX(연결!$G$5:$G$35,MATCH(D78,연결!$A$5:$A$35,0)),"")</f>
        <v>시험·검증된다</v>
      </c>
      <c r="G78" s="27" t="s">
        <v>90</v>
      </c>
      <c r="H78" s="12" t="s">
        <v>1449</v>
      </c>
      <c r="I78" s="27" t="str">
        <f aca="false">IFERROR(INDEX(연결!$H$5:$H$35,MATCH(D78,연결!$A$5:$A$35,0)),"")</f>
        <v>E1</v>
      </c>
      <c r="J78" s="27"/>
      <c r="K78" s="15" t="s">
        <v>1450</v>
      </c>
      <c r="L78" s="6" t="s">
        <v>1306</v>
      </c>
      <c r="M78" s="20"/>
      <c r="N78" s="20"/>
      <c r="O78" s="20"/>
      <c r="P78" s="20"/>
      <c r="Q78" s="20"/>
      <c r="R78" s="20"/>
      <c r="S78" s="35" t="str">
        <f aca="false">IFERROR(COUNTIF(M78:R78,"&gt;=3")/COUNT(M78:R78),"")</f>
        <v/>
      </c>
      <c r="T78" s="27" t="str">
        <f aca="false">IF(S78="","",IF(S78&gt;=검증!$B$4,"채택","수정·토론"))</f>
        <v/>
      </c>
      <c r="U78" s="27" t="str">
        <f aca="false">IF(COUNTIF($A$5:$A$183,A78)&lt;&gt;1,"ID 중복",IF(B78="C 연결",IF(COUNTIF(연결!$A$5:$A$35,D78)=1,"OK","연결 없음"),"OK"))</f>
        <v>OK</v>
      </c>
    </row>
    <row r="79" customFormat="false" ht="33.75" hidden="false" customHeight="true" outlineLevel="0" collapsed="false">
      <c r="A79" s="13" t="s">
        <v>1175</v>
      </c>
      <c r="B79" s="4" t="s">
        <v>1303</v>
      </c>
      <c r="C79" s="6" t="s">
        <v>720</v>
      </c>
      <c r="D79" s="15" t="s">
        <v>737</v>
      </c>
      <c r="E79" s="4" t="str">
        <f aca="false">IFERROR(INDEX(연결!$C$5:$C$35,MATCH(D79,연결!$A$5:$A$35,0)),"")</f>
        <v>PLAN BC 계획·절차 개발 → EXE BC 계획·절차 훈련·연습</v>
      </c>
      <c r="F79" s="27" t="str">
        <f aca="false">IFERROR(INDEX(연결!$G$5:$G$35,MATCH(D79,연결!$A$5:$A$35,0)),"")</f>
        <v>시험·검증된다</v>
      </c>
      <c r="G79" s="27" t="s">
        <v>95</v>
      </c>
      <c r="H79" s="12" t="s">
        <v>1451</v>
      </c>
      <c r="I79" s="27" t="str">
        <f aca="false">IFERROR(INDEX(연결!$H$5:$H$35,MATCH(D79,연결!$A$5:$A$35,0)),"")</f>
        <v>E1</v>
      </c>
      <c r="J79" s="27"/>
      <c r="K79" s="15" t="s">
        <v>1452</v>
      </c>
      <c r="L79" s="6" t="s">
        <v>1306</v>
      </c>
      <c r="M79" s="20"/>
      <c r="N79" s="20"/>
      <c r="O79" s="20"/>
      <c r="P79" s="20"/>
      <c r="Q79" s="20"/>
      <c r="R79" s="20"/>
      <c r="S79" s="35" t="str">
        <f aca="false">IFERROR(COUNTIF(M79:R79,"&gt;=3")/COUNT(M79:R79),"")</f>
        <v/>
      </c>
      <c r="T79" s="27" t="str">
        <f aca="false">IF(S79="","",IF(S79&gt;=검증!$B$4,"채택","수정·토론"))</f>
        <v/>
      </c>
      <c r="U79" s="27" t="str">
        <f aca="false">IF(COUNTIF($A$5:$A$183,A79)&lt;&gt;1,"ID 중복",IF(B79="C 연결",IF(COUNTIF(연결!$A$5:$A$35,D79)=1,"OK","연결 없음"),"OK"))</f>
        <v>OK</v>
      </c>
    </row>
    <row r="80" customFormat="false" ht="33.75" hidden="false" customHeight="true" outlineLevel="0" collapsed="false">
      <c r="A80" s="13" t="s">
        <v>1177</v>
      </c>
      <c r="B80" s="4" t="s">
        <v>1303</v>
      </c>
      <c r="C80" s="6" t="s">
        <v>720</v>
      </c>
      <c r="D80" s="15" t="s">
        <v>743</v>
      </c>
      <c r="E80" s="4" t="str">
        <f aca="false">IFERROR(INDEX(연결!$C$5:$C$35,MATCH(D80,연결!$A$5:$A$35,0)),"")</f>
        <v>EXE BC 계획·절차 훈련·연습 → PLAN BC 계획·절차 개발</v>
      </c>
      <c r="F80" s="27" t="str">
        <f aca="false">IFERROR(INDEX(연결!$G$5:$G$35,MATCH(D80,연결!$A$5:$A$35,0)),"")</f>
        <v>개정·갱신한다</v>
      </c>
      <c r="G80" s="27" t="s">
        <v>75</v>
      </c>
      <c r="H80" s="12" t="s">
        <v>1453</v>
      </c>
      <c r="I80" s="27" t="str">
        <f aca="false">IFERROR(INDEX(연결!$H$5:$H$35,MATCH(D80,연결!$A$5:$A$35,0)),"")</f>
        <v>E1</v>
      </c>
      <c r="J80" s="27"/>
      <c r="K80" s="15" t="s">
        <v>1454</v>
      </c>
      <c r="L80" s="6" t="s">
        <v>1306</v>
      </c>
      <c r="M80" s="20"/>
      <c r="N80" s="20"/>
      <c r="O80" s="20"/>
      <c r="P80" s="20"/>
      <c r="Q80" s="20"/>
      <c r="R80" s="20"/>
      <c r="S80" s="35" t="str">
        <f aca="false">IFERROR(COUNTIF(M80:R80,"&gt;=3")/COUNT(M80:R80),"")</f>
        <v/>
      </c>
      <c r="T80" s="27" t="str">
        <f aca="false">IF(S80="","",IF(S80&gt;=검증!$B$4,"채택","수정·토론"))</f>
        <v/>
      </c>
      <c r="U80" s="27" t="str">
        <f aca="false">IF(COUNTIF($A$5:$A$183,A80)&lt;&gt;1,"ID 중복",IF(B80="C 연결",IF(COUNTIF(연결!$A$5:$A$35,D80)=1,"OK","연결 없음"),"OK"))</f>
        <v>OK</v>
      </c>
    </row>
    <row r="81" customFormat="false" ht="33.75" hidden="false" customHeight="true" outlineLevel="0" collapsed="false">
      <c r="A81" s="13" t="s">
        <v>1178</v>
      </c>
      <c r="B81" s="4" t="s">
        <v>1303</v>
      </c>
      <c r="C81" s="6" t="s">
        <v>720</v>
      </c>
      <c r="D81" s="15" t="s">
        <v>743</v>
      </c>
      <c r="E81" s="4" t="str">
        <f aca="false">IFERROR(INDEX(연결!$C$5:$C$35,MATCH(D81,연결!$A$5:$A$35,0)),"")</f>
        <v>EXE BC 계획·절차 훈련·연습 → PLAN BC 계획·절차 개발</v>
      </c>
      <c r="F81" s="27" t="str">
        <f aca="false">IFERROR(INDEX(연결!$G$5:$G$35,MATCH(D81,연결!$A$5:$A$35,0)),"")</f>
        <v>개정·갱신한다</v>
      </c>
      <c r="G81" s="27" t="s">
        <v>81</v>
      </c>
      <c r="H81" s="12" t="s">
        <v>1455</v>
      </c>
      <c r="I81" s="27" t="str">
        <f aca="false">IFERROR(INDEX(연결!$H$5:$H$35,MATCH(D81,연결!$A$5:$A$35,0)),"")</f>
        <v>E1</v>
      </c>
      <c r="J81" s="27"/>
      <c r="K81" s="15" t="s">
        <v>1456</v>
      </c>
      <c r="L81" s="6" t="s">
        <v>1306</v>
      </c>
      <c r="M81" s="20"/>
      <c r="N81" s="20"/>
      <c r="O81" s="20"/>
      <c r="P81" s="20"/>
      <c r="Q81" s="20"/>
      <c r="R81" s="20"/>
      <c r="S81" s="35" t="str">
        <f aca="false">IFERROR(COUNTIF(M81:R81,"&gt;=3")/COUNT(M81:R81),"")</f>
        <v/>
      </c>
      <c r="T81" s="27" t="str">
        <f aca="false">IF(S81="","",IF(S81&gt;=검증!$B$4,"채택","수정·토론"))</f>
        <v/>
      </c>
      <c r="U81" s="27" t="str">
        <f aca="false">IF(COUNTIF($A$5:$A$183,A81)&lt;&gt;1,"ID 중복",IF(B81="C 연결",IF(COUNTIF(연결!$A$5:$A$35,D81)=1,"OK","연결 없음"),"OK"))</f>
        <v>OK</v>
      </c>
    </row>
    <row r="82" customFormat="false" ht="33.75" hidden="false" customHeight="true" outlineLevel="0" collapsed="false">
      <c r="A82" s="13" t="s">
        <v>1179</v>
      </c>
      <c r="B82" s="4" t="s">
        <v>1303</v>
      </c>
      <c r="C82" s="6" t="s">
        <v>720</v>
      </c>
      <c r="D82" s="15" t="s">
        <v>743</v>
      </c>
      <c r="E82" s="4" t="str">
        <f aca="false">IFERROR(INDEX(연결!$C$5:$C$35,MATCH(D82,연결!$A$5:$A$35,0)),"")</f>
        <v>EXE BC 계획·절차 훈련·연습 → PLAN BC 계획·절차 개발</v>
      </c>
      <c r="F82" s="27" t="str">
        <f aca="false">IFERROR(INDEX(연결!$G$5:$G$35,MATCH(D82,연결!$A$5:$A$35,0)),"")</f>
        <v>개정·갱신한다</v>
      </c>
      <c r="G82" s="27" t="s">
        <v>85</v>
      </c>
      <c r="H82" s="12" t="s">
        <v>1457</v>
      </c>
      <c r="I82" s="27" t="str">
        <f aca="false">IFERROR(INDEX(연결!$H$5:$H$35,MATCH(D82,연결!$A$5:$A$35,0)),"")</f>
        <v>E1</v>
      </c>
      <c r="J82" s="27"/>
      <c r="K82" s="15" t="s">
        <v>1458</v>
      </c>
      <c r="L82" s="6" t="s">
        <v>1306</v>
      </c>
      <c r="M82" s="20"/>
      <c r="N82" s="20"/>
      <c r="O82" s="20"/>
      <c r="P82" s="20"/>
      <c r="Q82" s="20"/>
      <c r="R82" s="20"/>
      <c r="S82" s="35" t="str">
        <f aca="false">IFERROR(COUNTIF(M82:R82,"&gt;=3")/COUNT(M82:R82),"")</f>
        <v/>
      </c>
      <c r="T82" s="27" t="str">
        <f aca="false">IF(S82="","",IF(S82&gt;=검증!$B$4,"채택","수정·토론"))</f>
        <v/>
      </c>
      <c r="U82" s="27" t="str">
        <f aca="false">IF(COUNTIF($A$5:$A$183,A82)&lt;&gt;1,"ID 중복",IF(B82="C 연결",IF(COUNTIF(연결!$A$5:$A$35,D82)=1,"OK","연결 없음"),"OK"))</f>
        <v>OK</v>
      </c>
    </row>
    <row r="83" customFormat="false" ht="33.75" hidden="false" customHeight="true" outlineLevel="0" collapsed="false">
      <c r="A83" s="13" t="s">
        <v>1180</v>
      </c>
      <c r="B83" s="4" t="s">
        <v>1303</v>
      </c>
      <c r="C83" s="6" t="s">
        <v>720</v>
      </c>
      <c r="D83" s="15" t="s">
        <v>743</v>
      </c>
      <c r="E83" s="4" t="str">
        <f aca="false">IFERROR(INDEX(연결!$C$5:$C$35,MATCH(D83,연결!$A$5:$A$35,0)),"")</f>
        <v>EXE BC 계획·절차 훈련·연습 → PLAN BC 계획·절차 개발</v>
      </c>
      <c r="F83" s="27" t="str">
        <f aca="false">IFERROR(INDEX(연결!$G$5:$G$35,MATCH(D83,연결!$A$5:$A$35,0)),"")</f>
        <v>개정·갱신한다</v>
      </c>
      <c r="G83" s="27" t="s">
        <v>90</v>
      </c>
      <c r="H83" s="12" t="s">
        <v>1459</v>
      </c>
      <c r="I83" s="27" t="str">
        <f aca="false">IFERROR(INDEX(연결!$H$5:$H$35,MATCH(D83,연결!$A$5:$A$35,0)),"")</f>
        <v>E1</v>
      </c>
      <c r="J83" s="27"/>
      <c r="K83" s="15" t="s">
        <v>1460</v>
      </c>
      <c r="L83" s="6" t="s">
        <v>1306</v>
      </c>
      <c r="M83" s="20"/>
      <c r="N83" s="20"/>
      <c r="O83" s="20"/>
      <c r="P83" s="20"/>
      <c r="Q83" s="20"/>
      <c r="R83" s="20"/>
      <c r="S83" s="35" t="str">
        <f aca="false">IFERROR(COUNTIF(M83:R83,"&gt;=3")/COUNT(M83:R83),"")</f>
        <v/>
      </c>
      <c r="T83" s="27" t="str">
        <f aca="false">IF(S83="","",IF(S83&gt;=검증!$B$4,"채택","수정·토론"))</f>
        <v/>
      </c>
      <c r="U83" s="27" t="str">
        <f aca="false">IF(COUNTIF($A$5:$A$183,A83)&lt;&gt;1,"ID 중복",IF(B83="C 연결",IF(COUNTIF(연결!$A$5:$A$35,D83)=1,"OK","연결 없음"),"OK"))</f>
        <v>OK</v>
      </c>
    </row>
    <row r="84" customFormat="false" ht="33.75" hidden="false" customHeight="true" outlineLevel="0" collapsed="false">
      <c r="A84" s="13" t="s">
        <v>1181</v>
      </c>
      <c r="B84" s="4" t="s">
        <v>1303</v>
      </c>
      <c r="C84" s="6" t="s">
        <v>720</v>
      </c>
      <c r="D84" s="15" t="s">
        <v>743</v>
      </c>
      <c r="E84" s="4" t="str">
        <f aca="false">IFERROR(INDEX(연결!$C$5:$C$35,MATCH(D84,연결!$A$5:$A$35,0)),"")</f>
        <v>EXE BC 계획·절차 훈련·연습 → PLAN BC 계획·절차 개발</v>
      </c>
      <c r="F84" s="27" t="str">
        <f aca="false">IFERROR(INDEX(연결!$G$5:$G$35,MATCH(D84,연결!$A$5:$A$35,0)),"")</f>
        <v>개정·갱신한다</v>
      </c>
      <c r="G84" s="27" t="s">
        <v>95</v>
      </c>
      <c r="H84" s="12" t="s">
        <v>1461</v>
      </c>
      <c r="I84" s="27" t="str">
        <f aca="false">IFERROR(INDEX(연결!$H$5:$H$35,MATCH(D84,연결!$A$5:$A$35,0)),"")</f>
        <v>E1</v>
      </c>
      <c r="J84" s="27"/>
      <c r="K84" s="15" t="s">
        <v>1462</v>
      </c>
      <c r="L84" s="6" t="s">
        <v>1306</v>
      </c>
      <c r="M84" s="20"/>
      <c r="N84" s="20"/>
      <c r="O84" s="20"/>
      <c r="P84" s="20"/>
      <c r="Q84" s="20"/>
      <c r="R84" s="20"/>
      <c r="S84" s="35" t="str">
        <f aca="false">IFERROR(COUNTIF(M84:R84,"&gt;=3")/COUNT(M84:R84),"")</f>
        <v/>
      </c>
      <c r="T84" s="27" t="str">
        <f aca="false">IF(S84="","",IF(S84&gt;=검증!$B$4,"채택","수정·토론"))</f>
        <v/>
      </c>
      <c r="U84" s="27" t="str">
        <f aca="false">IF(COUNTIF($A$5:$A$183,A84)&lt;&gt;1,"ID 중복",IF(B84="C 연결",IF(COUNTIF(연결!$A$5:$A$35,D84)=1,"OK","연결 없음"),"OK"))</f>
        <v>OK</v>
      </c>
    </row>
    <row r="85" customFormat="false" ht="33.75" hidden="false" customHeight="true" outlineLevel="0" collapsed="false">
      <c r="A85" s="13" t="s">
        <v>1183</v>
      </c>
      <c r="B85" s="4" t="s">
        <v>1303</v>
      </c>
      <c r="C85" s="6" t="s">
        <v>720</v>
      </c>
      <c r="D85" s="15" t="s">
        <v>743</v>
      </c>
      <c r="E85" s="4" t="str">
        <f aca="false">IFERROR(INDEX(연결!$C$5:$C$35,MATCH(D85,연결!$A$5:$A$35,0)),"")</f>
        <v>EXE BC 계획·절차 훈련·연습 → PLAN BC 계획·절차 개발</v>
      </c>
      <c r="F85" s="27" t="str">
        <f aca="false">IFERROR(INDEX(연결!$G$5:$G$35,MATCH(D85,연결!$A$5:$A$35,0)),"")</f>
        <v>개정·갱신한다</v>
      </c>
      <c r="G85" s="27" t="s">
        <v>100</v>
      </c>
      <c r="H85" s="12" t="s">
        <v>1463</v>
      </c>
      <c r="I85" s="27" t="str">
        <f aca="false">IFERROR(INDEX(연결!$H$5:$H$35,MATCH(D85,연결!$A$5:$A$35,0)),"")</f>
        <v>E1</v>
      </c>
      <c r="J85" s="27"/>
      <c r="K85" s="15" t="s">
        <v>1464</v>
      </c>
      <c r="L85" s="6" t="s">
        <v>1306</v>
      </c>
      <c r="M85" s="20"/>
      <c r="N85" s="20"/>
      <c r="O85" s="20"/>
      <c r="P85" s="20"/>
      <c r="Q85" s="20"/>
      <c r="R85" s="20"/>
      <c r="S85" s="35" t="str">
        <f aca="false">IFERROR(COUNTIF(M85:R85,"&gt;=3")/COUNT(M85:R85),"")</f>
        <v/>
      </c>
      <c r="T85" s="27" t="str">
        <f aca="false">IF(S85="","",IF(S85&gt;=검증!$B$4,"채택","수정·토론"))</f>
        <v/>
      </c>
      <c r="U85" s="27" t="str">
        <f aca="false">IF(COUNTIF($A$5:$A$183,A85)&lt;&gt;1,"ID 중복",IF(B85="C 연결",IF(COUNTIF(연결!$A$5:$A$35,D85)=1,"OK","연결 없음"),"OK"))</f>
        <v>OK</v>
      </c>
    </row>
    <row r="86" customFormat="false" ht="33.75" hidden="false" customHeight="true" outlineLevel="0" collapsed="false">
      <c r="A86" s="13" t="s">
        <v>1185</v>
      </c>
      <c r="B86" s="4" t="s">
        <v>1303</v>
      </c>
      <c r="C86" s="6" t="s">
        <v>720</v>
      </c>
      <c r="D86" s="15" t="s">
        <v>750</v>
      </c>
      <c r="E86" s="4" t="str">
        <f aca="false">IFERROR(INDEX(연결!$C$5:$C$35,MATCH(D86,연결!$A$5:$A$35,0)),"")</f>
        <v>PLAN BC 계획·절차 개발 → AWR 인식·역량·교육</v>
      </c>
      <c r="F86" s="27" t="str">
        <f aca="false">IFERROR(INDEX(연결!$G$5:$G$35,MATCH(D86,연결!$A$5:$A$35,0)),"")</f>
        <v>입력된다·활용된다</v>
      </c>
      <c r="G86" s="27" t="s">
        <v>75</v>
      </c>
      <c r="H86" s="12" t="s">
        <v>1465</v>
      </c>
      <c r="I86" s="27" t="str">
        <f aca="false">IFERROR(INDEX(연결!$H$5:$H$35,MATCH(D86,연결!$A$5:$A$35,0)),"")</f>
        <v>E3</v>
      </c>
      <c r="J86" s="27"/>
      <c r="K86" s="15" t="s">
        <v>1466</v>
      </c>
      <c r="L86" s="6" t="s">
        <v>1306</v>
      </c>
      <c r="M86" s="20"/>
      <c r="N86" s="20"/>
      <c r="O86" s="20"/>
      <c r="P86" s="20"/>
      <c r="Q86" s="20"/>
      <c r="R86" s="20"/>
      <c r="S86" s="35" t="str">
        <f aca="false">IFERROR(COUNTIF(M86:R86,"&gt;=3")/COUNT(M86:R86),"")</f>
        <v/>
      </c>
      <c r="T86" s="27" t="str">
        <f aca="false">IF(S86="","",IF(S86&gt;=검증!$B$4,"채택","수정·토론"))</f>
        <v/>
      </c>
      <c r="U86" s="27" t="str">
        <f aca="false">IF(COUNTIF($A$5:$A$183,A86)&lt;&gt;1,"ID 중복",IF(B86="C 연결",IF(COUNTIF(연결!$A$5:$A$35,D86)=1,"OK","연결 없음"),"OK"))</f>
        <v>OK</v>
      </c>
    </row>
    <row r="87" customFormat="false" ht="33.75" hidden="false" customHeight="true" outlineLevel="0" collapsed="false">
      <c r="A87" s="13" t="s">
        <v>1186</v>
      </c>
      <c r="B87" s="4" t="s">
        <v>1303</v>
      </c>
      <c r="C87" s="6" t="s">
        <v>720</v>
      </c>
      <c r="D87" s="15" t="s">
        <v>750</v>
      </c>
      <c r="E87" s="4" t="str">
        <f aca="false">IFERROR(INDEX(연결!$C$5:$C$35,MATCH(D87,연결!$A$5:$A$35,0)),"")</f>
        <v>PLAN BC 계획·절차 개발 → AWR 인식·역량·교육</v>
      </c>
      <c r="F87" s="27" t="str">
        <f aca="false">IFERROR(INDEX(연결!$G$5:$G$35,MATCH(D87,연결!$A$5:$A$35,0)),"")</f>
        <v>입력된다·활용된다</v>
      </c>
      <c r="G87" s="27" t="s">
        <v>81</v>
      </c>
      <c r="H87" s="12" t="s">
        <v>1467</v>
      </c>
      <c r="I87" s="27" t="str">
        <f aca="false">IFERROR(INDEX(연결!$H$5:$H$35,MATCH(D87,연결!$A$5:$A$35,0)),"")</f>
        <v>E3</v>
      </c>
      <c r="J87" s="27"/>
      <c r="K87" s="15" t="s">
        <v>1468</v>
      </c>
      <c r="L87" s="6" t="s">
        <v>1306</v>
      </c>
      <c r="M87" s="20"/>
      <c r="N87" s="20"/>
      <c r="O87" s="20"/>
      <c r="P87" s="20"/>
      <c r="Q87" s="20"/>
      <c r="R87" s="20"/>
      <c r="S87" s="35" t="str">
        <f aca="false">IFERROR(COUNTIF(M87:R87,"&gt;=3")/COUNT(M87:R87),"")</f>
        <v/>
      </c>
      <c r="T87" s="27" t="str">
        <f aca="false">IF(S87="","",IF(S87&gt;=검증!$B$4,"채택","수정·토론"))</f>
        <v/>
      </c>
      <c r="U87" s="27" t="str">
        <f aca="false">IF(COUNTIF($A$5:$A$183,A87)&lt;&gt;1,"ID 중복",IF(B87="C 연결",IF(COUNTIF(연결!$A$5:$A$35,D87)=1,"OK","연결 없음"),"OK"))</f>
        <v>OK</v>
      </c>
    </row>
    <row r="88" customFormat="false" ht="33.75" hidden="false" customHeight="true" outlineLevel="0" collapsed="false">
      <c r="A88" s="13" t="s">
        <v>1187</v>
      </c>
      <c r="B88" s="4" t="s">
        <v>1303</v>
      </c>
      <c r="C88" s="6" t="s">
        <v>720</v>
      </c>
      <c r="D88" s="15" t="s">
        <v>750</v>
      </c>
      <c r="E88" s="4" t="str">
        <f aca="false">IFERROR(INDEX(연결!$C$5:$C$35,MATCH(D88,연결!$A$5:$A$35,0)),"")</f>
        <v>PLAN BC 계획·절차 개발 → AWR 인식·역량·교육</v>
      </c>
      <c r="F88" s="27" t="str">
        <f aca="false">IFERROR(INDEX(연결!$G$5:$G$35,MATCH(D88,연결!$A$5:$A$35,0)),"")</f>
        <v>입력된다·활용된다</v>
      </c>
      <c r="G88" s="27" t="s">
        <v>85</v>
      </c>
      <c r="H88" s="12" t="s">
        <v>1469</v>
      </c>
      <c r="I88" s="27" t="str">
        <f aca="false">IFERROR(INDEX(연결!$H$5:$H$35,MATCH(D88,연결!$A$5:$A$35,0)),"")</f>
        <v>E3</v>
      </c>
      <c r="J88" s="27"/>
      <c r="K88" s="15" t="s">
        <v>1470</v>
      </c>
      <c r="L88" s="6" t="s">
        <v>1306</v>
      </c>
      <c r="M88" s="20"/>
      <c r="N88" s="20"/>
      <c r="O88" s="20"/>
      <c r="P88" s="20"/>
      <c r="Q88" s="20"/>
      <c r="R88" s="20"/>
      <c r="S88" s="35" t="str">
        <f aca="false">IFERROR(COUNTIF(M88:R88,"&gt;=3")/COUNT(M88:R88),"")</f>
        <v/>
      </c>
      <c r="T88" s="27" t="str">
        <f aca="false">IF(S88="","",IF(S88&gt;=검증!$B$4,"채택","수정·토론"))</f>
        <v/>
      </c>
      <c r="U88" s="27" t="str">
        <f aca="false">IF(COUNTIF($A$5:$A$183,A88)&lt;&gt;1,"ID 중복",IF(B88="C 연결",IF(COUNTIF(연결!$A$5:$A$35,D88)=1,"OK","연결 없음"),"OK"))</f>
        <v>OK</v>
      </c>
    </row>
    <row r="89" customFormat="false" ht="33.75" hidden="false" customHeight="true" outlineLevel="0" collapsed="false">
      <c r="A89" s="13" t="s">
        <v>1188</v>
      </c>
      <c r="B89" s="4" t="s">
        <v>1303</v>
      </c>
      <c r="C89" s="6" t="s">
        <v>720</v>
      </c>
      <c r="D89" s="15" t="s">
        <v>750</v>
      </c>
      <c r="E89" s="4" t="str">
        <f aca="false">IFERROR(INDEX(연결!$C$5:$C$35,MATCH(D89,연결!$A$5:$A$35,0)),"")</f>
        <v>PLAN BC 계획·절차 개발 → AWR 인식·역량·교육</v>
      </c>
      <c r="F89" s="27" t="str">
        <f aca="false">IFERROR(INDEX(연결!$G$5:$G$35,MATCH(D89,연결!$A$5:$A$35,0)),"")</f>
        <v>입력된다·활용된다</v>
      </c>
      <c r="G89" s="27" t="s">
        <v>90</v>
      </c>
      <c r="H89" s="12" t="s">
        <v>1471</v>
      </c>
      <c r="I89" s="27" t="str">
        <f aca="false">IFERROR(INDEX(연결!$H$5:$H$35,MATCH(D89,연결!$A$5:$A$35,0)),"")</f>
        <v>E3</v>
      </c>
      <c r="J89" s="27"/>
      <c r="K89" s="15" t="s">
        <v>1472</v>
      </c>
      <c r="L89" s="6" t="s">
        <v>1306</v>
      </c>
      <c r="M89" s="20"/>
      <c r="N89" s="20"/>
      <c r="O89" s="20"/>
      <c r="P89" s="20"/>
      <c r="Q89" s="20"/>
      <c r="R89" s="20"/>
      <c r="S89" s="35" t="str">
        <f aca="false">IFERROR(COUNTIF(M89:R89,"&gt;=3")/COUNT(M89:R89),"")</f>
        <v/>
      </c>
      <c r="T89" s="27" t="str">
        <f aca="false">IF(S89="","",IF(S89&gt;=검증!$B$4,"채택","수정·토론"))</f>
        <v/>
      </c>
      <c r="U89" s="27" t="str">
        <f aca="false">IF(COUNTIF($A$5:$A$183,A89)&lt;&gt;1,"ID 중복",IF(B89="C 연결",IF(COUNTIF(연결!$A$5:$A$35,D89)=1,"OK","연결 없음"),"OK"))</f>
        <v>OK</v>
      </c>
    </row>
    <row r="90" customFormat="false" ht="33.75" hidden="false" customHeight="true" outlineLevel="0" collapsed="false">
      <c r="A90" s="13" t="s">
        <v>1189</v>
      </c>
      <c r="B90" s="4" t="s">
        <v>1303</v>
      </c>
      <c r="C90" s="6" t="s">
        <v>720</v>
      </c>
      <c r="D90" s="15" t="s">
        <v>750</v>
      </c>
      <c r="E90" s="4" t="str">
        <f aca="false">IFERROR(INDEX(연결!$C$5:$C$35,MATCH(D90,연결!$A$5:$A$35,0)),"")</f>
        <v>PLAN BC 계획·절차 개발 → AWR 인식·역량·교육</v>
      </c>
      <c r="F90" s="27" t="str">
        <f aca="false">IFERROR(INDEX(연결!$G$5:$G$35,MATCH(D90,연결!$A$5:$A$35,0)),"")</f>
        <v>입력된다·활용된다</v>
      </c>
      <c r="G90" s="27" t="s">
        <v>95</v>
      </c>
      <c r="H90" s="12" t="s">
        <v>1473</v>
      </c>
      <c r="I90" s="27" t="str">
        <f aca="false">IFERROR(INDEX(연결!$H$5:$H$35,MATCH(D90,연결!$A$5:$A$35,0)),"")</f>
        <v>E3</v>
      </c>
      <c r="J90" s="27"/>
      <c r="K90" s="15" t="s">
        <v>1474</v>
      </c>
      <c r="L90" s="6" t="s">
        <v>1306</v>
      </c>
      <c r="M90" s="20"/>
      <c r="N90" s="20"/>
      <c r="O90" s="20"/>
      <c r="P90" s="20"/>
      <c r="Q90" s="20"/>
      <c r="R90" s="20"/>
      <c r="S90" s="35" t="str">
        <f aca="false">IFERROR(COUNTIF(M90:R90,"&gt;=3")/COUNT(M90:R90),"")</f>
        <v/>
      </c>
      <c r="T90" s="27" t="str">
        <f aca="false">IF(S90="","",IF(S90&gt;=검증!$B$4,"채택","수정·토론"))</f>
        <v/>
      </c>
      <c r="U90" s="27" t="str">
        <f aca="false">IF(COUNTIF($A$5:$A$183,A90)&lt;&gt;1,"ID 중복",IF(B90="C 연결",IF(COUNTIF(연결!$A$5:$A$35,D90)=1,"OK","연결 없음"),"OK"))</f>
        <v>OK</v>
      </c>
    </row>
    <row r="91" customFormat="false" ht="33.75" hidden="false" customHeight="true" outlineLevel="0" collapsed="false">
      <c r="A91" s="13" t="s">
        <v>1191</v>
      </c>
      <c r="B91" s="4" t="s">
        <v>1303</v>
      </c>
      <c r="C91" s="6" t="s">
        <v>759</v>
      </c>
      <c r="D91" s="15" t="s">
        <v>758</v>
      </c>
      <c r="E91" s="4" t="str">
        <f aca="false">IFERROR(INDEX(연결!$C$5:$C$35,MATCH(D91,연결!$A$5:$A$35,0)),"")</f>
        <v>PERF 성과평가 → CI 지속적 개선</v>
      </c>
      <c r="F91" s="27" t="str">
        <f aca="false">IFERROR(INDEX(연결!$G$5:$G$35,MATCH(D91,연결!$A$5:$A$35,0)),"")</f>
        <v>환류된다</v>
      </c>
      <c r="G91" s="27" t="s">
        <v>75</v>
      </c>
      <c r="H91" s="12" t="s">
        <v>1475</v>
      </c>
      <c r="I91" s="27" t="str">
        <f aca="false">IFERROR(INDEX(연결!$H$5:$H$35,MATCH(D91,연결!$A$5:$A$35,0)),"")</f>
        <v>E1</v>
      </c>
      <c r="J91" s="27"/>
      <c r="K91" s="15" t="s">
        <v>1476</v>
      </c>
      <c r="L91" s="6" t="s">
        <v>1306</v>
      </c>
      <c r="M91" s="20"/>
      <c r="N91" s="20"/>
      <c r="O91" s="20"/>
      <c r="P91" s="20"/>
      <c r="Q91" s="20"/>
      <c r="R91" s="20"/>
      <c r="S91" s="35" t="str">
        <f aca="false">IFERROR(COUNTIF(M91:R91,"&gt;=3")/COUNT(M91:R91),"")</f>
        <v/>
      </c>
      <c r="T91" s="27" t="str">
        <f aca="false">IF(S91="","",IF(S91&gt;=검증!$B$4,"채택","수정·토론"))</f>
        <v/>
      </c>
      <c r="U91" s="27" t="str">
        <f aca="false">IF(COUNTIF($A$5:$A$183,A91)&lt;&gt;1,"ID 중복",IF(B91="C 연결",IF(COUNTIF(연결!$A$5:$A$35,D91)=1,"OK","연결 없음"),"OK"))</f>
        <v>OK</v>
      </c>
    </row>
    <row r="92" customFormat="false" ht="33.75" hidden="false" customHeight="true" outlineLevel="0" collapsed="false">
      <c r="A92" s="13" t="s">
        <v>1192</v>
      </c>
      <c r="B92" s="4" t="s">
        <v>1303</v>
      </c>
      <c r="C92" s="6" t="s">
        <v>759</v>
      </c>
      <c r="D92" s="15" t="s">
        <v>758</v>
      </c>
      <c r="E92" s="4" t="str">
        <f aca="false">IFERROR(INDEX(연결!$C$5:$C$35,MATCH(D92,연결!$A$5:$A$35,0)),"")</f>
        <v>PERF 성과평가 → CI 지속적 개선</v>
      </c>
      <c r="F92" s="27" t="str">
        <f aca="false">IFERROR(INDEX(연결!$G$5:$G$35,MATCH(D92,연결!$A$5:$A$35,0)),"")</f>
        <v>환류된다</v>
      </c>
      <c r="G92" s="27" t="s">
        <v>81</v>
      </c>
      <c r="H92" s="12" t="s">
        <v>1477</v>
      </c>
      <c r="I92" s="27" t="str">
        <f aca="false">IFERROR(INDEX(연결!$H$5:$H$35,MATCH(D92,연결!$A$5:$A$35,0)),"")</f>
        <v>E1</v>
      </c>
      <c r="J92" s="27"/>
      <c r="K92" s="15" t="s">
        <v>1478</v>
      </c>
      <c r="L92" s="6" t="s">
        <v>1306</v>
      </c>
      <c r="M92" s="20"/>
      <c r="N92" s="20"/>
      <c r="O92" s="20"/>
      <c r="P92" s="20"/>
      <c r="Q92" s="20"/>
      <c r="R92" s="20"/>
      <c r="S92" s="35" t="str">
        <f aca="false">IFERROR(COUNTIF(M92:R92,"&gt;=3")/COUNT(M92:R92),"")</f>
        <v/>
      </c>
      <c r="T92" s="27" t="str">
        <f aca="false">IF(S92="","",IF(S92&gt;=검증!$B$4,"채택","수정·토론"))</f>
        <v/>
      </c>
      <c r="U92" s="27" t="str">
        <f aca="false">IF(COUNTIF($A$5:$A$183,A92)&lt;&gt;1,"ID 중복",IF(B92="C 연결",IF(COUNTIF(연결!$A$5:$A$35,D92)=1,"OK","연결 없음"),"OK"))</f>
        <v>OK</v>
      </c>
    </row>
    <row r="93" customFormat="false" ht="33.75" hidden="false" customHeight="true" outlineLevel="0" collapsed="false">
      <c r="A93" s="13" t="s">
        <v>1193</v>
      </c>
      <c r="B93" s="4" t="s">
        <v>1303</v>
      </c>
      <c r="C93" s="6" t="s">
        <v>759</v>
      </c>
      <c r="D93" s="15" t="s">
        <v>758</v>
      </c>
      <c r="E93" s="4" t="str">
        <f aca="false">IFERROR(INDEX(연결!$C$5:$C$35,MATCH(D93,연결!$A$5:$A$35,0)),"")</f>
        <v>PERF 성과평가 → CI 지속적 개선</v>
      </c>
      <c r="F93" s="27" t="str">
        <f aca="false">IFERROR(INDEX(연결!$G$5:$G$35,MATCH(D93,연결!$A$5:$A$35,0)),"")</f>
        <v>환류된다</v>
      </c>
      <c r="G93" s="27" t="s">
        <v>85</v>
      </c>
      <c r="H93" s="12" t="s">
        <v>1479</v>
      </c>
      <c r="I93" s="27" t="str">
        <f aca="false">IFERROR(INDEX(연결!$H$5:$H$35,MATCH(D93,연결!$A$5:$A$35,0)),"")</f>
        <v>E1</v>
      </c>
      <c r="J93" s="27"/>
      <c r="K93" s="15" t="s">
        <v>1480</v>
      </c>
      <c r="L93" s="6" t="s">
        <v>1306</v>
      </c>
      <c r="M93" s="20"/>
      <c r="N93" s="20"/>
      <c r="O93" s="20"/>
      <c r="P93" s="20"/>
      <c r="Q93" s="20"/>
      <c r="R93" s="20"/>
      <c r="S93" s="35" t="str">
        <f aca="false">IFERROR(COUNTIF(M93:R93,"&gt;=3")/COUNT(M93:R93),"")</f>
        <v/>
      </c>
      <c r="T93" s="27" t="str">
        <f aca="false">IF(S93="","",IF(S93&gt;=검증!$B$4,"채택","수정·토론"))</f>
        <v/>
      </c>
      <c r="U93" s="27" t="str">
        <f aca="false">IF(COUNTIF($A$5:$A$183,A93)&lt;&gt;1,"ID 중복",IF(B93="C 연결",IF(COUNTIF(연결!$A$5:$A$35,D93)=1,"OK","연결 없음"),"OK"))</f>
        <v>OK</v>
      </c>
    </row>
    <row r="94" customFormat="false" ht="33.75" hidden="false" customHeight="true" outlineLevel="0" collapsed="false">
      <c r="A94" s="13" t="s">
        <v>1194</v>
      </c>
      <c r="B94" s="4" t="s">
        <v>1303</v>
      </c>
      <c r="C94" s="6" t="s">
        <v>759</v>
      </c>
      <c r="D94" s="15" t="s">
        <v>758</v>
      </c>
      <c r="E94" s="4" t="str">
        <f aca="false">IFERROR(INDEX(연결!$C$5:$C$35,MATCH(D94,연결!$A$5:$A$35,0)),"")</f>
        <v>PERF 성과평가 → CI 지속적 개선</v>
      </c>
      <c r="F94" s="27" t="str">
        <f aca="false">IFERROR(INDEX(연결!$G$5:$G$35,MATCH(D94,연결!$A$5:$A$35,0)),"")</f>
        <v>환류된다</v>
      </c>
      <c r="G94" s="27" t="s">
        <v>90</v>
      </c>
      <c r="H94" s="12" t="s">
        <v>1481</v>
      </c>
      <c r="I94" s="27" t="str">
        <f aca="false">IFERROR(INDEX(연결!$H$5:$H$35,MATCH(D94,연결!$A$5:$A$35,0)),"")</f>
        <v>E1</v>
      </c>
      <c r="J94" s="27"/>
      <c r="K94" s="15" t="s">
        <v>1482</v>
      </c>
      <c r="L94" s="6" t="s">
        <v>1306</v>
      </c>
      <c r="M94" s="20"/>
      <c r="N94" s="20"/>
      <c r="O94" s="20"/>
      <c r="P94" s="20"/>
      <c r="Q94" s="20"/>
      <c r="R94" s="20"/>
      <c r="S94" s="35" t="str">
        <f aca="false">IFERROR(COUNTIF(M94:R94,"&gt;=3")/COUNT(M94:R94),"")</f>
        <v/>
      </c>
      <c r="T94" s="27" t="str">
        <f aca="false">IF(S94="","",IF(S94&gt;=검증!$B$4,"채택","수정·토론"))</f>
        <v/>
      </c>
      <c r="U94" s="27" t="str">
        <f aca="false">IF(COUNTIF($A$5:$A$183,A94)&lt;&gt;1,"ID 중복",IF(B94="C 연결",IF(COUNTIF(연결!$A$5:$A$35,D94)=1,"OK","연결 없음"),"OK"))</f>
        <v>OK</v>
      </c>
    </row>
    <row r="95" customFormat="false" ht="33.75" hidden="false" customHeight="true" outlineLevel="0" collapsed="false">
      <c r="A95" s="13" t="s">
        <v>1195</v>
      </c>
      <c r="B95" s="4" t="s">
        <v>1303</v>
      </c>
      <c r="C95" s="6" t="s">
        <v>759</v>
      </c>
      <c r="D95" s="15" t="s">
        <v>758</v>
      </c>
      <c r="E95" s="4" t="str">
        <f aca="false">IFERROR(INDEX(연결!$C$5:$C$35,MATCH(D95,연결!$A$5:$A$35,0)),"")</f>
        <v>PERF 성과평가 → CI 지속적 개선</v>
      </c>
      <c r="F95" s="27" t="str">
        <f aca="false">IFERROR(INDEX(연결!$G$5:$G$35,MATCH(D95,연결!$A$5:$A$35,0)),"")</f>
        <v>환류된다</v>
      </c>
      <c r="G95" s="27" t="s">
        <v>95</v>
      </c>
      <c r="H95" s="12" t="s">
        <v>1483</v>
      </c>
      <c r="I95" s="27" t="str">
        <f aca="false">IFERROR(INDEX(연결!$H$5:$H$35,MATCH(D95,연결!$A$5:$A$35,0)),"")</f>
        <v>E1</v>
      </c>
      <c r="J95" s="27"/>
      <c r="K95" s="15" t="s">
        <v>1484</v>
      </c>
      <c r="L95" s="6" t="s">
        <v>1306</v>
      </c>
      <c r="M95" s="20"/>
      <c r="N95" s="20"/>
      <c r="O95" s="20"/>
      <c r="P95" s="20"/>
      <c r="Q95" s="20"/>
      <c r="R95" s="20"/>
      <c r="S95" s="35" t="str">
        <f aca="false">IFERROR(COUNTIF(M95:R95,"&gt;=3")/COUNT(M95:R95),"")</f>
        <v/>
      </c>
      <c r="T95" s="27" t="str">
        <f aca="false">IF(S95="","",IF(S95&gt;=검증!$B$4,"채택","수정·토론"))</f>
        <v/>
      </c>
      <c r="U95" s="27" t="str">
        <f aca="false">IF(COUNTIF($A$5:$A$183,A95)&lt;&gt;1,"ID 중복",IF(B95="C 연결",IF(COUNTIF(연결!$A$5:$A$35,D95)=1,"OK","연결 없음"),"OK"))</f>
        <v>OK</v>
      </c>
    </row>
    <row r="96" customFormat="false" ht="33.75" hidden="false" customHeight="true" outlineLevel="0" collapsed="false">
      <c r="A96" s="13" t="s">
        <v>1196</v>
      </c>
      <c r="B96" s="4" t="s">
        <v>1303</v>
      </c>
      <c r="C96" s="6" t="s">
        <v>759</v>
      </c>
      <c r="D96" s="15" t="s">
        <v>758</v>
      </c>
      <c r="E96" s="4" t="str">
        <f aca="false">IFERROR(INDEX(연결!$C$5:$C$35,MATCH(D96,연결!$A$5:$A$35,0)),"")</f>
        <v>PERF 성과평가 → CI 지속적 개선</v>
      </c>
      <c r="F96" s="27" t="str">
        <f aca="false">IFERROR(INDEX(연결!$G$5:$G$35,MATCH(D96,연결!$A$5:$A$35,0)),"")</f>
        <v>환류된다</v>
      </c>
      <c r="G96" s="27" t="s">
        <v>100</v>
      </c>
      <c r="H96" s="12" t="s">
        <v>1485</v>
      </c>
      <c r="I96" s="27" t="str">
        <f aca="false">IFERROR(INDEX(연결!$H$5:$H$35,MATCH(D96,연결!$A$5:$A$35,0)),"")</f>
        <v>E1</v>
      </c>
      <c r="J96" s="27"/>
      <c r="K96" s="15" t="s">
        <v>1486</v>
      </c>
      <c r="L96" s="6" t="s">
        <v>1306</v>
      </c>
      <c r="M96" s="20"/>
      <c r="N96" s="20"/>
      <c r="O96" s="20"/>
      <c r="P96" s="20"/>
      <c r="Q96" s="20"/>
      <c r="R96" s="20"/>
      <c r="S96" s="35" t="str">
        <f aca="false">IFERROR(COUNTIF(M96:R96,"&gt;=3")/COUNT(M96:R96),"")</f>
        <v/>
      </c>
      <c r="T96" s="27" t="str">
        <f aca="false">IF(S96="","",IF(S96&gt;=검증!$B$4,"채택","수정·토론"))</f>
        <v/>
      </c>
      <c r="U96" s="27" t="str">
        <f aca="false">IF(COUNTIF($A$5:$A$183,A96)&lt;&gt;1,"ID 중복",IF(B96="C 연결",IF(COUNTIF(연결!$A$5:$A$35,D96)=1,"OK","연결 없음"),"OK"))</f>
        <v>OK</v>
      </c>
    </row>
    <row r="97" customFormat="false" ht="33.75" hidden="false" customHeight="true" outlineLevel="0" collapsed="false">
      <c r="A97" s="13" t="s">
        <v>1198</v>
      </c>
      <c r="B97" s="4" t="s">
        <v>1303</v>
      </c>
      <c r="C97" s="6" t="s">
        <v>759</v>
      </c>
      <c r="D97" s="15" t="s">
        <v>766</v>
      </c>
      <c r="E97" s="4" t="str">
        <f aca="false">IFERROR(INDEX(연결!$C$5:$C$35,MATCH(D97,연결!$A$5:$A$35,0)),"")</f>
        <v>AUD 내부감사 → CI 지속적 개선</v>
      </c>
      <c r="F97" s="27" t="str">
        <f aca="false">IFERROR(INDEX(연결!$G$5:$G$35,MATCH(D97,연결!$A$5:$A$35,0)),"")</f>
        <v>환류된다</v>
      </c>
      <c r="G97" s="27" t="s">
        <v>75</v>
      </c>
      <c r="H97" s="12" t="s">
        <v>1487</v>
      </c>
      <c r="I97" s="27" t="str">
        <f aca="false">IFERROR(INDEX(연결!$H$5:$H$35,MATCH(D97,연결!$A$5:$A$35,0)),"")</f>
        <v>E1</v>
      </c>
      <c r="J97" s="27"/>
      <c r="K97" s="15" t="s">
        <v>1488</v>
      </c>
      <c r="L97" s="6" t="s">
        <v>1306</v>
      </c>
      <c r="M97" s="20"/>
      <c r="N97" s="20"/>
      <c r="O97" s="20"/>
      <c r="P97" s="20"/>
      <c r="Q97" s="20"/>
      <c r="R97" s="20"/>
      <c r="S97" s="35" t="str">
        <f aca="false">IFERROR(COUNTIF(M97:R97,"&gt;=3")/COUNT(M97:R97),"")</f>
        <v/>
      </c>
      <c r="T97" s="27" t="str">
        <f aca="false">IF(S97="","",IF(S97&gt;=검증!$B$4,"채택","수정·토론"))</f>
        <v/>
      </c>
      <c r="U97" s="27" t="str">
        <f aca="false">IF(COUNTIF($A$5:$A$183,A97)&lt;&gt;1,"ID 중복",IF(B97="C 연결",IF(COUNTIF(연결!$A$5:$A$35,D97)=1,"OK","연결 없음"),"OK"))</f>
        <v>OK</v>
      </c>
    </row>
    <row r="98" customFormat="false" ht="33.75" hidden="false" customHeight="true" outlineLevel="0" collapsed="false">
      <c r="A98" s="13" t="s">
        <v>1199</v>
      </c>
      <c r="B98" s="4" t="s">
        <v>1303</v>
      </c>
      <c r="C98" s="6" t="s">
        <v>759</v>
      </c>
      <c r="D98" s="15" t="s">
        <v>766</v>
      </c>
      <c r="E98" s="4" t="str">
        <f aca="false">IFERROR(INDEX(연결!$C$5:$C$35,MATCH(D98,연결!$A$5:$A$35,0)),"")</f>
        <v>AUD 내부감사 → CI 지속적 개선</v>
      </c>
      <c r="F98" s="27" t="str">
        <f aca="false">IFERROR(INDEX(연결!$G$5:$G$35,MATCH(D98,연결!$A$5:$A$35,0)),"")</f>
        <v>환류된다</v>
      </c>
      <c r="G98" s="27" t="s">
        <v>81</v>
      </c>
      <c r="H98" s="12" t="s">
        <v>1489</v>
      </c>
      <c r="I98" s="27" t="str">
        <f aca="false">IFERROR(INDEX(연결!$H$5:$H$35,MATCH(D98,연결!$A$5:$A$35,0)),"")</f>
        <v>E1</v>
      </c>
      <c r="J98" s="27"/>
      <c r="K98" s="15" t="s">
        <v>1490</v>
      </c>
      <c r="L98" s="6" t="s">
        <v>1306</v>
      </c>
      <c r="M98" s="20"/>
      <c r="N98" s="20"/>
      <c r="O98" s="20"/>
      <c r="P98" s="20"/>
      <c r="Q98" s="20"/>
      <c r="R98" s="20"/>
      <c r="S98" s="35" t="str">
        <f aca="false">IFERROR(COUNTIF(M98:R98,"&gt;=3")/COUNT(M98:R98),"")</f>
        <v/>
      </c>
      <c r="T98" s="27" t="str">
        <f aca="false">IF(S98="","",IF(S98&gt;=검증!$B$4,"채택","수정·토론"))</f>
        <v/>
      </c>
      <c r="U98" s="27" t="str">
        <f aca="false">IF(COUNTIF($A$5:$A$183,A98)&lt;&gt;1,"ID 중복",IF(B98="C 연결",IF(COUNTIF(연결!$A$5:$A$35,D98)=1,"OK","연결 없음"),"OK"))</f>
        <v>OK</v>
      </c>
    </row>
    <row r="99" customFormat="false" ht="33.75" hidden="false" customHeight="true" outlineLevel="0" collapsed="false">
      <c r="A99" s="13" t="s">
        <v>1200</v>
      </c>
      <c r="B99" s="4" t="s">
        <v>1303</v>
      </c>
      <c r="C99" s="6" t="s">
        <v>759</v>
      </c>
      <c r="D99" s="15" t="s">
        <v>766</v>
      </c>
      <c r="E99" s="4" t="str">
        <f aca="false">IFERROR(INDEX(연결!$C$5:$C$35,MATCH(D99,연결!$A$5:$A$35,0)),"")</f>
        <v>AUD 내부감사 → CI 지속적 개선</v>
      </c>
      <c r="F99" s="27" t="str">
        <f aca="false">IFERROR(INDEX(연결!$G$5:$G$35,MATCH(D99,연결!$A$5:$A$35,0)),"")</f>
        <v>환류된다</v>
      </c>
      <c r="G99" s="27" t="s">
        <v>85</v>
      </c>
      <c r="H99" s="12" t="s">
        <v>1491</v>
      </c>
      <c r="I99" s="27" t="str">
        <f aca="false">IFERROR(INDEX(연결!$H$5:$H$35,MATCH(D99,연결!$A$5:$A$35,0)),"")</f>
        <v>E1</v>
      </c>
      <c r="J99" s="27"/>
      <c r="K99" s="15" t="s">
        <v>1492</v>
      </c>
      <c r="L99" s="6" t="s">
        <v>1306</v>
      </c>
      <c r="M99" s="20"/>
      <c r="N99" s="20"/>
      <c r="O99" s="20"/>
      <c r="P99" s="20"/>
      <c r="Q99" s="20"/>
      <c r="R99" s="20"/>
      <c r="S99" s="35" t="str">
        <f aca="false">IFERROR(COUNTIF(M99:R99,"&gt;=3")/COUNT(M99:R99),"")</f>
        <v/>
      </c>
      <c r="T99" s="27" t="str">
        <f aca="false">IF(S99="","",IF(S99&gt;=검증!$B$4,"채택","수정·토론"))</f>
        <v/>
      </c>
      <c r="U99" s="27" t="str">
        <f aca="false">IF(COUNTIF($A$5:$A$183,A99)&lt;&gt;1,"ID 중복",IF(B99="C 연결",IF(COUNTIF(연결!$A$5:$A$35,D99)=1,"OK","연결 없음"),"OK"))</f>
        <v>OK</v>
      </c>
    </row>
    <row r="100" customFormat="false" ht="33.75" hidden="false" customHeight="true" outlineLevel="0" collapsed="false">
      <c r="A100" s="13" t="s">
        <v>1201</v>
      </c>
      <c r="B100" s="4" t="s">
        <v>1303</v>
      </c>
      <c r="C100" s="6" t="s">
        <v>759</v>
      </c>
      <c r="D100" s="15" t="s">
        <v>766</v>
      </c>
      <c r="E100" s="4" t="str">
        <f aca="false">IFERROR(INDEX(연결!$C$5:$C$35,MATCH(D100,연결!$A$5:$A$35,0)),"")</f>
        <v>AUD 내부감사 → CI 지속적 개선</v>
      </c>
      <c r="F100" s="27" t="str">
        <f aca="false">IFERROR(INDEX(연결!$G$5:$G$35,MATCH(D100,연결!$A$5:$A$35,0)),"")</f>
        <v>환류된다</v>
      </c>
      <c r="G100" s="27" t="s">
        <v>90</v>
      </c>
      <c r="H100" s="12" t="s">
        <v>1493</v>
      </c>
      <c r="I100" s="27" t="str">
        <f aca="false">IFERROR(INDEX(연결!$H$5:$H$35,MATCH(D100,연결!$A$5:$A$35,0)),"")</f>
        <v>E1</v>
      </c>
      <c r="J100" s="27"/>
      <c r="K100" s="15" t="s">
        <v>1494</v>
      </c>
      <c r="L100" s="6" t="s">
        <v>1306</v>
      </c>
      <c r="M100" s="20"/>
      <c r="N100" s="20"/>
      <c r="O100" s="20"/>
      <c r="P100" s="20"/>
      <c r="Q100" s="20"/>
      <c r="R100" s="20"/>
      <c r="S100" s="35" t="str">
        <f aca="false">IFERROR(COUNTIF(M100:R100,"&gt;=3")/COUNT(M100:R100),"")</f>
        <v/>
      </c>
      <c r="T100" s="27" t="str">
        <f aca="false">IF(S100="","",IF(S100&gt;=검증!$B$4,"채택","수정·토론"))</f>
        <v/>
      </c>
      <c r="U100" s="27" t="str">
        <f aca="false">IF(COUNTIF($A$5:$A$183,A100)&lt;&gt;1,"ID 중복",IF(B100="C 연결",IF(COUNTIF(연결!$A$5:$A$35,D100)=1,"OK","연결 없음"),"OK"))</f>
        <v>OK</v>
      </c>
    </row>
    <row r="101" customFormat="false" ht="33.75" hidden="false" customHeight="true" outlineLevel="0" collapsed="false">
      <c r="A101" s="13" t="s">
        <v>1202</v>
      </c>
      <c r="B101" s="4" t="s">
        <v>1303</v>
      </c>
      <c r="C101" s="6" t="s">
        <v>759</v>
      </c>
      <c r="D101" s="15" t="s">
        <v>766</v>
      </c>
      <c r="E101" s="4" t="str">
        <f aca="false">IFERROR(INDEX(연결!$C$5:$C$35,MATCH(D101,연결!$A$5:$A$35,0)),"")</f>
        <v>AUD 내부감사 → CI 지속적 개선</v>
      </c>
      <c r="F101" s="27" t="str">
        <f aca="false">IFERROR(INDEX(연결!$G$5:$G$35,MATCH(D101,연결!$A$5:$A$35,0)),"")</f>
        <v>환류된다</v>
      </c>
      <c r="G101" s="27" t="s">
        <v>95</v>
      </c>
      <c r="H101" s="12" t="s">
        <v>1495</v>
      </c>
      <c r="I101" s="27" t="str">
        <f aca="false">IFERROR(INDEX(연결!$H$5:$H$35,MATCH(D101,연결!$A$5:$A$35,0)),"")</f>
        <v>E1</v>
      </c>
      <c r="J101" s="27"/>
      <c r="K101" s="15" t="s">
        <v>1496</v>
      </c>
      <c r="L101" s="6" t="s">
        <v>1306</v>
      </c>
      <c r="M101" s="20"/>
      <c r="N101" s="20"/>
      <c r="O101" s="20"/>
      <c r="P101" s="20"/>
      <c r="Q101" s="20"/>
      <c r="R101" s="20"/>
      <c r="S101" s="35" t="str">
        <f aca="false">IFERROR(COUNTIF(M101:R101,"&gt;=3")/COUNT(M101:R101),"")</f>
        <v/>
      </c>
      <c r="T101" s="27" t="str">
        <f aca="false">IF(S101="","",IF(S101&gt;=검증!$B$4,"채택","수정·토론"))</f>
        <v/>
      </c>
      <c r="U101" s="27" t="str">
        <f aca="false">IF(COUNTIF($A$5:$A$183,A101)&lt;&gt;1,"ID 중복",IF(B101="C 연결",IF(COUNTIF(연결!$A$5:$A$35,D101)=1,"OK","연결 없음"),"OK"))</f>
        <v>OK</v>
      </c>
    </row>
    <row r="102" customFormat="false" ht="33.75" hidden="false" customHeight="true" outlineLevel="0" collapsed="false">
      <c r="A102" s="13" t="s">
        <v>1203</v>
      </c>
      <c r="B102" s="4" t="s">
        <v>1303</v>
      </c>
      <c r="C102" s="6" t="s">
        <v>759</v>
      </c>
      <c r="D102" s="15" t="s">
        <v>766</v>
      </c>
      <c r="E102" s="4" t="str">
        <f aca="false">IFERROR(INDEX(연결!$C$5:$C$35,MATCH(D102,연결!$A$5:$A$35,0)),"")</f>
        <v>AUD 내부감사 → CI 지속적 개선</v>
      </c>
      <c r="F102" s="27" t="str">
        <f aca="false">IFERROR(INDEX(연결!$G$5:$G$35,MATCH(D102,연결!$A$5:$A$35,0)),"")</f>
        <v>환류된다</v>
      </c>
      <c r="G102" s="27" t="s">
        <v>100</v>
      </c>
      <c r="H102" s="12" t="s">
        <v>1497</v>
      </c>
      <c r="I102" s="27" t="str">
        <f aca="false">IFERROR(INDEX(연결!$H$5:$H$35,MATCH(D102,연결!$A$5:$A$35,0)),"")</f>
        <v>E1</v>
      </c>
      <c r="J102" s="27"/>
      <c r="K102" s="15" t="s">
        <v>1498</v>
      </c>
      <c r="L102" s="6" t="s">
        <v>1306</v>
      </c>
      <c r="M102" s="20"/>
      <c r="N102" s="20"/>
      <c r="O102" s="20"/>
      <c r="P102" s="20"/>
      <c r="Q102" s="20"/>
      <c r="R102" s="20"/>
      <c r="S102" s="35" t="str">
        <f aca="false">IFERROR(COUNTIF(M102:R102,"&gt;=3")/COUNT(M102:R102),"")</f>
        <v/>
      </c>
      <c r="T102" s="27" t="str">
        <f aca="false">IF(S102="","",IF(S102&gt;=검증!$B$4,"채택","수정·토론"))</f>
        <v/>
      </c>
      <c r="U102" s="27" t="str">
        <f aca="false">IF(COUNTIF($A$5:$A$183,A102)&lt;&gt;1,"ID 중복",IF(B102="C 연결",IF(COUNTIF(연결!$A$5:$A$35,D102)=1,"OK","연결 없음"),"OK"))</f>
        <v>OK</v>
      </c>
    </row>
    <row r="103" customFormat="false" ht="33.75" hidden="false" customHeight="true" outlineLevel="0" collapsed="false">
      <c r="A103" s="13" t="s">
        <v>1205</v>
      </c>
      <c r="B103" s="4" t="s">
        <v>1303</v>
      </c>
      <c r="C103" s="6" t="s">
        <v>759</v>
      </c>
      <c r="D103" s="15" t="s">
        <v>770</v>
      </c>
      <c r="E103" s="4" t="str">
        <f aca="false">IFERROR(INDEX(연결!$C$5:$C$35,MATCH(D103,연결!$A$5:$A$35,0)),"")</f>
        <v>SUP 공급망관리 → CI 지속적 개선</v>
      </c>
      <c r="F103" s="27" t="str">
        <f aca="false">IFERROR(INDEX(연결!$G$5:$G$35,MATCH(D103,연결!$A$5:$A$35,0)),"")</f>
        <v>환류된다</v>
      </c>
      <c r="G103" s="27" t="s">
        <v>75</v>
      </c>
      <c r="H103" s="12" t="s">
        <v>1499</v>
      </c>
      <c r="I103" s="27" t="str">
        <f aca="false">IFERROR(INDEX(연결!$H$5:$H$35,MATCH(D103,연결!$A$5:$A$35,0)),"")</f>
        <v>E1</v>
      </c>
      <c r="J103" s="27"/>
      <c r="K103" s="15" t="s">
        <v>1500</v>
      </c>
      <c r="L103" s="6" t="s">
        <v>1306</v>
      </c>
      <c r="M103" s="20"/>
      <c r="N103" s="20"/>
      <c r="O103" s="20"/>
      <c r="P103" s="20"/>
      <c r="Q103" s="20"/>
      <c r="R103" s="20"/>
      <c r="S103" s="35" t="str">
        <f aca="false">IFERROR(COUNTIF(M103:R103,"&gt;=3")/COUNT(M103:R103),"")</f>
        <v/>
      </c>
      <c r="T103" s="27" t="str">
        <f aca="false">IF(S103="","",IF(S103&gt;=검증!$B$4,"채택","수정·토론"))</f>
        <v/>
      </c>
      <c r="U103" s="27" t="str">
        <f aca="false">IF(COUNTIF($A$5:$A$183,A103)&lt;&gt;1,"ID 중복",IF(B103="C 연결",IF(COUNTIF(연결!$A$5:$A$35,D103)=1,"OK","연결 없음"),"OK"))</f>
        <v>OK</v>
      </c>
    </row>
    <row r="104" customFormat="false" ht="33.75" hidden="false" customHeight="true" outlineLevel="0" collapsed="false">
      <c r="A104" s="13" t="s">
        <v>1206</v>
      </c>
      <c r="B104" s="4" t="s">
        <v>1303</v>
      </c>
      <c r="C104" s="6" t="s">
        <v>759</v>
      </c>
      <c r="D104" s="15" t="s">
        <v>770</v>
      </c>
      <c r="E104" s="4" t="str">
        <f aca="false">IFERROR(INDEX(연결!$C$5:$C$35,MATCH(D104,연결!$A$5:$A$35,0)),"")</f>
        <v>SUP 공급망관리 → CI 지속적 개선</v>
      </c>
      <c r="F104" s="27" t="str">
        <f aca="false">IFERROR(INDEX(연결!$G$5:$G$35,MATCH(D104,연결!$A$5:$A$35,0)),"")</f>
        <v>환류된다</v>
      </c>
      <c r="G104" s="27" t="s">
        <v>81</v>
      </c>
      <c r="H104" s="12" t="s">
        <v>1501</v>
      </c>
      <c r="I104" s="27" t="str">
        <f aca="false">IFERROR(INDEX(연결!$H$5:$H$35,MATCH(D104,연결!$A$5:$A$35,0)),"")</f>
        <v>E1</v>
      </c>
      <c r="J104" s="27"/>
      <c r="K104" s="15" t="s">
        <v>1502</v>
      </c>
      <c r="L104" s="6" t="s">
        <v>1306</v>
      </c>
      <c r="M104" s="20"/>
      <c r="N104" s="20"/>
      <c r="O104" s="20"/>
      <c r="P104" s="20"/>
      <c r="Q104" s="20"/>
      <c r="R104" s="20"/>
      <c r="S104" s="35" t="str">
        <f aca="false">IFERROR(COUNTIF(M104:R104,"&gt;=3")/COUNT(M104:R104),"")</f>
        <v/>
      </c>
      <c r="T104" s="27" t="str">
        <f aca="false">IF(S104="","",IF(S104&gt;=검증!$B$4,"채택","수정·토론"))</f>
        <v/>
      </c>
      <c r="U104" s="27" t="str">
        <f aca="false">IF(COUNTIF($A$5:$A$183,A104)&lt;&gt;1,"ID 중복",IF(B104="C 연결",IF(COUNTIF(연결!$A$5:$A$35,D104)=1,"OK","연결 없음"),"OK"))</f>
        <v>OK</v>
      </c>
    </row>
    <row r="105" customFormat="false" ht="33.75" hidden="false" customHeight="true" outlineLevel="0" collapsed="false">
      <c r="A105" s="13" t="s">
        <v>1207</v>
      </c>
      <c r="B105" s="4" t="s">
        <v>1303</v>
      </c>
      <c r="C105" s="6" t="s">
        <v>759</v>
      </c>
      <c r="D105" s="15" t="s">
        <v>770</v>
      </c>
      <c r="E105" s="4" t="str">
        <f aca="false">IFERROR(INDEX(연결!$C$5:$C$35,MATCH(D105,연결!$A$5:$A$35,0)),"")</f>
        <v>SUP 공급망관리 → CI 지속적 개선</v>
      </c>
      <c r="F105" s="27" t="str">
        <f aca="false">IFERROR(INDEX(연결!$G$5:$G$35,MATCH(D105,연결!$A$5:$A$35,0)),"")</f>
        <v>환류된다</v>
      </c>
      <c r="G105" s="27" t="s">
        <v>85</v>
      </c>
      <c r="H105" s="12" t="s">
        <v>1503</v>
      </c>
      <c r="I105" s="27" t="str">
        <f aca="false">IFERROR(INDEX(연결!$H$5:$H$35,MATCH(D105,연결!$A$5:$A$35,0)),"")</f>
        <v>E1</v>
      </c>
      <c r="J105" s="27"/>
      <c r="K105" s="15" t="s">
        <v>1504</v>
      </c>
      <c r="L105" s="6" t="s">
        <v>1306</v>
      </c>
      <c r="M105" s="20"/>
      <c r="N105" s="20"/>
      <c r="O105" s="20"/>
      <c r="P105" s="20"/>
      <c r="Q105" s="20"/>
      <c r="R105" s="20"/>
      <c r="S105" s="35" t="str">
        <f aca="false">IFERROR(COUNTIF(M105:R105,"&gt;=3")/COUNT(M105:R105),"")</f>
        <v/>
      </c>
      <c r="T105" s="27" t="str">
        <f aca="false">IF(S105="","",IF(S105&gt;=검증!$B$4,"채택","수정·토론"))</f>
        <v/>
      </c>
      <c r="U105" s="27" t="str">
        <f aca="false">IF(COUNTIF($A$5:$A$183,A105)&lt;&gt;1,"ID 중복",IF(B105="C 연결",IF(COUNTIF(연결!$A$5:$A$35,D105)=1,"OK","연결 없음"),"OK"))</f>
        <v>OK</v>
      </c>
    </row>
    <row r="106" customFormat="false" ht="33.75" hidden="false" customHeight="true" outlineLevel="0" collapsed="false">
      <c r="A106" s="13" t="s">
        <v>1208</v>
      </c>
      <c r="B106" s="4" t="s">
        <v>1303</v>
      </c>
      <c r="C106" s="6" t="s">
        <v>759</v>
      </c>
      <c r="D106" s="15" t="s">
        <v>770</v>
      </c>
      <c r="E106" s="4" t="str">
        <f aca="false">IFERROR(INDEX(연결!$C$5:$C$35,MATCH(D106,연결!$A$5:$A$35,0)),"")</f>
        <v>SUP 공급망관리 → CI 지속적 개선</v>
      </c>
      <c r="F106" s="27" t="str">
        <f aca="false">IFERROR(INDEX(연결!$G$5:$G$35,MATCH(D106,연결!$A$5:$A$35,0)),"")</f>
        <v>환류된다</v>
      </c>
      <c r="G106" s="27" t="s">
        <v>90</v>
      </c>
      <c r="H106" s="12" t="s">
        <v>1505</v>
      </c>
      <c r="I106" s="27" t="str">
        <f aca="false">IFERROR(INDEX(연결!$H$5:$H$35,MATCH(D106,연결!$A$5:$A$35,0)),"")</f>
        <v>E1</v>
      </c>
      <c r="J106" s="27"/>
      <c r="K106" s="15" t="s">
        <v>1506</v>
      </c>
      <c r="L106" s="6" t="s">
        <v>1306</v>
      </c>
      <c r="M106" s="20"/>
      <c r="N106" s="20"/>
      <c r="O106" s="20"/>
      <c r="P106" s="20"/>
      <c r="Q106" s="20"/>
      <c r="R106" s="20"/>
      <c r="S106" s="35" t="str">
        <f aca="false">IFERROR(COUNTIF(M106:R106,"&gt;=3")/COUNT(M106:R106),"")</f>
        <v/>
      </c>
      <c r="T106" s="27" t="str">
        <f aca="false">IF(S106="","",IF(S106&gt;=검증!$B$4,"채택","수정·토론"))</f>
        <v/>
      </c>
      <c r="U106" s="27" t="str">
        <f aca="false">IF(COUNTIF($A$5:$A$183,A106)&lt;&gt;1,"ID 중복",IF(B106="C 연결",IF(COUNTIF(연결!$A$5:$A$35,D106)=1,"OK","연결 없음"),"OK"))</f>
        <v>OK</v>
      </c>
    </row>
    <row r="107" customFormat="false" ht="33.75" hidden="false" customHeight="true" outlineLevel="0" collapsed="false">
      <c r="A107" s="13" t="s">
        <v>1209</v>
      </c>
      <c r="B107" s="4" t="s">
        <v>1303</v>
      </c>
      <c r="C107" s="6" t="s">
        <v>759</v>
      </c>
      <c r="D107" s="15" t="s">
        <v>770</v>
      </c>
      <c r="E107" s="4" t="str">
        <f aca="false">IFERROR(INDEX(연결!$C$5:$C$35,MATCH(D107,연결!$A$5:$A$35,0)),"")</f>
        <v>SUP 공급망관리 → CI 지속적 개선</v>
      </c>
      <c r="F107" s="27" t="str">
        <f aca="false">IFERROR(INDEX(연결!$G$5:$G$35,MATCH(D107,연결!$A$5:$A$35,0)),"")</f>
        <v>환류된다</v>
      </c>
      <c r="G107" s="27" t="s">
        <v>95</v>
      </c>
      <c r="H107" s="12" t="s">
        <v>1507</v>
      </c>
      <c r="I107" s="27" t="str">
        <f aca="false">IFERROR(INDEX(연결!$H$5:$H$35,MATCH(D107,연결!$A$5:$A$35,0)),"")</f>
        <v>E1</v>
      </c>
      <c r="J107" s="27"/>
      <c r="K107" s="15" t="s">
        <v>1508</v>
      </c>
      <c r="L107" s="6" t="s">
        <v>1306</v>
      </c>
      <c r="M107" s="20"/>
      <c r="N107" s="20"/>
      <c r="O107" s="20"/>
      <c r="P107" s="20"/>
      <c r="Q107" s="20"/>
      <c r="R107" s="20"/>
      <c r="S107" s="35" t="str">
        <f aca="false">IFERROR(COUNTIF(M107:R107,"&gt;=3")/COUNT(M107:R107),"")</f>
        <v/>
      </c>
      <c r="T107" s="27" t="str">
        <f aca="false">IF(S107="","",IF(S107&gt;=검증!$B$4,"채택","수정·토론"))</f>
        <v/>
      </c>
      <c r="U107" s="27" t="str">
        <f aca="false">IF(COUNTIF($A$5:$A$183,A107)&lt;&gt;1,"ID 중복",IF(B107="C 연결",IF(COUNTIF(연결!$A$5:$A$35,D107)=1,"OK","연결 없음"),"OK"))</f>
        <v>OK</v>
      </c>
    </row>
    <row r="108" customFormat="false" ht="33.75" hidden="false" customHeight="true" outlineLevel="0" collapsed="false">
      <c r="A108" s="13" t="s">
        <v>1210</v>
      </c>
      <c r="B108" s="4" t="s">
        <v>1303</v>
      </c>
      <c r="C108" s="6" t="s">
        <v>759</v>
      </c>
      <c r="D108" s="15" t="s">
        <v>770</v>
      </c>
      <c r="E108" s="4" t="str">
        <f aca="false">IFERROR(INDEX(연결!$C$5:$C$35,MATCH(D108,연결!$A$5:$A$35,0)),"")</f>
        <v>SUP 공급망관리 → CI 지속적 개선</v>
      </c>
      <c r="F108" s="27" t="str">
        <f aca="false">IFERROR(INDEX(연결!$G$5:$G$35,MATCH(D108,연결!$A$5:$A$35,0)),"")</f>
        <v>환류된다</v>
      </c>
      <c r="G108" s="27" t="s">
        <v>100</v>
      </c>
      <c r="H108" s="12" t="s">
        <v>1509</v>
      </c>
      <c r="I108" s="27" t="str">
        <f aca="false">IFERROR(INDEX(연결!$H$5:$H$35,MATCH(D108,연결!$A$5:$A$35,0)),"")</f>
        <v>E1</v>
      </c>
      <c r="J108" s="27"/>
      <c r="K108" s="15" t="s">
        <v>1510</v>
      </c>
      <c r="L108" s="6" t="s">
        <v>1306</v>
      </c>
      <c r="M108" s="20"/>
      <c r="N108" s="20"/>
      <c r="O108" s="20"/>
      <c r="P108" s="20"/>
      <c r="Q108" s="20"/>
      <c r="R108" s="20"/>
      <c r="S108" s="35" t="str">
        <f aca="false">IFERROR(COUNTIF(M108:R108,"&gt;=3")/COUNT(M108:R108),"")</f>
        <v/>
      </c>
      <c r="T108" s="27" t="str">
        <f aca="false">IF(S108="","",IF(S108&gt;=검증!$B$4,"채택","수정·토론"))</f>
        <v/>
      </c>
      <c r="U108" s="27" t="str">
        <f aca="false">IF(COUNTIF($A$5:$A$183,A108)&lt;&gt;1,"ID 중복",IF(B108="C 연결",IF(COUNTIF(연결!$A$5:$A$35,D108)=1,"OK","연결 없음"),"OK"))</f>
        <v>OK</v>
      </c>
    </row>
    <row r="109" customFormat="false" ht="33.75" hidden="false" customHeight="true" outlineLevel="0" collapsed="false">
      <c r="A109" s="13" t="s">
        <v>1212</v>
      </c>
      <c r="B109" s="4" t="s">
        <v>1303</v>
      </c>
      <c r="C109" s="6" t="s">
        <v>759</v>
      </c>
      <c r="D109" s="15" t="s">
        <v>431</v>
      </c>
      <c r="E109" s="4" t="str">
        <f aca="false">IFERROR(INDEX(연결!$C$5:$C$35,MATCH(D109,연결!$A$5:$A$35,0)),"")</f>
        <v>CHG BC 변경관리 → RA 리스크평가</v>
      </c>
      <c r="F109" s="27" t="str">
        <f aca="false">IFERROR(INDEX(연결!$G$5:$G$35,MATCH(D109,연결!$A$5:$A$35,0)),"")</f>
        <v>수행을 촉발한다</v>
      </c>
      <c r="G109" s="27" t="s">
        <v>75</v>
      </c>
      <c r="H109" s="12" t="s">
        <v>1511</v>
      </c>
      <c r="I109" s="27" t="str">
        <f aca="false">IFERROR(INDEX(연결!$H$5:$H$35,MATCH(D109,연결!$A$5:$A$35,0)),"")</f>
        <v>E1</v>
      </c>
      <c r="J109" s="27"/>
      <c r="K109" s="15" t="s">
        <v>1512</v>
      </c>
      <c r="L109" s="6" t="s">
        <v>1306</v>
      </c>
      <c r="M109" s="20"/>
      <c r="N109" s="20"/>
      <c r="O109" s="20"/>
      <c r="P109" s="20"/>
      <c r="Q109" s="20"/>
      <c r="R109" s="20"/>
      <c r="S109" s="35" t="str">
        <f aca="false">IFERROR(COUNTIF(M109:R109,"&gt;=3")/COUNT(M109:R109),"")</f>
        <v/>
      </c>
      <c r="T109" s="27" t="str">
        <f aca="false">IF(S109="","",IF(S109&gt;=검증!$B$4,"채택","수정·토론"))</f>
        <v/>
      </c>
      <c r="U109" s="27" t="str">
        <f aca="false">IF(COUNTIF($A$5:$A$183,A109)&lt;&gt;1,"ID 중복",IF(B109="C 연결",IF(COUNTIF(연결!$A$5:$A$35,D109)=1,"OK","연결 없음"),"OK"))</f>
        <v>OK</v>
      </c>
    </row>
    <row r="110" customFormat="false" ht="33.75" hidden="false" customHeight="true" outlineLevel="0" collapsed="false">
      <c r="A110" s="13" t="s">
        <v>1213</v>
      </c>
      <c r="B110" s="4" t="s">
        <v>1303</v>
      </c>
      <c r="C110" s="6" t="s">
        <v>759</v>
      </c>
      <c r="D110" s="15" t="s">
        <v>431</v>
      </c>
      <c r="E110" s="4" t="str">
        <f aca="false">IFERROR(INDEX(연결!$C$5:$C$35,MATCH(D110,연결!$A$5:$A$35,0)),"")</f>
        <v>CHG BC 변경관리 → RA 리스크평가</v>
      </c>
      <c r="F110" s="27" t="str">
        <f aca="false">IFERROR(INDEX(연결!$G$5:$G$35,MATCH(D110,연결!$A$5:$A$35,0)),"")</f>
        <v>수행을 촉발한다</v>
      </c>
      <c r="G110" s="27" t="s">
        <v>81</v>
      </c>
      <c r="H110" s="12" t="s">
        <v>1513</v>
      </c>
      <c r="I110" s="27" t="str">
        <f aca="false">IFERROR(INDEX(연결!$H$5:$H$35,MATCH(D110,연결!$A$5:$A$35,0)),"")</f>
        <v>E1</v>
      </c>
      <c r="J110" s="27"/>
      <c r="K110" s="15" t="s">
        <v>1514</v>
      </c>
      <c r="L110" s="6" t="s">
        <v>1306</v>
      </c>
      <c r="M110" s="20"/>
      <c r="N110" s="20"/>
      <c r="O110" s="20"/>
      <c r="P110" s="20"/>
      <c r="Q110" s="20"/>
      <c r="R110" s="20"/>
      <c r="S110" s="35" t="str">
        <f aca="false">IFERROR(COUNTIF(M110:R110,"&gt;=3")/COUNT(M110:R110),"")</f>
        <v/>
      </c>
      <c r="T110" s="27" t="str">
        <f aca="false">IF(S110="","",IF(S110&gt;=검증!$B$4,"채택","수정·토론"))</f>
        <v/>
      </c>
      <c r="U110" s="27" t="str">
        <f aca="false">IF(COUNTIF($A$5:$A$183,A110)&lt;&gt;1,"ID 중복",IF(B110="C 연결",IF(COUNTIF(연결!$A$5:$A$35,D110)=1,"OK","연결 없음"),"OK"))</f>
        <v>OK</v>
      </c>
    </row>
    <row r="111" customFormat="false" ht="33.75" hidden="false" customHeight="true" outlineLevel="0" collapsed="false">
      <c r="A111" s="13" t="s">
        <v>1214</v>
      </c>
      <c r="B111" s="4" t="s">
        <v>1303</v>
      </c>
      <c r="C111" s="6" t="s">
        <v>759</v>
      </c>
      <c r="D111" s="15" t="s">
        <v>431</v>
      </c>
      <c r="E111" s="4" t="str">
        <f aca="false">IFERROR(INDEX(연결!$C$5:$C$35,MATCH(D111,연결!$A$5:$A$35,0)),"")</f>
        <v>CHG BC 변경관리 → RA 리스크평가</v>
      </c>
      <c r="F111" s="27" t="str">
        <f aca="false">IFERROR(INDEX(연결!$G$5:$G$35,MATCH(D111,연결!$A$5:$A$35,0)),"")</f>
        <v>수행을 촉발한다</v>
      </c>
      <c r="G111" s="27" t="s">
        <v>85</v>
      </c>
      <c r="H111" s="12" t="s">
        <v>1515</v>
      </c>
      <c r="I111" s="27" t="str">
        <f aca="false">IFERROR(INDEX(연결!$H$5:$H$35,MATCH(D111,연결!$A$5:$A$35,0)),"")</f>
        <v>E1</v>
      </c>
      <c r="J111" s="27"/>
      <c r="K111" s="15" t="s">
        <v>1516</v>
      </c>
      <c r="L111" s="6" t="s">
        <v>1306</v>
      </c>
      <c r="M111" s="20"/>
      <c r="N111" s="20"/>
      <c r="O111" s="20"/>
      <c r="P111" s="20"/>
      <c r="Q111" s="20"/>
      <c r="R111" s="20"/>
      <c r="S111" s="35" t="str">
        <f aca="false">IFERROR(COUNTIF(M111:R111,"&gt;=3")/COUNT(M111:R111),"")</f>
        <v/>
      </c>
      <c r="T111" s="27" t="str">
        <f aca="false">IF(S111="","",IF(S111&gt;=검증!$B$4,"채택","수정·토론"))</f>
        <v/>
      </c>
      <c r="U111" s="27" t="str">
        <f aca="false">IF(COUNTIF($A$5:$A$183,A111)&lt;&gt;1,"ID 중복",IF(B111="C 연결",IF(COUNTIF(연결!$A$5:$A$35,D111)=1,"OK","연결 없음"),"OK"))</f>
        <v>OK</v>
      </c>
    </row>
    <row r="112" customFormat="false" ht="33.75" hidden="false" customHeight="true" outlineLevel="0" collapsed="false">
      <c r="A112" s="13" t="s">
        <v>1215</v>
      </c>
      <c r="B112" s="4" t="s">
        <v>1303</v>
      </c>
      <c r="C112" s="6" t="s">
        <v>759</v>
      </c>
      <c r="D112" s="15" t="s">
        <v>431</v>
      </c>
      <c r="E112" s="4" t="str">
        <f aca="false">IFERROR(INDEX(연결!$C$5:$C$35,MATCH(D112,연결!$A$5:$A$35,0)),"")</f>
        <v>CHG BC 변경관리 → RA 리스크평가</v>
      </c>
      <c r="F112" s="27" t="str">
        <f aca="false">IFERROR(INDEX(연결!$G$5:$G$35,MATCH(D112,연결!$A$5:$A$35,0)),"")</f>
        <v>수행을 촉발한다</v>
      </c>
      <c r="G112" s="27" t="s">
        <v>90</v>
      </c>
      <c r="H112" s="12" t="s">
        <v>1517</v>
      </c>
      <c r="I112" s="27" t="str">
        <f aca="false">IFERROR(INDEX(연결!$H$5:$H$35,MATCH(D112,연결!$A$5:$A$35,0)),"")</f>
        <v>E1</v>
      </c>
      <c r="J112" s="27"/>
      <c r="K112" s="15" t="s">
        <v>1518</v>
      </c>
      <c r="L112" s="6" t="s">
        <v>1306</v>
      </c>
      <c r="M112" s="20"/>
      <c r="N112" s="20"/>
      <c r="O112" s="20"/>
      <c r="P112" s="20"/>
      <c r="Q112" s="20"/>
      <c r="R112" s="20"/>
      <c r="S112" s="35" t="str">
        <f aca="false">IFERROR(COUNTIF(M112:R112,"&gt;=3")/COUNT(M112:R112),"")</f>
        <v/>
      </c>
      <c r="T112" s="27" t="str">
        <f aca="false">IF(S112="","",IF(S112&gt;=검증!$B$4,"채택","수정·토론"))</f>
        <v/>
      </c>
      <c r="U112" s="27" t="str">
        <f aca="false">IF(COUNTIF($A$5:$A$183,A112)&lt;&gt;1,"ID 중복",IF(B112="C 연결",IF(COUNTIF(연결!$A$5:$A$35,D112)=1,"OK","연결 없음"),"OK"))</f>
        <v>OK</v>
      </c>
    </row>
    <row r="113" customFormat="false" ht="33.75" hidden="false" customHeight="true" outlineLevel="0" collapsed="false">
      <c r="A113" s="13" t="s">
        <v>1216</v>
      </c>
      <c r="B113" s="4" t="s">
        <v>1303</v>
      </c>
      <c r="C113" s="6" t="s">
        <v>759</v>
      </c>
      <c r="D113" s="15" t="s">
        <v>431</v>
      </c>
      <c r="E113" s="4" t="str">
        <f aca="false">IFERROR(INDEX(연결!$C$5:$C$35,MATCH(D113,연결!$A$5:$A$35,0)),"")</f>
        <v>CHG BC 변경관리 → RA 리스크평가</v>
      </c>
      <c r="F113" s="27" t="str">
        <f aca="false">IFERROR(INDEX(연결!$G$5:$G$35,MATCH(D113,연결!$A$5:$A$35,0)),"")</f>
        <v>수행을 촉발한다</v>
      </c>
      <c r="G113" s="27" t="s">
        <v>95</v>
      </c>
      <c r="H113" s="12" t="s">
        <v>1519</v>
      </c>
      <c r="I113" s="27" t="str">
        <f aca="false">IFERROR(INDEX(연결!$H$5:$H$35,MATCH(D113,연결!$A$5:$A$35,0)),"")</f>
        <v>E1</v>
      </c>
      <c r="J113" s="27"/>
      <c r="K113" s="15" t="s">
        <v>1520</v>
      </c>
      <c r="L113" s="6" t="s">
        <v>1306</v>
      </c>
      <c r="M113" s="20"/>
      <c r="N113" s="20"/>
      <c r="O113" s="20"/>
      <c r="P113" s="20"/>
      <c r="Q113" s="20"/>
      <c r="R113" s="20"/>
      <c r="S113" s="35" t="str">
        <f aca="false">IFERROR(COUNTIF(M113:R113,"&gt;=3")/COUNT(M113:R113),"")</f>
        <v/>
      </c>
      <c r="T113" s="27" t="str">
        <f aca="false">IF(S113="","",IF(S113&gt;=검증!$B$4,"채택","수정·토론"))</f>
        <v/>
      </c>
      <c r="U113" s="27" t="str">
        <f aca="false">IF(COUNTIF($A$5:$A$183,A113)&lt;&gt;1,"ID 중복",IF(B113="C 연결",IF(COUNTIF(연결!$A$5:$A$35,D113)=1,"OK","연결 없음"),"OK"))</f>
        <v>OK</v>
      </c>
    </row>
    <row r="114" customFormat="false" ht="33.75" hidden="false" customHeight="true" outlineLevel="0" collapsed="false">
      <c r="A114" s="13" t="s">
        <v>1218</v>
      </c>
      <c r="B114" s="4" t="s">
        <v>1303</v>
      </c>
      <c r="C114" s="6" t="s">
        <v>759</v>
      </c>
      <c r="D114" s="15" t="s">
        <v>440</v>
      </c>
      <c r="E114" s="4" t="str">
        <f aca="false">IFERROR(INDEX(연결!$C$5:$C$35,MATCH(D114,연결!$A$5:$A$35,0)),"")</f>
        <v>CHG BC 변경관리 → DOC 문서화된 정보 통제</v>
      </c>
      <c r="F114" s="27" t="str">
        <f aca="false">IFERROR(INDEX(연결!$G$5:$G$35,MATCH(D114,연결!$A$5:$A$35,0)),"")</f>
        <v>개정·갱신한다</v>
      </c>
      <c r="G114" s="27" t="s">
        <v>75</v>
      </c>
      <c r="H114" s="12" t="s">
        <v>1521</v>
      </c>
      <c r="I114" s="27" t="str">
        <f aca="false">IFERROR(INDEX(연결!$H$5:$H$35,MATCH(D114,연결!$A$5:$A$35,0)),"")</f>
        <v>E1</v>
      </c>
      <c r="J114" s="27"/>
      <c r="K114" s="15" t="s">
        <v>1522</v>
      </c>
      <c r="L114" s="6" t="s">
        <v>1306</v>
      </c>
      <c r="M114" s="20"/>
      <c r="N114" s="20"/>
      <c r="O114" s="20"/>
      <c r="P114" s="20"/>
      <c r="Q114" s="20"/>
      <c r="R114" s="20"/>
      <c r="S114" s="35" t="str">
        <f aca="false">IFERROR(COUNTIF(M114:R114,"&gt;=3")/COUNT(M114:R114),"")</f>
        <v/>
      </c>
      <c r="T114" s="27" t="str">
        <f aca="false">IF(S114="","",IF(S114&gt;=검증!$B$4,"채택","수정·토론"))</f>
        <v/>
      </c>
      <c r="U114" s="27" t="str">
        <f aca="false">IF(COUNTIF($A$5:$A$183,A114)&lt;&gt;1,"ID 중복",IF(B114="C 연결",IF(COUNTIF(연결!$A$5:$A$35,D114)=1,"OK","연결 없음"),"OK"))</f>
        <v>OK</v>
      </c>
    </row>
    <row r="115" customFormat="false" ht="33.75" hidden="false" customHeight="true" outlineLevel="0" collapsed="false">
      <c r="A115" s="13" t="s">
        <v>1219</v>
      </c>
      <c r="B115" s="4" t="s">
        <v>1303</v>
      </c>
      <c r="C115" s="6" t="s">
        <v>759</v>
      </c>
      <c r="D115" s="15" t="s">
        <v>440</v>
      </c>
      <c r="E115" s="4" t="str">
        <f aca="false">IFERROR(INDEX(연결!$C$5:$C$35,MATCH(D115,연결!$A$5:$A$35,0)),"")</f>
        <v>CHG BC 변경관리 → DOC 문서화된 정보 통제</v>
      </c>
      <c r="F115" s="27" t="str">
        <f aca="false">IFERROR(INDEX(연결!$G$5:$G$35,MATCH(D115,연결!$A$5:$A$35,0)),"")</f>
        <v>개정·갱신한다</v>
      </c>
      <c r="G115" s="27" t="s">
        <v>81</v>
      </c>
      <c r="H115" s="12" t="s">
        <v>1523</v>
      </c>
      <c r="I115" s="27" t="str">
        <f aca="false">IFERROR(INDEX(연결!$H$5:$H$35,MATCH(D115,연결!$A$5:$A$35,0)),"")</f>
        <v>E1</v>
      </c>
      <c r="J115" s="27"/>
      <c r="K115" s="15" t="s">
        <v>1524</v>
      </c>
      <c r="L115" s="6" t="s">
        <v>1306</v>
      </c>
      <c r="M115" s="20"/>
      <c r="N115" s="20"/>
      <c r="O115" s="20"/>
      <c r="P115" s="20"/>
      <c r="Q115" s="20"/>
      <c r="R115" s="20"/>
      <c r="S115" s="35" t="str">
        <f aca="false">IFERROR(COUNTIF(M115:R115,"&gt;=3")/COUNT(M115:R115),"")</f>
        <v/>
      </c>
      <c r="T115" s="27" t="str">
        <f aca="false">IF(S115="","",IF(S115&gt;=검증!$B$4,"채택","수정·토론"))</f>
        <v/>
      </c>
      <c r="U115" s="27" t="str">
        <f aca="false">IF(COUNTIF($A$5:$A$183,A115)&lt;&gt;1,"ID 중복",IF(B115="C 연결",IF(COUNTIF(연결!$A$5:$A$35,D115)=1,"OK","연결 없음"),"OK"))</f>
        <v>OK</v>
      </c>
    </row>
    <row r="116" customFormat="false" ht="33.75" hidden="false" customHeight="true" outlineLevel="0" collapsed="false">
      <c r="A116" s="13" t="s">
        <v>1220</v>
      </c>
      <c r="B116" s="4" t="s">
        <v>1303</v>
      </c>
      <c r="C116" s="6" t="s">
        <v>759</v>
      </c>
      <c r="D116" s="15" t="s">
        <v>440</v>
      </c>
      <c r="E116" s="4" t="str">
        <f aca="false">IFERROR(INDEX(연결!$C$5:$C$35,MATCH(D116,연결!$A$5:$A$35,0)),"")</f>
        <v>CHG BC 변경관리 → DOC 문서화된 정보 통제</v>
      </c>
      <c r="F116" s="27" t="str">
        <f aca="false">IFERROR(INDEX(연결!$G$5:$G$35,MATCH(D116,연결!$A$5:$A$35,0)),"")</f>
        <v>개정·갱신한다</v>
      </c>
      <c r="G116" s="27" t="s">
        <v>85</v>
      </c>
      <c r="H116" s="12" t="s">
        <v>1525</v>
      </c>
      <c r="I116" s="27" t="str">
        <f aca="false">IFERROR(INDEX(연결!$H$5:$H$35,MATCH(D116,연결!$A$5:$A$35,0)),"")</f>
        <v>E1</v>
      </c>
      <c r="J116" s="27"/>
      <c r="K116" s="15" t="s">
        <v>1526</v>
      </c>
      <c r="L116" s="6" t="s">
        <v>1306</v>
      </c>
      <c r="M116" s="20"/>
      <c r="N116" s="20"/>
      <c r="O116" s="20"/>
      <c r="P116" s="20"/>
      <c r="Q116" s="20"/>
      <c r="R116" s="20"/>
      <c r="S116" s="35" t="str">
        <f aca="false">IFERROR(COUNTIF(M116:R116,"&gt;=3")/COUNT(M116:R116),"")</f>
        <v/>
      </c>
      <c r="T116" s="27" t="str">
        <f aca="false">IF(S116="","",IF(S116&gt;=검증!$B$4,"채택","수정·토론"))</f>
        <v/>
      </c>
      <c r="U116" s="27" t="str">
        <f aca="false">IF(COUNTIF($A$5:$A$183,A116)&lt;&gt;1,"ID 중복",IF(B116="C 연결",IF(COUNTIF(연결!$A$5:$A$35,D116)=1,"OK","연결 없음"),"OK"))</f>
        <v>OK</v>
      </c>
    </row>
    <row r="117" customFormat="false" ht="33.75" hidden="false" customHeight="true" outlineLevel="0" collapsed="false">
      <c r="A117" s="13" t="s">
        <v>1221</v>
      </c>
      <c r="B117" s="4" t="s">
        <v>1303</v>
      </c>
      <c r="C117" s="6" t="s">
        <v>759</v>
      </c>
      <c r="D117" s="15" t="s">
        <v>440</v>
      </c>
      <c r="E117" s="4" t="str">
        <f aca="false">IFERROR(INDEX(연결!$C$5:$C$35,MATCH(D117,연결!$A$5:$A$35,0)),"")</f>
        <v>CHG BC 변경관리 → DOC 문서화된 정보 통제</v>
      </c>
      <c r="F117" s="27" t="str">
        <f aca="false">IFERROR(INDEX(연결!$G$5:$G$35,MATCH(D117,연결!$A$5:$A$35,0)),"")</f>
        <v>개정·갱신한다</v>
      </c>
      <c r="G117" s="27" t="s">
        <v>90</v>
      </c>
      <c r="H117" s="12" t="s">
        <v>1527</v>
      </c>
      <c r="I117" s="27" t="str">
        <f aca="false">IFERROR(INDEX(연결!$H$5:$H$35,MATCH(D117,연결!$A$5:$A$35,0)),"")</f>
        <v>E1</v>
      </c>
      <c r="J117" s="27"/>
      <c r="K117" s="15" t="s">
        <v>1528</v>
      </c>
      <c r="L117" s="6" t="s">
        <v>1306</v>
      </c>
      <c r="M117" s="20"/>
      <c r="N117" s="20"/>
      <c r="O117" s="20"/>
      <c r="P117" s="20"/>
      <c r="Q117" s="20"/>
      <c r="R117" s="20"/>
      <c r="S117" s="35" t="str">
        <f aca="false">IFERROR(COUNTIF(M117:R117,"&gt;=3")/COUNT(M117:R117),"")</f>
        <v/>
      </c>
      <c r="T117" s="27" t="str">
        <f aca="false">IF(S117="","",IF(S117&gt;=검증!$B$4,"채택","수정·토론"))</f>
        <v/>
      </c>
      <c r="U117" s="27" t="str">
        <f aca="false">IF(COUNTIF($A$5:$A$183,A117)&lt;&gt;1,"ID 중복",IF(B117="C 연결",IF(COUNTIF(연결!$A$5:$A$35,D117)=1,"OK","연결 없음"),"OK"))</f>
        <v>OK</v>
      </c>
    </row>
    <row r="118" customFormat="false" ht="33.75" hidden="false" customHeight="true" outlineLevel="0" collapsed="false">
      <c r="A118" s="13" t="s">
        <v>1222</v>
      </c>
      <c r="B118" s="4" t="s">
        <v>1303</v>
      </c>
      <c r="C118" s="6" t="s">
        <v>759</v>
      </c>
      <c r="D118" s="15" t="s">
        <v>440</v>
      </c>
      <c r="E118" s="4" t="str">
        <f aca="false">IFERROR(INDEX(연결!$C$5:$C$35,MATCH(D118,연결!$A$5:$A$35,0)),"")</f>
        <v>CHG BC 변경관리 → DOC 문서화된 정보 통제</v>
      </c>
      <c r="F118" s="27" t="str">
        <f aca="false">IFERROR(INDEX(연결!$G$5:$G$35,MATCH(D118,연결!$A$5:$A$35,0)),"")</f>
        <v>개정·갱신한다</v>
      </c>
      <c r="G118" s="27" t="s">
        <v>95</v>
      </c>
      <c r="H118" s="12" t="s">
        <v>1529</v>
      </c>
      <c r="I118" s="27" t="str">
        <f aca="false">IFERROR(INDEX(연결!$H$5:$H$35,MATCH(D118,연결!$A$5:$A$35,0)),"")</f>
        <v>E1</v>
      </c>
      <c r="J118" s="27"/>
      <c r="K118" s="15" t="s">
        <v>1530</v>
      </c>
      <c r="L118" s="6" t="s">
        <v>1306</v>
      </c>
      <c r="M118" s="20"/>
      <c r="N118" s="20"/>
      <c r="O118" s="20"/>
      <c r="P118" s="20"/>
      <c r="Q118" s="20"/>
      <c r="R118" s="20"/>
      <c r="S118" s="35" t="str">
        <f aca="false">IFERROR(COUNTIF(M118:R118,"&gt;=3")/COUNT(M118:R118),"")</f>
        <v/>
      </c>
      <c r="T118" s="27" t="str">
        <f aca="false">IF(S118="","",IF(S118&gt;=검증!$B$4,"채택","수정·토론"))</f>
        <v/>
      </c>
      <c r="U118" s="27" t="str">
        <f aca="false">IF(COUNTIF($A$5:$A$183,A118)&lt;&gt;1,"ID 중복",IF(B118="C 연결",IF(COUNTIF(연결!$A$5:$A$35,D118)=1,"OK","연결 없음"),"OK"))</f>
        <v>OK</v>
      </c>
    </row>
    <row r="119" customFormat="false" ht="33.75" hidden="false" customHeight="true" outlineLevel="0" collapsed="false">
      <c r="A119" s="13" t="s">
        <v>1224</v>
      </c>
      <c r="B119" s="4" t="s">
        <v>1303</v>
      </c>
      <c r="C119" s="6" t="s">
        <v>759</v>
      </c>
      <c r="D119" s="15" t="s">
        <v>782</v>
      </c>
      <c r="E119" s="4" t="str">
        <f aca="false">IFERROR(INDEX(연결!$C$5:$C$35,MATCH(D119,연결!$A$5:$A$35,0)),"")</f>
        <v>INC 사고·비상 대응 → CHG BC 변경관리</v>
      </c>
      <c r="F119" s="27" t="str">
        <f aca="false">IFERROR(INDEX(연결!$G$5:$G$35,MATCH(D119,연결!$A$5:$A$35,0)),"")</f>
        <v>수행을 촉발한다</v>
      </c>
      <c r="G119" s="27" t="s">
        <v>75</v>
      </c>
      <c r="H119" s="12" t="s">
        <v>1531</v>
      </c>
      <c r="I119" s="27" t="str">
        <f aca="false">IFERROR(INDEX(연결!$H$5:$H$35,MATCH(D119,연결!$A$5:$A$35,0)),"")</f>
        <v>E1</v>
      </c>
      <c r="J119" s="27"/>
      <c r="K119" s="15" t="s">
        <v>1532</v>
      </c>
      <c r="L119" s="6" t="s">
        <v>1306</v>
      </c>
      <c r="M119" s="20"/>
      <c r="N119" s="20"/>
      <c r="O119" s="20"/>
      <c r="P119" s="20"/>
      <c r="Q119" s="20"/>
      <c r="R119" s="20"/>
      <c r="S119" s="35" t="str">
        <f aca="false">IFERROR(COUNTIF(M119:R119,"&gt;=3")/COUNT(M119:R119),"")</f>
        <v/>
      </c>
      <c r="T119" s="27" t="str">
        <f aca="false">IF(S119="","",IF(S119&gt;=검증!$B$4,"채택","수정·토론"))</f>
        <v/>
      </c>
      <c r="U119" s="27" t="str">
        <f aca="false">IF(COUNTIF($A$5:$A$183,A119)&lt;&gt;1,"ID 중복",IF(B119="C 연결",IF(COUNTIF(연결!$A$5:$A$35,D119)=1,"OK","연결 없음"),"OK"))</f>
        <v>OK</v>
      </c>
    </row>
    <row r="120" customFormat="false" ht="33.75" hidden="false" customHeight="true" outlineLevel="0" collapsed="false">
      <c r="A120" s="13" t="s">
        <v>1225</v>
      </c>
      <c r="B120" s="4" t="s">
        <v>1303</v>
      </c>
      <c r="C120" s="6" t="s">
        <v>759</v>
      </c>
      <c r="D120" s="15" t="s">
        <v>782</v>
      </c>
      <c r="E120" s="4" t="str">
        <f aca="false">IFERROR(INDEX(연결!$C$5:$C$35,MATCH(D120,연결!$A$5:$A$35,0)),"")</f>
        <v>INC 사고·비상 대응 → CHG BC 변경관리</v>
      </c>
      <c r="F120" s="27" t="str">
        <f aca="false">IFERROR(INDEX(연결!$G$5:$G$35,MATCH(D120,연결!$A$5:$A$35,0)),"")</f>
        <v>수행을 촉발한다</v>
      </c>
      <c r="G120" s="27" t="s">
        <v>81</v>
      </c>
      <c r="H120" s="12" t="s">
        <v>1533</v>
      </c>
      <c r="I120" s="27" t="str">
        <f aca="false">IFERROR(INDEX(연결!$H$5:$H$35,MATCH(D120,연결!$A$5:$A$35,0)),"")</f>
        <v>E1</v>
      </c>
      <c r="J120" s="27"/>
      <c r="K120" s="15" t="s">
        <v>1534</v>
      </c>
      <c r="L120" s="6" t="s">
        <v>1306</v>
      </c>
      <c r="M120" s="20"/>
      <c r="N120" s="20"/>
      <c r="O120" s="20"/>
      <c r="P120" s="20"/>
      <c r="Q120" s="20"/>
      <c r="R120" s="20"/>
      <c r="S120" s="35" t="str">
        <f aca="false">IFERROR(COUNTIF(M120:R120,"&gt;=3")/COUNT(M120:R120),"")</f>
        <v/>
      </c>
      <c r="T120" s="27" t="str">
        <f aca="false">IF(S120="","",IF(S120&gt;=검증!$B$4,"채택","수정·토론"))</f>
        <v/>
      </c>
      <c r="U120" s="27" t="str">
        <f aca="false">IF(COUNTIF($A$5:$A$183,A120)&lt;&gt;1,"ID 중복",IF(B120="C 연결",IF(COUNTIF(연결!$A$5:$A$35,D120)=1,"OK","연결 없음"),"OK"))</f>
        <v>OK</v>
      </c>
    </row>
    <row r="121" customFormat="false" ht="33.75" hidden="false" customHeight="true" outlineLevel="0" collapsed="false">
      <c r="A121" s="13" t="s">
        <v>1226</v>
      </c>
      <c r="B121" s="4" t="s">
        <v>1303</v>
      </c>
      <c r="C121" s="6" t="s">
        <v>759</v>
      </c>
      <c r="D121" s="15" t="s">
        <v>782</v>
      </c>
      <c r="E121" s="4" t="str">
        <f aca="false">IFERROR(INDEX(연결!$C$5:$C$35,MATCH(D121,연결!$A$5:$A$35,0)),"")</f>
        <v>INC 사고·비상 대응 → CHG BC 변경관리</v>
      </c>
      <c r="F121" s="27" t="str">
        <f aca="false">IFERROR(INDEX(연결!$G$5:$G$35,MATCH(D121,연결!$A$5:$A$35,0)),"")</f>
        <v>수행을 촉발한다</v>
      </c>
      <c r="G121" s="27" t="s">
        <v>85</v>
      </c>
      <c r="H121" s="12" t="s">
        <v>1535</v>
      </c>
      <c r="I121" s="27" t="str">
        <f aca="false">IFERROR(INDEX(연결!$H$5:$H$35,MATCH(D121,연결!$A$5:$A$35,0)),"")</f>
        <v>E1</v>
      </c>
      <c r="J121" s="27"/>
      <c r="K121" s="15" t="s">
        <v>1536</v>
      </c>
      <c r="L121" s="6" t="s">
        <v>1306</v>
      </c>
      <c r="M121" s="20"/>
      <c r="N121" s="20"/>
      <c r="O121" s="20"/>
      <c r="P121" s="20"/>
      <c r="Q121" s="20"/>
      <c r="R121" s="20"/>
      <c r="S121" s="35" t="str">
        <f aca="false">IFERROR(COUNTIF(M121:R121,"&gt;=3")/COUNT(M121:R121),"")</f>
        <v/>
      </c>
      <c r="T121" s="27" t="str">
        <f aca="false">IF(S121="","",IF(S121&gt;=검증!$B$4,"채택","수정·토론"))</f>
        <v/>
      </c>
      <c r="U121" s="27" t="str">
        <f aca="false">IF(COUNTIF($A$5:$A$183,A121)&lt;&gt;1,"ID 중복",IF(B121="C 연결",IF(COUNTIF(연결!$A$5:$A$35,D121)=1,"OK","연결 없음"),"OK"))</f>
        <v>OK</v>
      </c>
    </row>
    <row r="122" customFormat="false" ht="33.75" hidden="false" customHeight="true" outlineLevel="0" collapsed="false">
      <c r="A122" s="13" t="s">
        <v>1227</v>
      </c>
      <c r="B122" s="4" t="s">
        <v>1303</v>
      </c>
      <c r="C122" s="6" t="s">
        <v>759</v>
      </c>
      <c r="D122" s="15" t="s">
        <v>782</v>
      </c>
      <c r="E122" s="4" t="str">
        <f aca="false">IFERROR(INDEX(연결!$C$5:$C$35,MATCH(D122,연결!$A$5:$A$35,0)),"")</f>
        <v>INC 사고·비상 대응 → CHG BC 변경관리</v>
      </c>
      <c r="F122" s="27" t="str">
        <f aca="false">IFERROR(INDEX(연결!$G$5:$G$35,MATCH(D122,연결!$A$5:$A$35,0)),"")</f>
        <v>수행을 촉발한다</v>
      </c>
      <c r="G122" s="27" t="s">
        <v>90</v>
      </c>
      <c r="H122" s="12" t="s">
        <v>1537</v>
      </c>
      <c r="I122" s="27" t="str">
        <f aca="false">IFERROR(INDEX(연결!$H$5:$H$35,MATCH(D122,연결!$A$5:$A$35,0)),"")</f>
        <v>E1</v>
      </c>
      <c r="J122" s="27"/>
      <c r="K122" s="15" t="s">
        <v>1538</v>
      </c>
      <c r="L122" s="6" t="s">
        <v>1306</v>
      </c>
      <c r="M122" s="20"/>
      <c r="N122" s="20"/>
      <c r="O122" s="20"/>
      <c r="P122" s="20"/>
      <c r="Q122" s="20"/>
      <c r="R122" s="20"/>
      <c r="S122" s="35" t="str">
        <f aca="false">IFERROR(COUNTIF(M122:R122,"&gt;=3")/COUNT(M122:R122),"")</f>
        <v/>
      </c>
      <c r="T122" s="27" t="str">
        <f aca="false">IF(S122="","",IF(S122&gt;=검증!$B$4,"채택","수정·토론"))</f>
        <v/>
      </c>
      <c r="U122" s="27" t="str">
        <f aca="false">IF(COUNTIF($A$5:$A$183,A122)&lt;&gt;1,"ID 중복",IF(B122="C 연결",IF(COUNTIF(연결!$A$5:$A$35,D122)=1,"OK","연결 없음"),"OK"))</f>
        <v>OK</v>
      </c>
    </row>
    <row r="123" customFormat="false" ht="33.75" hidden="false" customHeight="true" outlineLevel="0" collapsed="false">
      <c r="A123" s="13" t="s">
        <v>1228</v>
      </c>
      <c r="B123" s="4" t="s">
        <v>1303</v>
      </c>
      <c r="C123" s="6" t="s">
        <v>759</v>
      </c>
      <c r="D123" s="15" t="s">
        <v>782</v>
      </c>
      <c r="E123" s="4" t="str">
        <f aca="false">IFERROR(INDEX(연결!$C$5:$C$35,MATCH(D123,연결!$A$5:$A$35,0)),"")</f>
        <v>INC 사고·비상 대응 → CHG BC 변경관리</v>
      </c>
      <c r="F123" s="27" t="str">
        <f aca="false">IFERROR(INDEX(연결!$G$5:$G$35,MATCH(D123,연결!$A$5:$A$35,0)),"")</f>
        <v>수행을 촉발한다</v>
      </c>
      <c r="G123" s="27" t="s">
        <v>95</v>
      </c>
      <c r="H123" s="12" t="s">
        <v>1539</v>
      </c>
      <c r="I123" s="27" t="str">
        <f aca="false">IFERROR(INDEX(연결!$H$5:$H$35,MATCH(D123,연결!$A$5:$A$35,0)),"")</f>
        <v>E1</v>
      </c>
      <c r="J123" s="27"/>
      <c r="K123" s="15" t="s">
        <v>194</v>
      </c>
      <c r="L123" s="6" t="s">
        <v>1306</v>
      </c>
      <c r="M123" s="20"/>
      <c r="N123" s="20"/>
      <c r="O123" s="20"/>
      <c r="P123" s="20"/>
      <c r="Q123" s="20"/>
      <c r="R123" s="20"/>
      <c r="S123" s="35" t="str">
        <f aca="false">IFERROR(COUNTIF(M123:R123,"&gt;=3")/COUNT(M123:R123),"")</f>
        <v/>
      </c>
      <c r="T123" s="27" t="str">
        <f aca="false">IF(S123="","",IF(S123&gt;=검증!$B$4,"채택","수정·토론"))</f>
        <v/>
      </c>
      <c r="U123" s="27" t="str">
        <f aca="false">IF(COUNTIF($A$5:$A$183,A123)&lt;&gt;1,"ID 중복",IF(B123="C 연결",IF(COUNTIF(연결!$A$5:$A$35,D123)=1,"OK","연결 없음"),"OK"))</f>
        <v>OK</v>
      </c>
    </row>
    <row r="124" customFormat="false" ht="33.75" hidden="false" customHeight="true" outlineLevel="0" collapsed="false">
      <c r="A124" s="13" t="s">
        <v>1229</v>
      </c>
      <c r="B124" s="4" t="s">
        <v>1303</v>
      </c>
      <c r="C124" s="6" t="s">
        <v>759</v>
      </c>
      <c r="D124" s="15" t="s">
        <v>782</v>
      </c>
      <c r="E124" s="4" t="str">
        <f aca="false">IFERROR(INDEX(연결!$C$5:$C$35,MATCH(D124,연결!$A$5:$A$35,0)),"")</f>
        <v>INC 사고·비상 대응 → CHG BC 변경관리</v>
      </c>
      <c r="F124" s="27" t="str">
        <f aca="false">IFERROR(INDEX(연결!$G$5:$G$35,MATCH(D124,연결!$A$5:$A$35,0)),"")</f>
        <v>수행을 촉발한다</v>
      </c>
      <c r="G124" s="27" t="s">
        <v>100</v>
      </c>
      <c r="H124" s="12" t="s">
        <v>1540</v>
      </c>
      <c r="I124" s="27" t="str">
        <f aca="false">IFERROR(INDEX(연결!$H$5:$H$35,MATCH(D124,연결!$A$5:$A$35,0)),"")</f>
        <v>E1</v>
      </c>
      <c r="J124" s="27"/>
      <c r="K124" s="15" t="s">
        <v>1541</v>
      </c>
      <c r="L124" s="6" t="s">
        <v>1306</v>
      </c>
      <c r="M124" s="20"/>
      <c r="N124" s="20"/>
      <c r="O124" s="20"/>
      <c r="P124" s="20"/>
      <c r="Q124" s="20"/>
      <c r="R124" s="20"/>
      <c r="S124" s="35" t="str">
        <f aca="false">IFERROR(COUNTIF(M124:R124,"&gt;=3")/COUNT(M124:R124),"")</f>
        <v/>
      </c>
      <c r="T124" s="27" t="str">
        <f aca="false">IF(S124="","",IF(S124&gt;=검증!$B$4,"채택","수정·토론"))</f>
        <v/>
      </c>
      <c r="U124" s="27" t="str">
        <f aca="false">IF(COUNTIF($A$5:$A$183,A124)&lt;&gt;1,"ID 중복",IF(B124="C 연결",IF(COUNTIF(연결!$A$5:$A$35,D124)=1,"OK","연결 없음"),"OK"))</f>
        <v>OK</v>
      </c>
    </row>
    <row r="125" customFormat="false" ht="33.75" hidden="false" customHeight="true" outlineLevel="0" collapsed="false">
      <c r="A125" s="13" t="s">
        <v>1231</v>
      </c>
      <c r="B125" s="4" t="s">
        <v>1303</v>
      </c>
      <c r="C125" s="6" t="s">
        <v>759</v>
      </c>
      <c r="D125" s="15" t="s">
        <v>786</v>
      </c>
      <c r="E125" s="4" t="str">
        <f aca="false">IFERROR(INDEX(연결!$C$5:$C$35,MATCH(D125,연결!$A$5:$A$35,0)),"")</f>
        <v>EXE BC 계획·절차 훈련·연습 → CHG BC 변경관리</v>
      </c>
      <c r="F125" s="27" t="str">
        <f aca="false">IFERROR(INDEX(연결!$G$5:$G$35,MATCH(D125,연결!$A$5:$A$35,0)),"")</f>
        <v>수행을 촉발한다</v>
      </c>
      <c r="G125" s="27" t="s">
        <v>75</v>
      </c>
      <c r="H125" s="12" t="s">
        <v>1542</v>
      </c>
      <c r="I125" s="27" t="str">
        <f aca="false">IFERROR(INDEX(연결!$H$5:$H$35,MATCH(D125,연결!$A$5:$A$35,0)),"")</f>
        <v>E1</v>
      </c>
      <c r="J125" s="27"/>
      <c r="K125" s="15" t="s">
        <v>1543</v>
      </c>
      <c r="L125" s="6" t="s">
        <v>1306</v>
      </c>
      <c r="M125" s="20"/>
      <c r="N125" s="20"/>
      <c r="O125" s="20"/>
      <c r="P125" s="20"/>
      <c r="Q125" s="20"/>
      <c r="R125" s="20"/>
      <c r="S125" s="35" t="str">
        <f aca="false">IFERROR(COUNTIF(M125:R125,"&gt;=3")/COUNT(M125:R125),"")</f>
        <v/>
      </c>
      <c r="T125" s="27" t="str">
        <f aca="false">IF(S125="","",IF(S125&gt;=검증!$B$4,"채택","수정·토론"))</f>
        <v/>
      </c>
      <c r="U125" s="27" t="str">
        <f aca="false">IF(COUNTIF($A$5:$A$183,A125)&lt;&gt;1,"ID 중복",IF(B125="C 연결",IF(COUNTIF(연결!$A$5:$A$35,D125)=1,"OK","연결 없음"),"OK"))</f>
        <v>OK</v>
      </c>
    </row>
    <row r="126" customFormat="false" ht="33.75" hidden="false" customHeight="true" outlineLevel="0" collapsed="false">
      <c r="A126" s="13" t="s">
        <v>1232</v>
      </c>
      <c r="B126" s="4" t="s">
        <v>1303</v>
      </c>
      <c r="C126" s="6" t="s">
        <v>759</v>
      </c>
      <c r="D126" s="15" t="s">
        <v>786</v>
      </c>
      <c r="E126" s="4" t="str">
        <f aca="false">IFERROR(INDEX(연결!$C$5:$C$35,MATCH(D126,연결!$A$5:$A$35,0)),"")</f>
        <v>EXE BC 계획·절차 훈련·연습 → CHG BC 변경관리</v>
      </c>
      <c r="F126" s="27" t="str">
        <f aca="false">IFERROR(INDEX(연결!$G$5:$G$35,MATCH(D126,연결!$A$5:$A$35,0)),"")</f>
        <v>수행을 촉발한다</v>
      </c>
      <c r="G126" s="27" t="s">
        <v>81</v>
      </c>
      <c r="H126" s="12" t="s">
        <v>1544</v>
      </c>
      <c r="I126" s="27" t="str">
        <f aca="false">IFERROR(INDEX(연결!$H$5:$H$35,MATCH(D126,연결!$A$5:$A$35,0)),"")</f>
        <v>E1</v>
      </c>
      <c r="J126" s="27"/>
      <c r="K126" s="15" t="s">
        <v>1545</v>
      </c>
      <c r="L126" s="6" t="s">
        <v>1306</v>
      </c>
      <c r="M126" s="20"/>
      <c r="N126" s="20"/>
      <c r="O126" s="20"/>
      <c r="P126" s="20"/>
      <c r="Q126" s="20"/>
      <c r="R126" s="20"/>
      <c r="S126" s="35" t="str">
        <f aca="false">IFERROR(COUNTIF(M126:R126,"&gt;=3")/COUNT(M126:R126),"")</f>
        <v/>
      </c>
      <c r="T126" s="27" t="str">
        <f aca="false">IF(S126="","",IF(S126&gt;=검증!$B$4,"채택","수정·토론"))</f>
        <v/>
      </c>
      <c r="U126" s="27" t="str">
        <f aca="false">IF(COUNTIF($A$5:$A$183,A126)&lt;&gt;1,"ID 중복",IF(B126="C 연결",IF(COUNTIF(연결!$A$5:$A$35,D126)=1,"OK","연결 없음"),"OK"))</f>
        <v>OK</v>
      </c>
    </row>
    <row r="127" customFormat="false" ht="33.75" hidden="false" customHeight="true" outlineLevel="0" collapsed="false">
      <c r="A127" s="13" t="s">
        <v>1233</v>
      </c>
      <c r="B127" s="4" t="s">
        <v>1303</v>
      </c>
      <c r="C127" s="6" t="s">
        <v>759</v>
      </c>
      <c r="D127" s="15" t="s">
        <v>786</v>
      </c>
      <c r="E127" s="4" t="str">
        <f aca="false">IFERROR(INDEX(연결!$C$5:$C$35,MATCH(D127,연결!$A$5:$A$35,0)),"")</f>
        <v>EXE BC 계획·절차 훈련·연습 → CHG BC 변경관리</v>
      </c>
      <c r="F127" s="27" t="str">
        <f aca="false">IFERROR(INDEX(연결!$G$5:$G$35,MATCH(D127,연결!$A$5:$A$35,0)),"")</f>
        <v>수행을 촉발한다</v>
      </c>
      <c r="G127" s="27" t="s">
        <v>85</v>
      </c>
      <c r="H127" s="12" t="s">
        <v>1546</v>
      </c>
      <c r="I127" s="27" t="str">
        <f aca="false">IFERROR(INDEX(연결!$H$5:$H$35,MATCH(D127,연결!$A$5:$A$35,0)),"")</f>
        <v>E1</v>
      </c>
      <c r="J127" s="27"/>
      <c r="K127" s="15" t="s">
        <v>1547</v>
      </c>
      <c r="L127" s="6" t="s">
        <v>1306</v>
      </c>
      <c r="M127" s="20"/>
      <c r="N127" s="20"/>
      <c r="O127" s="20"/>
      <c r="P127" s="20"/>
      <c r="Q127" s="20"/>
      <c r="R127" s="20"/>
      <c r="S127" s="35" t="str">
        <f aca="false">IFERROR(COUNTIF(M127:R127,"&gt;=3")/COUNT(M127:R127),"")</f>
        <v/>
      </c>
      <c r="T127" s="27" t="str">
        <f aca="false">IF(S127="","",IF(S127&gt;=검증!$B$4,"채택","수정·토론"))</f>
        <v/>
      </c>
      <c r="U127" s="27" t="str">
        <f aca="false">IF(COUNTIF($A$5:$A$183,A127)&lt;&gt;1,"ID 중복",IF(B127="C 연결",IF(COUNTIF(연결!$A$5:$A$35,D127)=1,"OK","연결 없음"),"OK"))</f>
        <v>OK</v>
      </c>
    </row>
    <row r="128" customFormat="false" ht="33.75" hidden="false" customHeight="true" outlineLevel="0" collapsed="false">
      <c r="A128" s="13" t="s">
        <v>1234</v>
      </c>
      <c r="B128" s="4" t="s">
        <v>1303</v>
      </c>
      <c r="C128" s="6" t="s">
        <v>759</v>
      </c>
      <c r="D128" s="15" t="s">
        <v>786</v>
      </c>
      <c r="E128" s="4" t="str">
        <f aca="false">IFERROR(INDEX(연결!$C$5:$C$35,MATCH(D128,연결!$A$5:$A$35,0)),"")</f>
        <v>EXE BC 계획·절차 훈련·연습 → CHG BC 변경관리</v>
      </c>
      <c r="F128" s="27" t="str">
        <f aca="false">IFERROR(INDEX(연결!$G$5:$G$35,MATCH(D128,연결!$A$5:$A$35,0)),"")</f>
        <v>수행을 촉발한다</v>
      </c>
      <c r="G128" s="27" t="s">
        <v>90</v>
      </c>
      <c r="H128" s="12" t="s">
        <v>1548</v>
      </c>
      <c r="I128" s="27" t="str">
        <f aca="false">IFERROR(INDEX(연결!$H$5:$H$35,MATCH(D128,연결!$A$5:$A$35,0)),"")</f>
        <v>E1</v>
      </c>
      <c r="J128" s="27"/>
      <c r="K128" s="15" t="s">
        <v>1549</v>
      </c>
      <c r="L128" s="6" t="s">
        <v>1306</v>
      </c>
      <c r="M128" s="20"/>
      <c r="N128" s="20"/>
      <c r="O128" s="20"/>
      <c r="P128" s="20"/>
      <c r="Q128" s="20"/>
      <c r="R128" s="20"/>
      <c r="S128" s="35" t="str">
        <f aca="false">IFERROR(COUNTIF(M128:R128,"&gt;=3")/COUNT(M128:R128),"")</f>
        <v/>
      </c>
      <c r="T128" s="27" t="str">
        <f aca="false">IF(S128="","",IF(S128&gt;=검증!$B$4,"채택","수정·토론"))</f>
        <v/>
      </c>
      <c r="U128" s="27" t="str">
        <f aca="false">IF(COUNTIF($A$5:$A$183,A128)&lt;&gt;1,"ID 중복",IF(B128="C 연결",IF(COUNTIF(연결!$A$5:$A$35,D128)=1,"OK","연결 없음"),"OK"))</f>
        <v>OK</v>
      </c>
    </row>
    <row r="129" customFormat="false" ht="33.75" hidden="false" customHeight="true" outlineLevel="0" collapsed="false">
      <c r="A129" s="13" t="s">
        <v>1235</v>
      </c>
      <c r="B129" s="4" t="s">
        <v>1303</v>
      </c>
      <c r="C129" s="6" t="s">
        <v>759</v>
      </c>
      <c r="D129" s="15" t="s">
        <v>786</v>
      </c>
      <c r="E129" s="4" t="str">
        <f aca="false">IFERROR(INDEX(연결!$C$5:$C$35,MATCH(D129,연결!$A$5:$A$35,0)),"")</f>
        <v>EXE BC 계획·절차 훈련·연습 → CHG BC 변경관리</v>
      </c>
      <c r="F129" s="27" t="str">
        <f aca="false">IFERROR(INDEX(연결!$G$5:$G$35,MATCH(D129,연결!$A$5:$A$35,0)),"")</f>
        <v>수행을 촉발한다</v>
      </c>
      <c r="G129" s="27" t="s">
        <v>95</v>
      </c>
      <c r="H129" s="12" t="s">
        <v>1550</v>
      </c>
      <c r="I129" s="27" t="str">
        <f aca="false">IFERROR(INDEX(연결!$H$5:$H$35,MATCH(D129,연결!$A$5:$A$35,0)),"")</f>
        <v>E1</v>
      </c>
      <c r="J129" s="27"/>
      <c r="K129" s="15" t="s">
        <v>1551</v>
      </c>
      <c r="L129" s="6" t="s">
        <v>1306</v>
      </c>
      <c r="M129" s="20"/>
      <c r="N129" s="20"/>
      <c r="O129" s="20"/>
      <c r="P129" s="20"/>
      <c r="Q129" s="20"/>
      <c r="R129" s="20"/>
      <c r="S129" s="35" t="str">
        <f aca="false">IFERROR(COUNTIF(M129:R129,"&gt;=3")/COUNT(M129:R129),"")</f>
        <v/>
      </c>
      <c r="T129" s="27" t="str">
        <f aca="false">IF(S129="","",IF(S129&gt;=검증!$B$4,"채택","수정·토론"))</f>
        <v/>
      </c>
      <c r="U129" s="27" t="str">
        <f aca="false">IF(COUNTIF($A$5:$A$183,A129)&lt;&gt;1,"ID 중복",IF(B129="C 연결",IF(COUNTIF(연결!$A$5:$A$35,D129)=1,"OK","연결 없음"),"OK"))</f>
        <v>OK</v>
      </c>
    </row>
    <row r="130" customFormat="false" ht="33.75" hidden="false" customHeight="true" outlineLevel="0" collapsed="false">
      <c r="A130" s="13" t="s">
        <v>1236</v>
      </c>
      <c r="B130" s="4" t="s">
        <v>1303</v>
      </c>
      <c r="C130" s="6" t="s">
        <v>759</v>
      </c>
      <c r="D130" s="15" t="s">
        <v>786</v>
      </c>
      <c r="E130" s="4" t="str">
        <f aca="false">IFERROR(INDEX(연결!$C$5:$C$35,MATCH(D130,연결!$A$5:$A$35,0)),"")</f>
        <v>EXE BC 계획·절차 훈련·연습 → CHG BC 변경관리</v>
      </c>
      <c r="F130" s="27" t="str">
        <f aca="false">IFERROR(INDEX(연결!$G$5:$G$35,MATCH(D130,연결!$A$5:$A$35,0)),"")</f>
        <v>수행을 촉발한다</v>
      </c>
      <c r="G130" s="27" t="s">
        <v>100</v>
      </c>
      <c r="H130" s="12" t="s">
        <v>1552</v>
      </c>
      <c r="I130" s="27" t="str">
        <f aca="false">IFERROR(INDEX(연결!$H$5:$H$35,MATCH(D130,연결!$A$5:$A$35,0)),"")</f>
        <v>E1</v>
      </c>
      <c r="J130" s="27"/>
      <c r="K130" s="15" t="s">
        <v>221</v>
      </c>
      <c r="L130" s="6" t="s">
        <v>1306</v>
      </c>
      <c r="M130" s="20"/>
      <c r="N130" s="20"/>
      <c r="O130" s="20"/>
      <c r="P130" s="20"/>
      <c r="Q130" s="20"/>
      <c r="R130" s="20"/>
      <c r="S130" s="35" t="str">
        <f aca="false">IFERROR(COUNTIF(M130:R130,"&gt;=3")/COUNT(M130:R130),"")</f>
        <v/>
      </c>
      <c r="T130" s="27" t="str">
        <f aca="false">IF(S130="","",IF(S130&gt;=검증!$B$4,"채택","수정·토론"))</f>
        <v/>
      </c>
      <c r="U130" s="27" t="str">
        <f aca="false">IF(COUNTIF($A$5:$A$183,A130)&lt;&gt;1,"ID 중복",IF(B130="C 연결",IF(COUNTIF(연결!$A$5:$A$35,D130)=1,"OK","연결 없음"),"OK"))</f>
        <v>OK</v>
      </c>
    </row>
    <row r="131" customFormat="false" ht="33.75" hidden="false" customHeight="true" outlineLevel="0" collapsed="false">
      <c r="A131" s="13" t="s">
        <v>1238</v>
      </c>
      <c r="B131" s="4" t="s">
        <v>1303</v>
      </c>
      <c r="C131" s="6" t="s">
        <v>759</v>
      </c>
      <c r="D131" s="15" t="s">
        <v>790</v>
      </c>
      <c r="E131" s="4" t="str">
        <f aca="false">IFERROR(INDEX(연결!$C$5:$C$35,MATCH(D131,연결!$A$5:$A$35,0)),"")</f>
        <v>CHG BC 변경관리 → INC 사고·비상 대응</v>
      </c>
      <c r="F131" s="27" t="str">
        <f aca="false">IFERROR(INDEX(연결!$G$5:$G$35,MATCH(D131,연결!$A$5:$A$35,0)),"")</f>
        <v>환류된다</v>
      </c>
      <c r="G131" s="27" t="s">
        <v>75</v>
      </c>
      <c r="H131" s="12" t="s">
        <v>1553</v>
      </c>
      <c r="I131" s="27" t="str">
        <f aca="false">IFERROR(INDEX(연결!$H$5:$H$35,MATCH(D131,연결!$A$5:$A$35,0)),"")</f>
        <v>E1</v>
      </c>
      <c r="J131" s="27"/>
      <c r="K131" s="15" t="s">
        <v>1554</v>
      </c>
      <c r="L131" s="6" t="s">
        <v>1306</v>
      </c>
      <c r="M131" s="20"/>
      <c r="N131" s="20"/>
      <c r="O131" s="20"/>
      <c r="P131" s="20"/>
      <c r="Q131" s="20"/>
      <c r="R131" s="20"/>
      <c r="S131" s="35" t="str">
        <f aca="false">IFERROR(COUNTIF(M131:R131,"&gt;=3")/COUNT(M131:R131),"")</f>
        <v/>
      </c>
      <c r="T131" s="27" t="str">
        <f aca="false">IF(S131="","",IF(S131&gt;=검증!$B$4,"채택","수정·토론"))</f>
        <v/>
      </c>
      <c r="U131" s="27" t="str">
        <f aca="false">IF(COUNTIF($A$5:$A$183,A131)&lt;&gt;1,"ID 중복",IF(B131="C 연결",IF(COUNTIF(연결!$A$5:$A$35,D131)=1,"OK","연결 없음"),"OK"))</f>
        <v>OK</v>
      </c>
    </row>
    <row r="132" customFormat="false" ht="33.75" hidden="false" customHeight="true" outlineLevel="0" collapsed="false">
      <c r="A132" s="13" t="s">
        <v>1239</v>
      </c>
      <c r="B132" s="4" t="s">
        <v>1303</v>
      </c>
      <c r="C132" s="6" t="s">
        <v>759</v>
      </c>
      <c r="D132" s="15" t="s">
        <v>790</v>
      </c>
      <c r="E132" s="4" t="str">
        <f aca="false">IFERROR(INDEX(연결!$C$5:$C$35,MATCH(D132,연결!$A$5:$A$35,0)),"")</f>
        <v>CHG BC 변경관리 → INC 사고·비상 대응</v>
      </c>
      <c r="F132" s="27" t="str">
        <f aca="false">IFERROR(INDEX(연결!$G$5:$G$35,MATCH(D132,연결!$A$5:$A$35,0)),"")</f>
        <v>환류된다</v>
      </c>
      <c r="G132" s="27" t="s">
        <v>81</v>
      </c>
      <c r="H132" s="12" t="s">
        <v>1555</v>
      </c>
      <c r="I132" s="27" t="str">
        <f aca="false">IFERROR(INDEX(연결!$H$5:$H$35,MATCH(D132,연결!$A$5:$A$35,0)),"")</f>
        <v>E1</v>
      </c>
      <c r="J132" s="27"/>
      <c r="K132" s="15" t="s">
        <v>1556</v>
      </c>
      <c r="L132" s="6" t="s">
        <v>1306</v>
      </c>
      <c r="M132" s="20"/>
      <c r="N132" s="20"/>
      <c r="O132" s="20"/>
      <c r="P132" s="20"/>
      <c r="Q132" s="20"/>
      <c r="R132" s="20"/>
      <c r="S132" s="35" t="str">
        <f aca="false">IFERROR(COUNTIF(M132:R132,"&gt;=3")/COUNT(M132:R132),"")</f>
        <v/>
      </c>
      <c r="T132" s="27" t="str">
        <f aca="false">IF(S132="","",IF(S132&gt;=검증!$B$4,"채택","수정·토론"))</f>
        <v/>
      </c>
      <c r="U132" s="27" t="str">
        <f aca="false">IF(COUNTIF($A$5:$A$183,A132)&lt;&gt;1,"ID 중복",IF(B132="C 연결",IF(COUNTIF(연결!$A$5:$A$35,D132)=1,"OK","연결 없음"),"OK"))</f>
        <v>OK</v>
      </c>
    </row>
    <row r="133" customFormat="false" ht="33.75" hidden="false" customHeight="true" outlineLevel="0" collapsed="false">
      <c r="A133" s="13" t="s">
        <v>1240</v>
      </c>
      <c r="B133" s="4" t="s">
        <v>1303</v>
      </c>
      <c r="C133" s="6" t="s">
        <v>759</v>
      </c>
      <c r="D133" s="15" t="s">
        <v>790</v>
      </c>
      <c r="E133" s="4" t="str">
        <f aca="false">IFERROR(INDEX(연결!$C$5:$C$35,MATCH(D133,연결!$A$5:$A$35,0)),"")</f>
        <v>CHG BC 변경관리 → INC 사고·비상 대응</v>
      </c>
      <c r="F133" s="27" t="str">
        <f aca="false">IFERROR(INDEX(연결!$G$5:$G$35,MATCH(D133,연결!$A$5:$A$35,0)),"")</f>
        <v>환류된다</v>
      </c>
      <c r="G133" s="27" t="s">
        <v>85</v>
      </c>
      <c r="H133" s="12" t="s">
        <v>1557</v>
      </c>
      <c r="I133" s="27" t="str">
        <f aca="false">IFERROR(INDEX(연결!$H$5:$H$35,MATCH(D133,연결!$A$5:$A$35,0)),"")</f>
        <v>E1</v>
      </c>
      <c r="J133" s="27"/>
      <c r="K133" s="15" t="s">
        <v>1558</v>
      </c>
      <c r="L133" s="6" t="s">
        <v>1306</v>
      </c>
      <c r="M133" s="20"/>
      <c r="N133" s="20"/>
      <c r="O133" s="20"/>
      <c r="P133" s="20"/>
      <c r="Q133" s="20"/>
      <c r="R133" s="20"/>
      <c r="S133" s="35" t="str">
        <f aca="false">IFERROR(COUNTIF(M133:R133,"&gt;=3")/COUNT(M133:R133),"")</f>
        <v/>
      </c>
      <c r="T133" s="27" t="str">
        <f aca="false">IF(S133="","",IF(S133&gt;=검증!$B$4,"채택","수정·토론"))</f>
        <v/>
      </c>
      <c r="U133" s="27" t="str">
        <f aca="false">IF(COUNTIF($A$5:$A$183,A133)&lt;&gt;1,"ID 중복",IF(B133="C 연결",IF(COUNTIF(연결!$A$5:$A$35,D133)=1,"OK","연결 없음"),"OK"))</f>
        <v>OK</v>
      </c>
    </row>
    <row r="134" customFormat="false" ht="33.75" hidden="false" customHeight="true" outlineLevel="0" collapsed="false">
      <c r="A134" s="13" t="s">
        <v>1241</v>
      </c>
      <c r="B134" s="4" t="s">
        <v>1303</v>
      </c>
      <c r="C134" s="6" t="s">
        <v>759</v>
      </c>
      <c r="D134" s="15" t="s">
        <v>790</v>
      </c>
      <c r="E134" s="4" t="str">
        <f aca="false">IFERROR(INDEX(연결!$C$5:$C$35,MATCH(D134,연결!$A$5:$A$35,0)),"")</f>
        <v>CHG BC 변경관리 → INC 사고·비상 대응</v>
      </c>
      <c r="F134" s="27" t="str">
        <f aca="false">IFERROR(INDEX(연결!$G$5:$G$35,MATCH(D134,연결!$A$5:$A$35,0)),"")</f>
        <v>환류된다</v>
      </c>
      <c r="G134" s="27" t="s">
        <v>90</v>
      </c>
      <c r="H134" s="12" t="s">
        <v>1559</v>
      </c>
      <c r="I134" s="27" t="str">
        <f aca="false">IFERROR(INDEX(연결!$H$5:$H$35,MATCH(D134,연결!$A$5:$A$35,0)),"")</f>
        <v>E1</v>
      </c>
      <c r="J134" s="27"/>
      <c r="K134" s="15" t="s">
        <v>1560</v>
      </c>
      <c r="L134" s="6" t="s">
        <v>1306</v>
      </c>
      <c r="M134" s="20"/>
      <c r="N134" s="20"/>
      <c r="O134" s="20"/>
      <c r="P134" s="20"/>
      <c r="Q134" s="20"/>
      <c r="R134" s="20"/>
      <c r="S134" s="35" t="str">
        <f aca="false">IFERROR(COUNTIF(M134:R134,"&gt;=3")/COUNT(M134:R134),"")</f>
        <v/>
      </c>
      <c r="T134" s="27" t="str">
        <f aca="false">IF(S134="","",IF(S134&gt;=검증!$B$4,"채택","수정·토론"))</f>
        <v/>
      </c>
      <c r="U134" s="27" t="str">
        <f aca="false">IF(COUNTIF($A$5:$A$183,A134)&lt;&gt;1,"ID 중복",IF(B134="C 연결",IF(COUNTIF(연결!$A$5:$A$35,D134)=1,"OK","연결 없음"),"OK"))</f>
        <v>OK</v>
      </c>
    </row>
    <row r="135" customFormat="false" ht="33.75" hidden="false" customHeight="true" outlineLevel="0" collapsed="false">
      <c r="A135" s="13" t="s">
        <v>1242</v>
      </c>
      <c r="B135" s="4" t="s">
        <v>1303</v>
      </c>
      <c r="C135" s="6" t="s">
        <v>759</v>
      </c>
      <c r="D135" s="15" t="s">
        <v>790</v>
      </c>
      <c r="E135" s="4" t="str">
        <f aca="false">IFERROR(INDEX(연결!$C$5:$C$35,MATCH(D135,연결!$A$5:$A$35,0)),"")</f>
        <v>CHG BC 변경관리 → INC 사고·비상 대응</v>
      </c>
      <c r="F135" s="27" t="str">
        <f aca="false">IFERROR(INDEX(연결!$G$5:$G$35,MATCH(D135,연결!$A$5:$A$35,0)),"")</f>
        <v>환류된다</v>
      </c>
      <c r="G135" s="27" t="s">
        <v>95</v>
      </c>
      <c r="H135" s="12" t="s">
        <v>1561</v>
      </c>
      <c r="I135" s="27" t="str">
        <f aca="false">IFERROR(INDEX(연결!$H$5:$H$35,MATCH(D135,연결!$A$5:$A$35,0)),"")</f>
        <v>E1</v>
      </c>
      <c r="J135" s="27"/>
      <c r="K135" s="15" t="s">
        <v>1562</v>
      </c>
      <c r="L135" s="6" t="s">
        <v>1306</v>
      </c>
      <c r="M135" s="20"/>
      <c r="N135" s="20"/>
      <c r="O135" s="20"/>
      <c r="P135" s="20"/>
      <c r="Q135" s="20"/>
      <c r="R135" s="20"/>
      <c r="S135" s="35" t="str">
        <f aca="false">IFERROR(COUNTIF(M135:R135,"&gt;=3")/COUNT(M135:R135),"")</f>
        <v/>
      </c>
      <c r="T135" s="27" t="str">
        <f aca="false">IF(S135="","",IF(S135&gt;=검증!$B$4,"채택","수정·토론"))</f>
        <v/>
      </c>
      <c r="U135" s="27" t="str">
        <f aca="false">IF(COUNTIF($A$5:$A$183,A135)&lt;&gt;1,"ID 중복",IF(B135="C 연결",IF(COUNTIF(연결!$A$5:$A$35,D135)=1,"OK","연결 없음"),"OK"))</f>
        <v>OK</v>
      </c>
    </row>
    <row r="136" customFormat="false" ht="33.75" hidden="false" customHeight="true" outlineLevel="0" collapsed="false">
      <c r="A136" s="13" t="s">
        <v>1243</v>
      </c>
      <c r="B136" s="4" t="s">
        <v>1303</v>
      </c>
      <c r="C136" s="6" t="s">
        <v>759</v>
      </c>
      <c r="D136" s="15" t="s">
        <v>790</v>
      </c>
      <c r="E136" s="4" t="str">
        <f aca="false">IFERROR(INDEX(연결!$C$5:$C$35,MATCH(D136,연결!$A$5:$A$35,0)),"")</f>
        <v>CHG BC 변경관리 → INC 사고·비상 대응</v>
      </c>
      <c r="F136" s="27" t="str">
        <f aca="false">IFERROR(INDEX(연결!$G$5:$G$35,MATCH(D136,연결!$A$5:$A$35,0)),"")</f>
        <v>환류된다</v>
      </c>
      <c r="G136" s="27" t="s">
        <v>100</v>
      </c>
      <c r="H136" s="12" t="s">
        <v>1563</v>
      </c>
      <c r="I136" s="27" t="str">
        <f aca="false">IFERROR(INDEX(연결!$H$5:$H$35,MATCH(D136,연결!$A$5:$A$35,0)),"")</f>
        <v>E1</v>
      </c>
      <c r="J136" s="27"/>
      <c r="K136" s="15" t="s">
        <v>1564</v>
      </c>
      <c r="L136" s="6" t="s">
        <v>1306</v>
      </c>
      <c r="M136" s="20"/>
      <c r="N136" s="20"/>
      <c r="O136" s="20"/>
      <c r="P136" s="20"/>
      <c r="Q136" s="20"/>
      <c r="R136" s="20"/>
      <c r="S136" s="35" t="str">
        <f aca="false">IFERROR(COUNTIF(M136:R136,"&gt;=3")/COUNT(M136:R136),"")</f>
        <v/>
      </c>
      <c r="T136" s="27" t="str">
        <f aca="false">IF(S136="","",IF(S136&gt;=검증!$B$4,"채택","수정·토론"))</f>
        <v/>
      </c>
      <c r="U136" s="27" t="str">
        <f aca="false">IF(COUNTIF($A$5:$A$183,A136)&lt;&gt;1,"ID 중복",IF(B136="C 연결",IF(COUNTIF(연결!$A$5:$A$35,D136)=1,"OK","연결 없음"),"OK"))</f>
        <v>OK</v>
      </c>
    </row>
    <row r="137" customFormat="false" ht="33.75" hidden="false" customHeight="true" outlineLevel="0" collapsed="false">
      <c r="A137" s="13" t="s">
        <v>1245</v>
      </c>
      <c r="B137" s="4" t="s">
        <v>1303</v>
      </c>
      <c r="C137" s="6" t="s">
        <v>759</v>
      </c>
      <c r="D137" s="15" t="s">
        <v>794</v>
      </c>
      <c r="E137" s="4" t="str">
        <f aca="false">IFERROR(INDEX(연결!$C$5:$C$35,MATCH(D137,연결!$A$5:$A$35,0)),"")</f>
        <v>CHG BC 변경관리 → EXE BC 계획·절차 훈련·연습</v>
      </c>
      <c r="F137" s="27" t="str">
        <f aca="false">IFERROR(INDEX(연결!$G$5:$G$35,MATCH(D137,연결!$A$5:$A$35,0)),"")</f>
        <v>환류된다</v>
      </c>
      <c r="G137" s="27" t="s">
        <v>75</v>
      </c>
      <c r="H137" s="12" t="s">
        <v>1565</v>
      </c>
      <c r="I137" s="27" t="str">
        <f aca="false">IFERROR(INDEX(연결!$H$5:$H$35,MATCH(D137,연결!$A$5:$A$35,0)),"")</f>
        <v>E1</v>
      </c>
      <c r="J137" s="27"/>
      <c r="K137" s="15" t="s">
        <v>1566</v>
      </c>
      <c r="L137" s="6" t="s">
        <v>1306</v>
      </c>
      <c r="M137" s="20"/>
      <c r="N137" s="20"/>
      <c r="O137" s="20"/>
      <c r="P137" s="20"/>
      <c r="Q137" s="20"/>
      <c r="R137" s="20"/>
      <c r="S137" s="35" t="str">
        <f aca="false">IFERROR(COUNTIF(M137:R137,"&gt;=3")/COUNT(M137:R137),"")</f>
        <v/>
      </c>
      <c r="T137" s="27" t="str">
        <f aca="false">IF(S137="","",IF(S137&gt;=검증!$B$4,"채택","수정·토론"))</f>
        <v/>
      </c>
      <c r="U137" s="27" t="str">
        <f aca="false">IF(COUNTIF($A$5:$A$183,A137)&lt;&gt;1,"ID 중복",IF(B137="C 연결",IF(COUNTIF(연결!$A$5:$A$35,D137)=1,"OK","연결 없음"),"OK"))</f>
        <v>OK</v>
      </c>
    </row>
    <row r="138" customFormat="false" ht="33.75" hidden="false" customHeight="true" outlineLevel="0" collapsed="false">
      <c r="A138" s="13" t="s">
        <v>1246</v>
      </c>
      <c r="B138" s="4" t="s">
        <v>1303</v>
      </c>
      <c r="C138" s="6" t="s">
        <v>759</v>
      </c>
      <c r="D138" s="15" t="s">
        <v>794</v>
      </c>
      <c r="E138" s="4" t="str">
        <f aca="false">IFERROR(INDEX(연결!$C$5:$C$35,MATCH(D138,연결!$A$5:$A$35,0)),"")</f>
        <v>CHG BC 변경관리 → EXE BC 계획·절차 훈련·연습</v>
      </c>
      <c r="F138" s="27" t="str">
        <f aca="false">IFERROR(INDEX(연결!$G$5:$G$35,MATCH(D138,연결!$A$5:$A$35,0)),"")</f>
        <v>환류된다</v>
      </c>
      <c r="G138" s="27" t="s">
        <v>81</v>
      </c>
      <c r="H138" s="12" t="s">
        <v>1567</v>
      </c>
      <c r="I138" s="27" t="str">
        <f aca="false">IFERROR(INDEX(연결!$H$5:$H$35,MATCH(D138,연결!$A$5:$A$35,0)),"")</f>
        <v>E1</v>
      </c>
      <c r="J138" s="27"/>
      <c r="K138" s="15" t="s">
        <v>1568</v>
      </c>
      <c r="L138" s="6" t="s">
        <v>1306</v>
      </c>
      <c r="M138" s="20"/>
      <c r="N138" s="20"/>
      <c r="O138" s="20"/>
      <c r="P138" s="20"/>
      <c r="Q138" s="20"/>
      <c r="R138" s="20"/>
      <c r="S138" s="35" t="str">
        <f aca="false">IFERROR(COUNTIF(M138:R138,"&gt;=3")/COUNT(M138:R138),"")</f>
        <v/>
      </c>
      <c r="T138" s="27" t="str">
        <f aca="false">IF(S138="","",IF(S138&gt;=검증!$B$4,"채택","수정·토론"))</f>
        <v/>
      </c>
      <c r="U138" s="27" t="str">
        <f aca="false">IF(COUNTIF($A$5:$A$183,A138)&lt;&gt;1,"ID 중복",IF(B138="C 연결",IF(COUNTIF(연결!$A$5:$A$35,D138)=1,"OK","연결 없음"),"OK"))</f>
        <v>OK</v>
      </c>
    </row>
    <row r="139" customFormat="false" ht="33.75" hidden="false" customHeight="true" outlineLevel="0" collapsed="false">
      <c r="A139" s="13" t="s">
        <v>1247</v>
      </c>
      <c r="B139" s="4" t="s">
        <v>1303</v>
      </c>
      <c r="C139" s="6" t="s">
        <v>759</v>
      </c>
      <c r="D139" s="15" t="s">
        <v>794</v>
      </c>
      <c r="E139" s="4" t="str">
        <f aca="false">IFERROR(INDEX(연결!$C$5:$C$35,MATCH(D139,연결!$A$5:$A$35,0)),"")</f>
        <v>CHG BC 변경관리 → EXE BC 계획·절차 훈련·연습</v>
      </c>
      <c r="F139" s="27" t="str">
        <f aca="false">IFERROR(INDEX(연결!$G$5:$G$35,MATCH(D139,연결!$A$5:$A$35,0)),"")</f>
        <v>환류된다</v>
      </c>
      <c r="G139" s="27" t="s">
        <v>85</v>
      </c>
      <c r="H139" s="12" t="s">
        <v>1569</v>
      </c>
      <c r="I139" s="27" t="str">
        <f aca="false">IFERROR(INDEX(연결!$H$5:$H$35,MATCH(D139,연결!$A$5:$A$35,0)),"")</f>
        <v>E1</v>
      </c>
      <c r="J139" s="27"/>
      <c r="K139" s="15" t="s">
        <v>1570</v>
      </c>
      <c r="L139" s="6" t="s">
        <v>1306</v>
      </c>
      <c r="M139" s="20"/>
      <c r="N139" s="20"/>
      <c r="O139" s="20"/>
      <c r="P139" s="20"/>
      <c r="Q139" s="20"/>
      <c r="R139" s="20"/>
      <c r="S139" s="35" t="str">
        <f aca="false">IFERROR(COUNTIF(M139:R139,"&gt;=3")/COUNT(M139:R139),"")</f>
        <v/>
      </c>
      <c r="T139" s="27" t="str">
        <f aca="false">IF(S139="","",IF(S139&gt;=검증!$B$4,"채택","수정·토론"))</f>
        <v/>
      </c>
      <c r="U139" s="27" t="str">
        <f aca="false">IF(COUNTIF($A$5:$A$183,A139)&lt;&gt;1,"ID 중복",IF(B139="C 연결",IF(COUNTIF(연결!$A$5:$A$35,D139)=1,"OK","연결 없음"),"OK"))</f>
        <v>OK</v>
      </c>
    </row>
    <row r="140" customFormat="false" ht="33.75" hidden="false" customHeight="true" outlineLevel="0" collapsed="false">
      <c r="A140" s="13" t="s">
        <v>1248</v>
      </c>
      <c r="B140" s="4" t="s">
        <v>1303</v>
      </c>
      <c r="C140" s="6" t="s">
        <v>759</v>
      </c>
      <c r="D140" s="15" t="s">
        <v>794</v>
      </c>
      <c r="E140" s="4" t="str">
        <f aca="false">IFERROR(INDEX(연결!$C$5:$C$35,MATCH(D140,연결!$A$5:$A$35,0)),"")</f>
        <v>CHG BC 변경관리 → EXE BC 계획·절차 훈련·연습</v>
      </c>
      <c r="F140" s="27" t="str">
        <f aca="false">IFERROR(INDEX(연결!$G$5:$G$35,MATCH(D140,연결!$A$5:$A$35,0)),"")</f>
        <v>환류된다</v>
      </c>
      <c r="G140" s="27" t="s">
        <v>90</v>
      </c>
      <c r="H140" s="12" t="s">
        <v>1571</v>
      </c>
      <c r="I140" s="27" t="str">
        <f aca="false">IFERROR(INDEX(연결!$H$5:$H$35,MATCH(D140,연결!$A$5:$A$35,0)),"")</f>
        <v>E1</v>
      </c>
      <c r="J140" s="27"/>
      <c r="K140" s="15" t="s">
        <v>1572</v>
      </c>
      <c r="L140" s="6" t="s">
        <v>1306</v>
      </c>
      <c r="M140" s="20"/>
      <c r="N140" s="20"/>
      <c r="O140" s="20"/>
      <c r="P140" s="20"/>
      <c r="Q140" s="20"/>
      <c r="R140" s="20"/>
      <c r="S140" s="35" t="str">
        <f aca="false">IFERROR(COUNTIF(M140:R140,"&gt;=3")/COUNT(M140:R140),"")</f>
        <v/>
      </c>
      <c r="T140" s="27" t="str">
        <f aca="false">IF(S140="","",IF(S140&gt;=검증!$B$4,"채택","수정·토론"))</f>
        <v/>
      </c>
      <c r="U140" s="27" t="str">
        <f aca="false">IF(COUNTIF($A$5:$A$183,A140)&lt;&gt;1,"ID 중복",IF(B140="C 연결",IF(COUNTIF(연결!$A$5:$A$35,D140)=1,"OK","연결 없음"),"OK"))</f>
        <v>OK</v>
      </c>
    </row>
    <row r="141" customFormat="false" ht="33.75" hidden="false" customHeight="true" outlineLevel="0" collapsed="false">
      <c r="A141" s="13" t="s">
        <v>1249</v>
      </c>
      <c r="B141" s="4" t="s">
        <v>1303</v>
      </c>
      <c r="C141" s="6" t="s">
        <v>759</v>
      </c>
      <c r="D141" s="15" t="s">
        <v>794</v>
      </c>
      <c r="E141" s="4" t="str">
        <f aca="false">IFERROR(INDEX(연결!$C$5:$C$35,MATCH(D141,연결!$A$5:$A$35,0)),"")</f>
        <v>CHG BC 변경관리 → EXE BC 계획·절차 훈련·연습</v>
      </c>
      <c r="F141" s="27" t="str">
        <f aca="false">IFERROR(INDEX(연결!$G$5:$G$35,MATCH(D141,연결!$A$5:$A$35,0)),"")</f>
        <v>환류된다</v>
      </c>
      <c r="G141" s="27" t="s">
        <v>95</v>
      </c>
      <c r="H141" s="12" t="s">
        <v>1573</v>
      </c>
      <c r="I141" s="27" t="str">
        <f aca="false">IFERROR(INDEX(연결!$H$5:$H$35,MATCH(D141,연결!$A$5:$A$35,0)),"")</f>
        <v>E1</v>
      </c>
      <c r="J141" s="27"/>
      <c r="K141" s="15" t="s">
        <v>1574</v>
      </c>
      <c r="L141" s="6" t="s">
        <v>1306</v>
      </c>
      <c r="M141" s="20"/>
      <c r="N141" s="20"/>
      <c r="O141" s="20"/>
      <c r="P141" s="20"/>
      <c r="Q141" s="20"/>
      <c r="R141" s="20"/>
      <c r="S141" s="35" t="str">
        <f aca="false">IFERROR(COUNTIF(M141:R141,"&gt;=3")/COUNT(M141:R141),"")</f>
        <v/>
      </c>
      <c r="T141" s="27" t="str">
        <f aca="false">IF(S141="","",IF(S141&gt;=검증!$B$4,"채택","수정·토론"))</f>
        <v/>
      </c>
      <c r="U141" s="27" t="str">
        <f aca="false">IF(COUNTIF($A$5:$A$183,A141)&lt;&gt;1,"ID 중복",IF(B141="C 연결",IF(COUNTIF(연결!$A$5:$A$35,D141)=1,"OK","연결 없음"),"OK"))</f>
        <v>OK</v>
      </c>
    </row>
    <row r="142" customFormat="false" ht="33.75" hidden="false" customHeight="true" outlineLevel="0" collapsed="false">
      <c r="A142" s="13" t="s">
        <v>1250</v>
      </c>
      <c r="B142" s="4" t="s">
        <v>1303</v>
      </c>
      <c r="C142" s="6" t="s">
        <v>759</v>
      </c>
      <c r="D142" s="15" t="s">
        <v>794</v>
      </c>
      <c r="E142" s="4" t="str">
        <f aca="false">IFERROR(INDEX(연결!$C$5:$C$35,MATCH(D142,연결!$A$5:$A$35,0)),"")</f>
        <v>CHG BC 변경관리 → EXE BC 계획·절차 훈련·연습</v>
      </c>
      <c r="F142" s="27" t="str">
        <f aca="false">IFERROR(INDEX(연결!$G$5:$G$35,MATCH(D142,연결!$A$5:$A$35,0)),"")</f>
        <v>환류된다</v>
      </c>
      <c r="G142" s="27" t="s">
        <v>100</v>
      </c>
      <c r="H142" s="12" t="s">
        <v>1575</v>
      </c>
      <c r="I142" s="27" t="str">
        <f aca="false">IFERROR(INDEX(연결!$H$5:$H$35,MATCH(D142,연결!$A$5:$A$35,0)),"")</f>
        <v>E1</v>
      </c>
      <c r="J142" s="27"/>
      <c r="K142" s="15" t="s">
        <v>1576</v>
      </c>
      <c r="L142" s="6" t="s">
        <v>1306</v>
      </c>
      <c r="M142" s="20"/>
      <c r="N142" s="20"/>
      <c r="O142" s="20"/>
      <c r="P142" s="20"/>
      <c r="Q142" s="20"/>
      <c r="R142" s="20"/>
      <c r="S142" s="35" t="str">
        <f aca="false">IFERROR(COUNTIF(M142:R142,"&gt;=3")/COUNT(M142:R142),"")</f>
        <v/>
      </c>
      <c r="T142" s="27" t="str">
        <f aca="false">IF(S142="","",IF(S142&gt;=검증!$B$4,"채택","수정·토론"))</f>
        <v/>
      </c>
      <c r="U142" s="27" t="str">
        <f aca="false">IF(COUNTIF($A$5:$A$183,A142)&lt;&gt;1,"ID 중복",IF(B142="C 연결",IF(COUNTIF(연결!$A$5:$A$35,D142)=1,"OK","연결 없음"),"OK"))</f>
        <v>OK</v>
      </c>
    </row>
    <row r="143" customFormat="false" ht="33.75" hidden="false" customHeight="true" outlineLevel="0" collapsed="false">
      <c r="A143" s="13" t="s">
        <v>1252</v>
      </c>
      <c r="B143" s="4" t="s">
        <v>1303</v>
      </c>
      <c r="C143" s="6" t="s">
        <v>797</v>
      </c>
      <c r="D143" s="15" t="s">
        <v>449</v>
      </c>
      <c r="E143" s="4" t="str">
        <f aca="false">IFERROR(INDEX(연결!$C$5:$C$35,MATCH(D143,연결!$A$5:$A$35,0)),"")</f>
        <v>핵심 BCMS 프로세스 전반(집단) → COM 협의·커뮤니케이션</v>
      </c>
      <c r="F143" s="27" t="str">
        <f aca="false">IFERROR(INDEX(연결!$G$5:$G$35,MATCH(D143,연결!$A$5:$A$35,0)),"")</f>
        <v>전달된다</v>
      </c>
      <c r="G143" s="27" t="s">
        <v>75</v>
      </c>
      <c r="H143" s="12" t="s">
        <v>1577</v>
      </c>
      <c r="I143" s="27" t="str">
        <f aca="false">IFERROR(INDEX(연결!$H$5:$H$35,MATCH(D143,연결!$A$5:$A$35,0)),"")</f>
        <v>E1</v>
      </c>
      <c r="J143" s="27"/>
      <c r="K143" s="15" t="s">
        <v>1578</v>
      </c>
      <c r="L143" s="6" t="s">
        <v>1306</v>
      </c>
      <c r="M143" s="20"/>
      <c r="N143" s="20"/>
      <c r="O143" s="20"/>
      <c r="P143" s="20"/>
      <c r="Q143" s="20"/>
      <c r="R143" s="20"/>
      <c r="S143" s="35" t="str">
        <f aca="false">IFERROR(COUNTIF(M143:R143,"&gt;=3")/COUNT(M143:R143),"")</f>
        <v/>
      </c>
      <c r="T143" s="27" t="str">
        <f aca="false">IF(S143="","",IF(S143&gt;=검증!$B$4,"채택","수정·토론"))</f>
        <v/>
      </c>
      <c r="U143" s="27" t="str">
        <f aca="false">IF(COUNTIF($A$5:$A$183,A143)&lt;&gt;1,"ID 중복",IF(B143="C 연결",IF(COUNTIF(연결!$A$5:$A$35,D143)=1,"OK","연결 없음"),"OK"))</f>
        <v>OK</v>
      </c>
    </row>
    <row r="144" customFormat="false" ht="33.75" hidden="false" customHeight="true" outlineLevel="0" collapsed="false">
      <c r="A144" s="13" t="s">
        <v>1253</v>
      </c>
      <c r="B144" s="4" t="s">
        <v>1303</v>
      </c>
      <c r="C144" s="6" t="s">
        <v>797</v>
      </c>
      <c r="D144" s="15" t="s">
        <v>449</v>
      </c>
      <c r="E144" s="4" t="str">
        <f aca="false">IFERROR(INDEX(연결!$C$5:$C$35,MATCH(D144,연결!$A$5:$A$35,0)),"")</f>
        <v>핵심 BCMS 프로세스 전반(집단) → COM 협의·커뮤니케이션</v>
      </c>
      <c r="F144" s="27" t="str">
        <f aca="false">IFERROR(INDEX(연결!$G$5:$G$35,MATCH(D144,연결!$A$5:$A$35,0)),"")</f>
        <v>전달된다</v>
      </c>
      <c r="G144" s="27" t="s">
        <v>81</v>
      </c>
      <c r="H144" s="12" t="s">
        <v>1579</v>
      </c>
      <c r="I144" s="27" t="str">
        <f aca="false">IFERROR(INDEX(연결!$H$5:$H$35,MATCH(D144,연결!$A$5:$A$35,0)),"")</f>
        <v>E1</v>
      </c>
      <c r="J144" s="27"/>
      <c r="K144" s="15" t="s">
        <v>1580</v>
      </c>
      <c r="L144" s="6" t="s">
        <v>1306</v>
      </c>
      <c r="M144" s="20"/>
      <c r="N144" s="20"/>
      <c r="O144" s="20"/>
      <c r="P144" s="20"/>
      <c r="Q144" s="20"/>
      <c r="R144" s="20"/>
      <c r="S144" s="35" t="str">
        <f aca="false">IFERROR(COUNTIF(M144:R144,"&gt;=3")/COUNT(M144:R144),"")</f>
        <v/>
      </c>
      <c r="T144" s="27" t="str">
        <f aca="false">IF(S144="","",IF(S144&gt;=검증!$B$4,"채택","수정·토론"))</f>
        <v/>
      </c>
      <c r="U144" s="27" t="str">
        <f aca="false">IF(COUNTIF($A$5:$A$183,A144)&lt;&gt;1,"ID 중복",IF(B144="C 연결",IF(COUNTIF(연결!$A$5:$A$35,D144)=1,"OK","연결 없음"),"OK"))</f>
        <v>OK</v>
      </c>
    </row>
    <row r="145" customFormat="false" ht="33.75" hidden="false" customHeight="true" outlineLevel="0" collapsed="false">
      <c r="A145" s="13" t="s">
        <v>1254</v>
      </c>
      <c r="B145" s="4" t="s">
        <v>1303</v>
      </c>
      <c r="C145" s="6" t="s">
        <v>797</v>
      </c>
      <c r="D145" s="15" t="s">
        <v>449</v>
      </c>
      <c r="E145" s="4" t="str">
        <f aca="false">IFERROR(INDEX(연결!$C$5:$C$35,MATCH(D145,연결!$A$5:$A$35,0)),"")</f>
        <v>핵심 BCMS 프로세스 전반(집단) → COM 협의·커뮤니케이션</v>
      </c>
      <c r="F145" s="27" t="str">
        <f aca="false">IFERROR(INDEX(연결!$G$5:$G$35,MATCH(D145,연결!$A$5:$A$35,0)),"")</f>
        <v>전달된다</v>
      </c>
      <c r="G145" s="27" t="s">
        <v>85</v>
      </c>
      <c r="H145" s="12" t="s">
        <v>1581</v>
      </c>
      <c r="I145" s="27" t="str">
        <f aca="false">IFERROR(INDEX(연결!$H$5:$H$35,MATCH(D145,연결!$A$5:$A$35,0)),"")</f>
        <v>E1</v>
      </c>
      <c r="J145" s="27"/>
      <c r="K145" s="15" t="s">
        <v>1582</v>
      </c>
      <c r="L145" s="6" t="s">
        <v>1306</v>
      </c>
      <c r="M145" s="20"/>
      <c r="N145" s="20"/>
      <c r="O145" s="20"/>
      <c r="P145" s="20"/>
      <c r="Q145" s="20"/>
      <c r="R145" s="20"/>
      <c r="S145" s="35" t="str">
        <f aca="false">IFERROR(COUNTIF(M145:R145,"&gt;=3")/COUNT(M145:R145),"")</f>
        <v/>
      </c>
      <c r="T145" s="27" t="str">
        <f aca="false">IF(S145="","",IF(S145&gt;=검증!$B$4,"채택","수정·토론"))</f>
        <v/>
      </c>
      <c r="U145" s="27" t="str">
        <f aca="false">IF(COUNTIF($A$5:$A$183,A145)&lt;&gt;1,"ID 중복",IF(B145="C 연결",IF(COUNTIF(연결!$A$5:$A$35,D145)=1,"OK","연결 없음"),"OK"))</f>
        <v>OK</v>
      </c>
    </row>
    <row r="146" customFormat="false" ht="33.75" hidden="false" customHeight="true" outlineLevel="0" collapsed="false">
      <c r="A146" s="13" t="s">
        <v>1255</v>
      </c>
      <c r="B146" s="4" t="s">
        <v>1303</v>
      </c>
      <c r="C146" s="6" t="s">
        <v>797</v>
      </c>
      <c r="D146" s="15" t="s">
        <v>449</v>
      </c>
      <c r="E146" s="4" t="str">
        <f aca="false">IFERROR(INDEX(연결!$C$5:$C$35,MATCH(D146,연결!$A$5:$A$35,0)),"")</f>
        <v>핵심 BCMS 프로세스 전반(집단) → COM 협의·커뮤니케이션</v>
      </c>
      <c r="F146" s="27" t="str">
        <f aca="false">IFERROR(INDEX(연결!$G$5:$G$35,MATCH(D146,연결!$A$5:$A$35,0)),"")</f>
        <v>전달된다</v>
      </c>
      <c r="G146" s="27" t="s">
        <v>90</v>
      </c>
      <c r="H146" s="12" t="s">
        <v>1583</v>
      </c>
      <c r="I146" s="27" t="str">
        <f aca="false">IFERROR(INDEX(연결!$H$5:$H$35,MATCH(D146,연결!$A$5:$A$35,0)),"")</f>
        <v>E1</v>
      </c>
      <c r="J146" s="27"/>
      <c r="K146" s="15" t="s">
        <v>1584</v>
      </c>
      <c r="L146" s="6" t="s">
        <v>1306</v>
      </c>
      <c r="M146" s="20"/>
      <c r="N146" s="20"/>
      <c r="O146" s="20"/>
      <c r="P146" s="20"/>
      <c r="Q146" s="20"/>
      <c r="R146" s="20"/>
      <c r="S146" s="35" t="str">
        <f aca="false">IFERROR(COUNTIF(M146:R146,"&gt;=3")/COUNT(M146:R146),"")</f>
        <v/>
      </c>
      <c r="T146" s="27" t="str">
        <f aca="false">IF(S146="","",IF(S146&gt;=검증!$B$4,"채택","수정·토론"))</f>
        <v/>
      </c>
      <c r="U146" s="27" t="str">
        <f aca="false">IF(COUNTIF($A$5:$A$183,A146)&lt;&gt;1,"ID 중복",IF(B146="C 연결",IF(COUNTIF(연결!$A$5:$A$35,D146)=1,"OK","연결 없음"),"OK"))</f>
        <v>OK</v>
      </c>
    </row>
    <row r="147" customFormat="false" ht="33.75" hidden="false" customHeight="true" outlineLevel="0" collapsed="false">
      <c r="A147" s="13" t="s">
        <v>1256</v>
      </c>
      <c r="B147" s="4" t="s">
        <v>1303</v>
      </c>
      <c r="C147" s="6" t="s">
        <v>797</v>
      </c>
      <c r="D147" s="15" t="s">
        <v>449</v>
      </c>
      <c r="E147" s="4" t="str">
        <f aca="false">IFERROR(INDEX(연결!$C$5:$C$35,MATCH(D147,연결!$A$5:$A$35,0)),"")</f>
        <v>핵심 BCMS 프로세스 전반(집단) → COM 협의·커뮤니케이션</v>
      </c>
      <c r="F147" s="27" t="str">
        <f aca="false">IFERROR(INDEX(연결!$G$5:$G$35,MATCH(D147,연결!$A$5:$A$35,0)),"")</f>
        <v>전달된다</v>
      </c>
      <c r="G147" s="27" t="s">
        <v>95</v>
      </c>
      <c r="H147" s="12" t="s">
        <v>1585</v>
      </c>
      <c r="I147" s="27" t="str">
        <f aca="false">IFERROR(INDEX(연결!$H$5:$H$35,MATCH(D147,연결!$A$5:$A$35,0)),"")</f>
        <v>E1</v>
      </c>
      <c r="J147" s="27"/>
      <c r="K147" s="15" t="s">
        <v>1586</v>
      </c>
      <c r="L147" s="6" t="s">
        <v>1306</v>
      </c>
      <c r="M147" s="20"/>
      <c r="N147" s="20"/>
      <c r="O147" s="20"/>
      <c r="P147" s="20"/>
      <c r="Q147" s="20"/>
      <c r="R147" s="20"/>
      <c r="S147" s="35" t="str">
        <f aca="false">IFERROR(COUNTIF(M147:R147,"&gt;=3")/COUNT(M147:R147),"")</f>
        <v/>
      </c>
      <c r="T147" s="27" t="str">
        <f aca="false">IF(S147="","",IF(S147&gt;=검증!$B$4,"채택","수정·토론"))</f>
        <v/>
      </c>
      <c r="U147" s="27" t="str">
        <f aca="false">IF(COUNTIF($A$5:$A$183,A147)&lt;&gt;1,"ID 중복",IF(B147="C 연결",IF(COUNTIF(연결!$A$5:$A$35,D147)=1,"OK","연결 없음"),"OK"))</f>
        <v>OK</v>
      </c>
    </row>
    <row r="148" customFormat="false" ht="33.75" hidden="false" customHeight="true" outlineLevel="0" collapsed="false">
      <c r="A148" s="13" t="s">
        <v>1258</v>
      </c>
      <c r="B148" s="4" t="s">
        <v>1303</v>
      </c>
      <c r="C148" s="6" t="s">
        <v>797</v>
      </c>
      <c r="D148" s="15" t="s">
        <v>453</v>
      </c>
      <c r="E148" s="4" t="str">
        <f aca="false">IFERROR(INDEX(연결!$C$5:$C$35,MATCH(D148,연결!$A$5:$A$35,0)),"")</f>
        <v>COM 협의·커뮤니케이션 → GOV BC 거버넌스</v>
      </c>
      <c r="F148" s="27" t="str">
        <f aca="false">IFERROR(INDEX(연결!$G$5:$G$35,MATCH(D148,연결!$A$5:$A$35,0)),"")</f>
        <v>입력된다·활용된다</v>
      </c>
      <c r="G148" s="27" t="s">
        <v>75</v>
      </c>
      <c r="H148" s="12" t="s">
        <v>1587</v>
      </c>
      <c r="I148" s="27" t="str">
        <f aca="false">IFERROR(INDEX(연결!$H$5:$H$35,MATCH(D148,연결!$A$5:$A$35,0)),"")</f>
        <v>E1</v>
      </c>
      <c r="J148" s="27"/>
      <c r="K148" s="15" t="s">
        <v>1588</v>
      </c>
      <c r="L148" s="6" t="s">
        <v>1306</v>
      </c>
      <c r="M148" s="20"/>
      <c r="N148" s="20"/>
      <c r="O148" s="20"/>
      <c r="P148" s="20"/>
      <c r="Q148" s="20"/>
      <c r="R148" s="20"/>
      <c r="S148" s="35" t="str">
        <f aca="false">IFERROR(COUNTIF(M148:R148,"&gt;=3")/COUNT(M148:R148),"")</f>
        <v/>
      </c>
      <c r="T148" s="27" t="str">
        <f aca="false">IF(S148="","",IF(S148&gt;=검증!$B$4,"채택","수정·토론"))</f>
        <v/>
      </c>
      <c r="U148" s="27" t="str">
        <f aca="false">IF(COUNTIF($A$5:$A$183,A148)&lt;&gt;1,"ID 중복",IF(B148="C 연결",IF(COUNTIF(연결!$A$5:$A$35,D148)=1,"OK","연결 없음"),"OK"))</f>
        <v>OK</v>
      </c>
    </row>
    <row r="149" customFormat="false" ht="33.75" hidden="false" customHeight="true" outlineLevel="0" collapsed="false">
      <c r="A149" s="13" t="s">
        <v>1259</v>
      </c>
      <c r="B149" s="4" t="s">
        <v>1303</v>
      </c>
      <c r="C149" s="6" t="s">
        <v>797</v>
      </c>
      <c r="D149" s="15" t="s">
        <v>453</v>
      </c>
      <c r="E149" s="4" t="str">
        <f aca="false">IFERROR(INDEX(연결!$C$5:$C$35,MATCH(D149,연결!$A$5:$A$35,0)),"")</f>
        <v>COM 협의·커뮤니케이션 → GOV BC 거버넌스</v>
      </c>
      <c r="F149" s="27" t="str">
        <f aca="false">IFERROR(INDEX(연결!$G$5:$G$35,MATCH(D149,연결!$A$5:$A$35,0)),"")</f>
        <v>입력된다·활용된다</v>
      </c>
      <c r="G149" s="27" t="s">
        <v>81</v>
      </c>
      <c r="H149" s="12" t="s">
        <v>1589</v>
      </c>
      <c r="I149" s="27" t="str">
        <f aca="false">IFERROR(INDEX(연결!$H$5:$H$35,MATCH(D149,연결!$A$5:$A$35,0)),"")</f>
        <v>E1</v>
      </c>
      <c r="J149" s="27"/>
      <c r="K149" s="15" t="s">
        <v>1590</v>
      </c>
      <c r="L149" s="6" t="s">
        <v>1306</v>
      </c>
      <c r="M149" s="20"/>
      <c r="N149" s="20"/>
      <c r="O149" s="20"/>
      <c r="P149" s="20"/>
      <c r="Q149" s="20"/>
      <c r="R149" s="20"/>
      <c r="S149" s="35" t="str">
        <f aca="false">IFERROR(COUNTIF(M149:R149,"&gt;=3")/COUNT(M149:R149),"")</f>
        <v/>
      </c>
      <c r="T149" s="27" t="str">
        <f aca="false">IF(S149="","",IF(S149&gt;=검증!$B$4,"채택","수정·토론"))</f>
        <v/>
      </c>
      <c r="U149" s="27" t="str">
        <f aca="false">IF(COUNTIF($A$5:$A$183,A149)&lt;&gt;1,"ID 중복",IF(B149="C 연결",IF(COUNTIF(연결!$A$5:$A$35,D149)=1,"OK","연결 없음"),"OK"))</f>
        <v>OK</v>
      </c>
    </row>
    <row r="150" customFormat="false" ht="33.75" hidden="false" customHeight="true" outlineLevel="0" collapsed="false">
      <c r="A150" s="13" t="s">
        <v>1260</v>
      </c>
      <c r="B150" s="4" t="s">
        <v>1303</v>
      </c>
      <c r="C150" s="6" t="s">
        <v>797</v>
      </c>
      <c r="D150" s="15" t="s">
        <v>453</v>
      </c>
      <c r="E150" s="4" t="str">
        <f aca="false">IFERROR(INDEX(연결!$C$5:$C$35,MATCH(D150,연결!$A$5:$A$35,0)),"")</f>
        <v>COM 협의·커뮤니케이션 → GOV BC 거버넌스</v>
      </c>
      <c r="F150" s="27" t="str">
        <f aca="false">IFERROR(INDEX(연결!$G$5:$G$35,MATCH(D150,연결!$A$5:$A$35,0)),"")</f>
        <v>입력된다·활용된다</v>
      </c>
      <c r="G150" s="27" t="s">
        <v>85</v>
      </c>
      <c r="H150" s="12" t="s">
        <v>1591</v>
      </c>
      <c r="I150" s="27" t="str">
        <f aca="false">IFERROR(INDEX(연결!$H$5:$H$35,MATCH(D150,연결!$A$5:$A$35,0)),"")</f>
        <v>E1</v>
      </c>
      <c r="J150" s="27"/>
      <c r="K150" s="15" t="s">
        <v>1592</v>
      </c>
      <c r="L150" s="6" t="s">
        <v>1306</v>
      </c>
      <c r="M150" s="20"/>
      <c r="N150" s="20"/>
      <c r="O150" s="20"/>
      <c r="P150" s="20"/>
      <c r="Q150" s="20"/>
      <c r="R150" s="20"/>
      <c r="S150" s="35" t="str">
        <f aca="false">IFERROR(COUNTIF(M150:R150,"&gt;=3")/COUNT(M150:R150),"")</f>
        <v/>
      </c>
      <c r="T150" s="27" t="str">
        <f aca="false">IF(S150="","",IF(S150&gt;=검증!$B$4,"채택","수정·토론"))</f>
        <v/>
      </c>
      <c r="U150" s="27" t="str">
        <f aca="false">IF(COUNTIF($A$5:$A$183,A150)&lt;&gt;1,"ID 중복",IF(B150="C 연결",IF(COUNTIF(연결!$A$5:$A$35,D150)=1,"OK","연결 없음"),"OK"))</f>
        <v>OK</v>
      </c>
    </row>
    <row r="151" customFormat="false" ht="33.75" hidden="false" customHeight="true" outlineLevel="0" collapsed="false">
      <c r="A151" s="13" t="s">
        <v>1261</v>
      </c>
      <c r="B151" s="4" t="s">
        <v>1303</v>
      </c>
      <c r="C151" s="6" t="s">
        <v>797</v>
      </c>
      <c r="D151" s="15" t="s">
        <v>453</v>
      </c>
      <c r="E151" s="4" t="str">
        <f aca="false">IFERROR(INDEX(연결!$C$5:$C$35,MATCH(D151,연결!$A$5:$A$35,0)),"")</f>
        <v>COM 협의·커뮤니케이션 → GOV BC 거버넌스</v>
      </c>
      <c r="F151" s="27" t="str">
        <f aca="false">IFERROR(INDEX(연결!$G$5:$G$35,MATCH(D151,연결!$A$5:$A$35,0)),"")</f>
        <v>입력된다·활용된다</v>
      </c>
      <c r="G151" s="27" t="s">
        <v>90</v>
      </c>
      <c r="H151" s="12" t="s">
        <v>1593</v>
      </c>
      <c r="I151" s="27" t="str">
        <f aca="false">IFERROR(INDEX(연결!$H$5:$H$35,MATCH(D151,연결!$A$5:$A$35,0)),"")</f>
        <v>E1</v>
      </c>
      <c r="J151" s="27"/>
      <c r="K151" s="15" t="s">
        <v>1594</v>
      </c>
      <c r="L151" s="6" t="s">
        <v>1306</v>
      </c>
      <c r="M151" s="20"/>
      <c r="N151" s="20"/>
      <c r="O151" s="20"/>
      <c r="P151" s="20"/>
      <c r="Q151" s="20"/>
      <c r="R151" s="20"/>
      <c r="S151" s="35" t="str">
        <f aca="false">IFERROR(COUNTIF(M151:R151,"&gt;=3")/COUNT(M151:R151),"")</f>
        <v/>
      </c>
      <c r="T151" s="27" t="str">
        <f aca="false">IF(S151="","",IF(S151&gt;=검증!$B$4,"채택","수정·토론"))</f>
        <v/>
      </c>
      <c r="U151" s="27" t="str">
        <f aca="false">IF(COUNTIF($A$5:$A$183,A151)&lt;&gt;1,"ID 중복",IF(B151="C 연결",IF(COUNTIF(연결!$A$5:$A$35,D151)=1,"OK","연결 없음"),"OK"))</f>
        <v>OK</v>
      </c>
    </row>
    <row r="152" customFormat="false" ht="33.75" hidden="false" customHeight="true" outlineLevel="0" collapsed="false">
      <c r="A152" s="13" t="s">
        <v>1262</v>
      </c>
      <c r="B152" s="4" t="s">
        <v>1303</v>
      </c>
      <c r="C152" s="6" t="s">
        <v>797</v>
      </c>
      <c r="D152" s="15" t="s">
        <v>453</v>
      </c>
      <c r="E152" s="4" t="str">
        <f aca="false">IFERROR(INDEX(연결!$C$5:$C$35,MATCH(D152,연결!$A$5:$A$35,0)),"")</f>
        <v>COM 협의·커뮤니케이션 → GOV BC 거버넌스</v>
      </c>
      <c r="F152" s="27" t="str">
        <f aca="false">IFERROR(INDEX(연결!$G$5:$G$35,MATCH(D152,연결!$A$5:$A$35,0)),"")</f>
        <v>입력된다·활용된다</v>
      </c>
      <c r="G152" s="27" t="s">
        <v>95</v>
      </c>
      <c r="H152" s="12" t="s">
        <v>1595</v>
      </c>
      <c r="I152" s="27" t="str">
        <f aca="false">IFERROR(INDEX(연결!$H$5:$H$35,MATCH(D152,연결!$A$5:$A$35,0)),"")</f>
        <v>E1</v>
      </c>
      <c r="J152" s="27"/>
      <c r="K152" s="15" t="s">
        <v>1596</v>
      </c>
      <c r="L152" s="6" t="s">
        <v>1306</v>
      </c>
      <c r="M152" s="20"/>
      <c r="N152" s="20"/>
      <c r="O152" s="20"/>
      <c r="P152" s="20"/>
      <c r="Q152" s="20"/>
      <c r="R152" s="20"/>
      <c r="S152" s="35" t="str">
        <f aca="false">IFERROR(COUNTIF(M152:R152,"&gt;=3")/COUNT(M152:R152),"")</f>
        <v/>
      </c>
      <c r="T152" s="27" t="str">
        <f aca="false">IF(S152="","",IF(S152&gt;=검증!$B$4,"채택","수정·토론"))</f>
        <v/>
      </c>
      <c r="U152" s="27" t="str">
        <f aca="false">IF(COUNTIF($A$5:$A$183,A152)&lt;&gt;1,"ID 중복",IF(B152="C 연결",IF(COUNTIF(연결!$A$5:$A$35,D152)=1,"OK","연결 없음"),"OK"))</f>
        <v>OK</v>
      </c>
    </row>
    <row r="153" customFormat="false" ht="33.75" hidden="false" customHeight="true" outlineLevel="0" collapsed="false">
      <c r="A153" s="13" t="s">
        <v>1264</v>
      </c>
      <c r="B153" s="4" t="s">
        <v>1303</v>
      </c>
      <c r="C153" s="6" t="s">
        <v>797</v>
      </c>
      <c r="D153" s="15" t="s">
        <v>462</v>
      </c>
      <c r="E153" s="4" t="str">
        <f aca="false">IFERROR(INDEX(연결!$C$5:$C$35,MATCH(D153,연결!$A$5:$A$35,0)),"")</f>
        <v>GOV BC 거버넌스 → POL BC 정책관리</v>
      </c>
      <c r="F153" s="27" t="str">
        <f aca="false">IFERROR(INDEX(연결!$G$5:$G$35,MATCH(D153,연결!$A$5:$A$35,0)),"")</f>
        <v>도출·이행된다</v>
      </c>
      <c r="G153" s="27" t="s">
        <v>75</v>
      </c>
      <c r="H153" s="12" t="s">
        <v>1597</v>
      </c>
      <c r="I153" s="27" t="str">
        <f aca="false">IFERROR(INDEX(연결!$H$5:$H$35,MATCH(D153,연결!$A$5:$A$35,0)),"")</f>
        <v>E3</v>
      </c>
      <c r="J153" s="27"/>
      <c r="K153" s="15" t="s">
        <v>1598</v>
      </c>
      <c r="L153" s="6" t="s">
        <v>1306</v>
      </c>
      <c r="M153" s="20"/>
      <c r="N153" s="20"/>
      <c r="O153" s="20"/>
      <c r="P153" s="20"/>
      <c r="Q153" s="20"/>
      <c r="R153" s="20"/>
      <c r="S153" s="35" t="str">
        <f aca="false">IFERROR(COUNTIF(M153:R153,"&gt;=3")/COUNT(M153:R153),"")</f>
        <v/>
      </c>
      <c r="T153" s="27" t="str">
        <f aca="false">IF(S153="","",IF(S153&gt;=검증!$B$4,"채택","수정·토론"))</f>
        <v/>
      </c>
      <c r="U153" s="27" t="str">
        <f aca="false">IF(COUNTIF($A$5:$A$183,A153)&lt;&gt;1,"ID 중복",IF(B153="C 연결",IF(COUNTIF(연결!$A$5:$A$35,D153)=1,"OK","연결 없음"),"OK"))</f>
        <v>OK</v>
      </c>
    </row>
    <row r="154" customFormat="false" ht="33.75" hidden="false" customHeight="true" outlineLevel="0" collapsed="false">
      <c r="A154" s="13" t="s">
        <v>1265</v>
      </c>
      <c r="B154" s="4" t="s">
        <v>1303</v>
      </c>
      <c r="C154" s="6" t="s">
        <v>797</v>
      </c>
      <c r="D154" s="15" t="s">
        <v>462</v>
      </c>
      <c r="E154" s="4" t="str">
        <f aca="false">IFERROR(INDEX(연결!$C$5:$C$35,MATCH(D154,연결!$A$5:$A$35,0)),"")</f>
        <v>GOV BC 거버넌스 → POL BC 정책관리</v>
      </c>
      <c r="F154" s="27" t="str">
        <f aca="false">IFERROR(INDEX(연결!$G$5:$G$35,MATCH(D154,연결!$A$5:$A$35,0)),"")</f>
        <v>도출·이행된다</v>
      </c>
      <c r="G154" s="27" t="s">
        <v>81</v>
      </c>
      <c r="H154" s="12" t="s">
        <v>1599</v>
      </c>
      <c r="I154" s="27" t="str">
        <f aca="false">IFERROR(INDEX(연결!$H$5:$H$35,MATCH(D154,연결!$A$5:$A$35,0)),"")</f>
        <v>E3</v>
      </c>
      <c r="J154" s="27"/>
      <c r="K154" s="15" t="s">
        <v>1600</v>
      </c>
      <c r="L154" s="6" t="s">
        <v>1306</v>
      </c>
      <c r="M154" s="20"/>
      <c r="N154" s="20"/>
      <c r="O154" s="20"/>
      <c r="P154" s="20"/>
      <c r="Q154" s="20"/>
      <c r="R154" s="20"/>
      <c r="S154" s="35" t="str">
        <f aca="false">IFERROR(COUNTIF(M154:R154,"&gt;=3")/COUNT(M154:R154),"")</f>
        <v/>
      </c>
      <c r="T154" s="27" t="str">
        <f aca="false">IF(S154="","",IF(S154&gt;=검증!$B$4,"채택","수정·토론"))</f>
        <v/>
      </c>
      <c r="U154" s="27" t="str">
        <f aca="false">IF(COUNTIF($A$5:$A$183,A154)&lt;&gt;1,"ID 중복",IF(B154="C 연결",IF(COUNTIF(연결!$A$5:$A$35,D154)=1,"OK","연결 없음"),"OK"))</f>
        <v>OK</v>
      </c>
    </row>
    <row r="155" customFormat="false" ht="33.75" hidden="false" customHeight="true" outlineLevel="0" collapsed="false">
      <c r="A155" s="13" t="s">
        <v>1266</v>
      </c>
      <c r="B155" s="4" t="s">
        <v>1303</v>
      </c>
      <c r="C155" s="6" t="s">
        <v>797</v>
      </c>
      <c r="D155" s="15" t="s">
        <v>462</v>
      </c>
      <c r="E155" s="4" t="str">
        <f aca="false">IFERROR(INDEX(연결!$C$5:$C$35,MATCH(D155,연결!$A$5:$A$35,0)),"")</f>
        <v>GOV BC 거버넌스 → POL BC 정책관리</v>
      </c>
      <c r="F155" s="27" t="str">
        <f aca="false">IFERROR(INDEX(연결!$G$5:$G$35,MATCH(D155,연결!$A$5:$A$35,0)),"")</f>
        <v>도출·이행된다</v>
      </c>
      <c r="G155" s="27" t="s">
        <v>85</v>
      </c>
      <c r="H155" s="12" t="s">
        <v>1601</v>
      </c>
      <c r="I155" s="27" t="str">
        <f aca="false">IFERROR(INDEX(연결!$H$5:$H$35,MATCH(D155,연결!$A$5:$A$35,0)),"")</f>
        <v>E3</v>
      </c>
      <c r="J155" s="27"/>
      <c r="K155" s="15" t="s">
        <v>1602</v>
      </c>
      <c r="L155" s="6" t="s">
        <v>1306</v>
      </c>
      <c r="M155" s="20"/>
      <c r="N155" s="20"/>
      <c r="O155" s="20"/>
      <c r="P155" s="20"/>
      <c r="Q155" s="20"/>
      <c r="R155" s="20"/>
      <c r="S155" s="35" t="str">
        <f aca="false">IFERROR(COUNTIF(M155:R155,"&gt;=3")/COUNT(M155:R155),"")</f>
        <v/>
      </c>
      <c r="T155" s="27" t="str">
        <f aca="false">IF(S155="","",IF(S155&gt;=검증!$B$4,"채택","수정·토론"))</f>
        <v/>
      </c>
      <c r="U155" s="27" t="str">
        <f aca="false">IF(COUNTIF($A$5:$A$183,A155)&lt;&gt;1,"ID 중복",IF(B155="C 연결",IF(COUNTIF(연결!$A$5:$A$35,D155)=1,"OK","연결 없음"),"OK"))</f>
        <v>OK</v>
      </c>
    </row>
    <row r="156" customFormat="false" ht="33.75" hidden="false" customHeight="true" outlineLevel="0" collapsed="false">
      <c r="A156" s="13" t="s">
        <v>1267</v>
      </c>
      <c r="B156" s="4" t="s">
        <v>1303</v>
      </c>
      <c r="C156" s="6" t="s">
        <v>797</v>
      </c>
      <c r="D156" s="15" t="s">
        <v>462</v>
      </c>
      <c r="E156" s="4" t="str">
        <f aca="false">IFERROR(INDEX(연결!$C$5:$C$35,MATCH(D156,연결!$A$5:$A$35,0)),"")</f>
        <v>GOV BC 거버넌스 → POL BC 정책관리</v>
      </c>
      <c r="F156" s="27" t="str">
        <f aca="false">IFERROR(INDEX(연결!$G$5:$G$35,MATCH(D156,연결!$A$5:$A$35,0)),"")</f>
        <v>도출·이행된다</v>
      </c>
      <c r="G156" s="27" t="s">
        <v>90</v>
      </c>
      <c r="H156" s="12" t="s">
        <v>1603</v>
      </c>
      <c r="I156" s="27" t="str">
        <f aca="false">IFERROR(INDEX(연결!$H$5:$H$35,MATCH(D156,연결!$A$5:$A$35,0)),"")</f>
        <v>E3</v>
      </c>
      <c r="J156" s="27"/>
      <c r="K156" s="15" t="s">
        <v>1604</v>
      </c>
      <c r="L156" s="6" t="s">
        <v>1306</v>
      </c>
      <c r="M156" s="20"/>
      <c r="N156" s="20"/>
      <c r="O156" s="20"/>
      <c r="P156" s="20"/>
      <c r="Q156" s="20"/>
      <c r="R156" s="20"/>
      <c r="S156" s="35" t="str">
        <f aca="false">IFERROR(COUNTIF(M156:R156,"&gt;=3")/COUNT(M156:R156),"")</f>
        <v/>
      </c>
      <c r="T156" s="27" t="str">
        <f aca="false">IF(S156="","",IF(S156&gt;=검증!$B$4,"채택","수정·토론"))</f>
        <v/>
      </c>
      <c r="U156" s="27" t="str">
        <f aca="false">IF(COUNTIF($A$5:$A$183,A156)&lt;&gt;1,"ID 중복",IF(B156="C 연결",IF(COUNTIF(연결!$A$5:$A$35,D156)=1,"OK","연결 없음"),"OK"))</f>
        <v>OK</v>
      </c>
    </row>
    <row r="157" customFormat="false" ht="33.75" hidden="false" customHeight="true" outlineLevel="0" collapsed="false">
      <c r="A157" s="13" t="s">
        <v>1268</v>
      </c>
      <c r="B157" s="4" t="s">
        <v>1303</v>
      </c>
      <c r="C157" s="6" t="s">
        <v>797</v>
      </c>
      <c r="D157" s="15" t="s">
        <v>462</v>
      </c>
      <c r="E157" s="4" t="str">
        <f aca="false">IFERROR(INDEX(연결!$C$5:$C$35,MATCH(D157,연결!$A$5:$A$35,0)),"")</f>
        <v>GOV BC 거버넌스 → POL BC 정책관리</v>
      </c>
      <c r="F157" s="27" t="str">
        <f aca="false">IFERROR(INDEX(연결!$G$5:$G$35,MATCH(D157,연결!$A$5:$A$35,0)),"")</f>
        <v>도출·이행된다</v>
      </c>
      <c r="G157" s="27" t="s">
        <v>95</v>
      </c>
      <c r="H157" s="12" t="s">
        <v>1605</v>
      </c>
      <c r="I157" s="27" t="str">
        <f aca="false">IFERROR(INDEX(연결!$H$5:$H$35,MATCH(D157,연결!$A$5:$A$35,0)),"")</f>
        <v>E3</v>
      </c>
      <c r="J157" s="27"/>
      <c r="K157" s="15" t="s">
        <v>1606</v>
      </c>
      <c r="L157" s="6" t="s">
        <v>1306</v>
      </c>
      <c r="M157" s="20"/>
      <c r="N157" s="20"/>
      <c r="O157" s="20"/>
      <c r="P157" s="20"/>
      <c r="Q157" s="20"/>
      <c r="R157" s="20"/>
      <c r="S157" s="35" t="str">
        <f aca="false">IFERROR(COUNTIF(M157:R157,"&gt;=3")/COUNT(M157:R157),"")</f>
        <v/>
      </c>
      <c r="T157" s="27" t="str">
        <f aca="false">IF(S157="","",IF(S157&gt;=검증!$B$4,"채택","수정·토론"))</f>
        <v/>
      </c>
      <c r="U157" s="27" t="str">
        <f aca="false">IF(COUNTIF($A$5:$A$183,A157)&lt;&gt;1,"ID 중복",IF(B157="C 연결",IF(COUNTIF(연결!$A$5:$A$35,D157)=1,"OK","연결 없음"),"OK"))</f>
        <v>OK</v>
      </c>
    </row>
    <row r="158" customFormat="false" ht="33.75" hidden="false" customHeight="true" outlineLevel="0" collapsed="false">
      <c r="A158" s="13" t="s">
        <v>1270</v>
      </c>
      <c r="B158" s="4" t="s">
        <v>1303</v>
      </c>
      <c r="C158" s="6" t="s">
        <v>797</v>
      </c>
      <c r="D158" s="15" t="s">
        <v>815</v>
      </c>
      <c r="E158" s="4" t="str">
        <f aca="false">IFERROR(INDEX(연결!$C$5:$C$35,MATCH(D158,연결!$A$5:$A$35,0)),"")</f>
        <v>RES 자원관리 → 핵심 BCMS 프로세스 전반(집단)</v>
      </c>
      <c r="F158" s="27" t="str">
        <f aca="false">IFERROR(INDEX(연결!$G$5:$G$35,MATCH(D158,연결!$A$5:$A$35,0)),"")</f>
        <v>제공한다</v>
      </c>
      <c r="G158" s="27" t="s">
        <v>75</v>
      </c>
      <c r="H158" s="12" t="s">
        <v>1607</v>
      </c>
      <c r="I158" s="27" t="str">
        <f aca="false">IFERROR(INDEX(연결!$H$5:$H$35,MATCH(D158,연결!$A$5:$A$35,0)),"")</f>
        <v>E1</v>
      </c>
      <c r="J158" s="27"/>
      <c r="K158" s="15" t="s">
        <v>1608</v>
      </c>
      <c r="L158" s="6" t="s">
        <v>1306</v>
      </c>
      <c r="M158" s="20"/>
      <c r="N158" s="20"/>
      <c r="O158" s="20"/>
      <c r="P158" s="20"/>
      <c r="Q158" s="20"/>
      <c r="R158" s="20"/>
      <c r="S158" s="35" t="str">
        <f aca="false">IFERROR(COUNTIF(M158:R158,"&gt;=3")/COUNT(M158:R158),"")</f>
        <v/>
      </c>
      <c r="T158" s="27" t="str">
        <f aca="false">IF(S158="","",IF(S158&gt;=검증!$B$4,"채택","수정·토론"))</f>
        <v/>
      </c>
      <c r="U158" s="27" t="str">
        <f aca="false">IF(COUNTIF($A$5:$A$183,A158)&lt;&gt;1,"ID 중복",IF(B158="C 연결",IF(COUNTIF(연결!$A$5:$A$35,D158)=1,"OK","연결 없음"),"OK"))</f>
        <v>OK</v>
      </c>
    </row>
    <row r="159" customFormat="false" ht="33.75" hidden="false" customHeight="true" outlineLevel="0" collapsed="false">
      <c r="A159" s="13" t="s">
        <v>1271</v>
      </c>
      <c r="B159" s="4" t="s">
        <v>1303</v>
      </c>
      <c r="C159" s="6" t="s">
        <v>797</v>
      </c>
      <c r="D159" s="15" t="s">
        <v>815</v>
      </c>
      <c r="E159" s="4" t="str">
        <f aca="false">IFERROR(INDEX(연결!$C$5:$C$35,MATCH(D159,연결!$A$5:$A$35,0)),"")</f>
        <v>RES 자원관리 → 핵심 BCMS 프로세스 전반(집단)</v>
      </c>
      <c r="F159" s="27" t="str">
        <f aca="false">IFERROR(INDEX(연결!$G$5:$G$35,MATCH(D159,연결!$A$5:$A$35,0)),"")</f>
        <v>제공한다</v>
      </c>
      <c r="G159" s="27" t="s">
        <v>81</v>
      </c>
      <c r="H159" s="12" t="s">
        <v>1609</v>
      </c>
      <c r="I159" s="27" t="str">
        <f aca="false">IFERROR(INDEX(연결!$H$5:$H$35,MATCH(D159,연결!$A$5:$A$35,0)),"")</f>
        <v>E1</v>
      </c>
      <c r="J159" s="27"/>
      <c r="K159" s="15" t="s">
        <v>1610</v>
      </c>
      <c r="L159" s="6" t="s">
        <v>1306</v>
      </c>
      <c r="M159" s="20"/>
      <c r="N159" s="20"/>
      <c r="O159" s="20"/>
      <c r="P159" s="20"/>
      <c r="Q159" s="20"/>
      <c r="R159" s="20"/>
      <c r="S159" s="35" t="str">
        <f aca="false">IFERROR(COUNTIF(M159:R159,"&gt;=3")/COUNT(M159:R159),"")</f>
        <v/>
      </c>
      <c r="T159" s="27" t="str">
        <f aca="false">IF(S159="","",IF(S159&gt;=검증!$B$4,"채택","수정·토론"))</f>
        <v/>
      </c>
      <c r="U159" s="27" t="str">
        <f aca="false">IF(COUNTIF($A$5:$A$183,A159)&lt;&gt;1,"ID 중복",IF(B159="C 연결",IF(COUNTIF(연결!$A$5:$A$35,D159)=1,"OK","연결 없음"),"OK"))</f>
        <v>OK</v>
      </c>
    </row>
    <row r="160" customFormat="false" ht="33.75" hidden="false" customHeight="true" outlineLevel="0" collapsed="false">
      <c r="A160" s="13" t="s">
        <v>1272</v>
      </c>
      <c r="B160" s="4" t="s">
        <v>1303</v>
      </c>
      <c r="C160" s="6" t="s">
        <v>797</v>
      </c>
      <c r="D160" s="15" t="s">
        <v>815</v>
      </c>
      <c r="E160" s="4" t="str">
        <f aca="false">IFERROR(INDEX(연결!$C$5:$C$35,MATCH(D160,연결!$A$5:$A$35,0)),"")</f>
        <v>RES 자원관리 → 핵심 BCMS 프로세스 전반(집단)</v>
      </c>
      <c r="F160" s="27" t="str">
        <f aca="false">IFERROR(INDEX(연결!$G$5:$G$35,MATCH(D160,연결!$A$5:$A$35,0)),"")</f>
        <v>제공한다</v>
      </c>
      <c r="G160" s="27" t="s">
        <v>85</v>
      </c>
      <c r="H160" s="12" t="s">
        <v>1611</v>
      </c>
      <c r="I160" s="27" t="str">
        <f aca="false">IFERROR(INDEX(연결!$H$5:$H$35,MATCH(D160,연결!$A$5:$A$35,0)),"")</f>
        <v>E1</v>
      </c>
      <c r="J160" s="27"/>
      <c r="K160" s="15" t="s">
        <v>1612</v>
      </c>
      <c r="L160" s="6" t="s">
        <v>1306</v>
      </c>
      <c r="M160" s="20"/>
      <c r="N160" s="20"/>
      <c r="O160" s="20"/>
      <c r="P160" s="20"/>
      <c r="Q160" s="20"/>
      <c r="R160" s="20"/>
      <c r="S160" s="35" t="str">
        <f aca="false">IFERROR(COUNTIF(M160:R160,"&gt;=3")/COUNT(M160:R160),"")</f>
        <v/>
      </c>
      <c r="T160" s="27" t="str">
        <f aca="false">IF(S160="","",IF(S160&gt;=검증!$B$4,"채택","수정·토론"))</f>
        <v/>
      </c>
      <c r="U160" s="27" t="str">
        <f aca="false">IF(COUNTIF($A$5:$A$183,A160)&lt;&gt;1,"ID 중복",IF(B160="C 연결",IF(COUNTIF(연결!$A$5:$A$35,D160)=1,"OK","연결 없음"),"OK"))</f>
        <v>OK</v>
      </c>
    </row>
    <row r="161" customFormat="false" ht="33.75" hidden="false" customHeight="true" outlineLevel="0" collapsed="false">
      <c r="A161" s="13" t="s">
        <v>1273</v>
      </c>
      <c r="B161" s="4" t="s">
        <v>1303</v>
      </c>
      <c r="C161" s="6" t="s">
        <v>797</v>
      </c>
      <c r="D161" s="15" t="s">
        <v>815</v>
      </c>
      <c r="E161" s="4" t="str">
        <f aca="false">IFERROR(INDEX(연결!$C$5:$C$35,MATCH(D161,연결!$A$5:$A$35,0)),"")</f>
        <v>RES 자원관리 → 핵심 BCMS 프로세스 전반(집단)</v>
      </c>
      <c r="F161" s="27" t="str">
        <f aca="false">IFERROR(INDEX(연결!$G$5:$G$35,MATCH(D161,연결!$A$5:$A$35,0)),"")</f>
        <v>제공한다</v>
      </c>
      <c r="G161" s="27" t="s">
        <v>90</v>
      </c>
      <c r="H161" s="12" t="s">
        <v>1613</v>
      </c>
      <c r="I161" s="27" t="str">
        <f aca="false">IFERROR(INDEX(연결!$H$5:$H$35,MATCH(D161,연결!$A$5:$A$35,0)),"")</f>
        <v>E1</v>
      </c>
      <c r="J161" s="27"/>
      <c r="K161" s="15" t="s">
        <v>1614</v>
      </c>
      <c r="L161" s="6" t="s">
        <v>1306</v>
      </c>
      <c r="M161" s="20"/>
      <c r="N161" s="20"/>
      <c r="O161" s="20"/>
      <c r="P161" s="20"/>
      <c r="Q161" s="20"/>
      <c r="R161" s="20"/>
      <c r="S161" s="35" t="str">
        <f aca="false">IFERROR(COUNTIF(M161:R161,"&gt;=3")/COUNT(M161:R161),"")</f>
        <v/>
      </c>
      <c r="T161" s="27" t="str">
        <f aca="false">IF(S161="","",IF(S161&gt;=검증!$B$4,"채택","수정·토론"))</f>
        <v/>
      </c>
      <c r="U161" s="27" t="str">
        <f aca="false">IF(COUNTIF($A$5:$A$183,A161)&lt;&gt;1,"ID 중복",IF(B161="C 연결",IF(COUNTIF(연결!$A$5:$A$35,D161)=1,"OK","연결 없음"),"OK"))</f>
        <v>OK</v>
      </c>
    </row>
    <row r="162" customFormat="false" ht="33.75" hidden="false" customHeight="true" outlineLevel="0" collapsed="false">
      <c r="A162" s="13" t="s">
        <v>1274</v>
      </c>
      <c r="B162" s="4" t="s">
        <v>1303</v>
      </c>
      <c r="C162" s="6" t="s">
        <v>797</v>
      </c>
      <c r="D162" s="15" t="s">
        <v>815</v>
      </c>
      <c r="E162" s="4" t="str">
        <f aca="false">IFERROR(INDEX(연결!$C$5:$C$35,MATCH(D162,연결!$A$5:$A$35,0)),"")</f>
        <v>RES 자원관리 → 핵심 BCMS 프로세스 전반(집단)</v>
      </c>
      <c r="F162" s="27" t="str">
        <f aca="false">IFERROR(INDEX(연결!$G$5:$G$35,MATCH(D162,연결!$A$5:$A$35,0)),"")</f>
        <v>제공한다</v>
      </c>
      <c r="G162" s="27" t="s">
        <v>95</v>
      </c>
      <c r="H162" s="12" t="s">
        <v>1615</v>
      </c>
      <c r="I162" s="27" t="str">
        <f aca="false">IFERROR(INDEX(연결!$H$5:$H$35,MATCH(D162,연결!$A$5:$A$35,0)),"")</f>
        <v>E1</v>
      </c>
      <c r="J162" s="27"/>
      <c r="K162" s="15" t="s">
        <v>1616</v>
      </c>
      <c r="L162" s="6" t="s">
        <v>1306</v>
      </c>
      <c r="M162" s="20"/>
      <c r="N162" s="20"/>
      <c r="O162" s="20"/>
      <c r="P162" s="20"/>
      <c r="Q162" s="20"/>
      <c r="R162" s="20"/>
      <c r="S162" s="35" t="str">
        <f aca="false">IFERROR(COUNTIF(M162:R162,"&gt;=3")/COUNT(M162:R162),"")</f>
        <v/>
      </c>
      <c r="T162" s="27" t="str">
        <f aca="false">IF(S162="","",IF(S162&gt;=검증!$B$4,"채택","수정·토론"))</f>
        <v/>
      </c>
      <c r="U162" s="27" t="str">
        <f aca="false">IF(COUNTIF($A$5:$A$183,A162)&lt;&gt;1,"ID 중복",IF(B162="C 연결",IF(COUNTIF(연결!$A$5:$A$35,D162)=1,"OK","연결 없음"),"OK"))</f>
        <v>OK</v>
      </c>
    </row>
    <row r="163" customFormat="false" ht="33.75" hidden="false" customHeight="true" outlineLevel="0" collapsed="false">
      <c r="A163" s="13" t="s">
        <v>1276</v>
      </c>
      <c r="B163" s="4" t="s">
        <v>1303</v>
      </c>
      <c r="C163" s="6" t="s">
        <v>797</v>
      </c>
      <c r="D163" s="15" t="s">
        <v>457</v>
      </c>
      <c r="E163" s="4" t="str">
        <f aca="false">IFERROR(INDEX(연결!$C$5:$C$35,MATCH(D163,연결!$A$5:$A$35,0)),"")</f>
        <v>RES 자원관리 → CRM 고객관계관리</v>
      </c>
      <c r="F163" s="27" t="str">
        <f aca="false">IFERROR(INDEX(연결!$G$5:$G$35,MATCH(D163,연결!$A$5:$A$35,0)),"")</f>
        <v>제공한다</v>
      </c>
      <c r="G163" s="27" t="s">
        <v>75</v>
      </c>
      <c r="H163" s="12" t="s">
        <v>1617</v>
      </c>
      <c r="I163" s="27" t="str">
        <f aca="false">IFERROR(INDEX(연결!$H$5:$H$35,MATCH(D163,연결!$A$5:$A$35,0)),"")</f>
        <v>E1</v>
      </c>
      <c r="J163" s="27"/>
      <c r="K163" s="15" t="s">
        <v>1618</v>
      </c>
      <c r="L163" s="6" t="s">
        <v>1306</v>
      </c>
      <c r="M163" s="20"/>
      <c r="N163" s="20"/>
      <c r="O163" s="20"/>
      <c r="P163" s="20"/>
      <c r="Q163" s="20"/>
      <c r="R163" s="20"/>
      <c r="S163" s="35" t="str">
        <f aca="false">IFERROR(COUNTIF(M163:R163,"&gt;=3")/COUNT(M163:R163),"")</f>
        <v/>
      </c>
      <c r="T163" s="27" t="str">
        <f aca="false">IF(S163="","",IF(S163&gt;=검증!$B$4,"채택","수정·토론"))</f>
        <v/>
      </c>
      <c r="U163" s="27" t="str">
        <f aca="false">IF(COUNTIF($A$5:$A$183,A163)&lt;&gt;1,"ID 중복",IF(B163="C 연결",IF(COUNTIF(연결!$A$5:$A$35,D163)=1,"OK","연결 없음"),"OK"))</f>
        <v>OK</v>
      </c>
    </row>
    <row r="164" customFormat="false" ht="33.75" hidden="false" customHeight="true" outlineLevel="0" collapsed="false">
      <c r="A164" s="13" t="s">
        <v>1277</v>
      </c>
      <c r="B164" s="4" t="s">
        <v>1303</v>
      </c>
      <c r="C164" s="6" t="s">
        <v>797</v>
      </c>
      <c r="D164" s="15" t="s">
        <v>457</v>
      </c>
      <c r="E164" s="4" t="str">
        <f aca="false">IFERROR(INDEX(연결!$C$5:$C$35,MATCH(D164,연결!$A$5:$A$35,0)),"")</f>
        <v>RES 자원관리 → CRM 고객관계관리</v>
      </c>
      <c r="F164" s="27" t="str">
        <f aca="false">IFERROR(INDEX(연결!$G$5:$G$35,MATCH(D164,연결!$A$5:$A$35,0)),"")</f>
        <v>제공한다</v>
      </c>
      <c r="G164" s="27" t="s">
        <v>81</v>
      </c>
      <c r="H164" s="12" t="s">
        <v>1619</v>
      </c>
      <c r="I164" s="27" t="str">
        <f aca="false">IFERROR(INDEX(연결!$H$5:$H$35,MATCH(D164,연결!$A$5:$A$35,0)),"")</f>
        <v>E1</v>
      </c>
      <c r="J164" s="27"/>
      <c r="K164" s="15" t="s">
        <v>1620</v>
      </c>
      <c r="L164" s="6" t="s">
        <v>1306</v>
      </c>
      <c r="M164" s="20"/>
      <c r="N164" s="20"/>
      <c r="O164" s="20"/>
      <c r="P164" s="20"/>
      <c r="Q164" s="20"/>
      <c r="R164" s="20"/>
      <c r="S164" s="35" t="str">
        <f aca="false">IFERROR(COUNTIF(M164:R164,"&gt;=3")/COUNT(M164:R164),"")</f>
        <v/>
      </c>
      <c r="T164" s="27" t="str">
        <f aca="false">IF(S164="","",IF(S164&gt;=검증!$B$4,"채택","수정·토론"))</f>
        <v/>
      </c>
      <c r="U164" s="27" t="str">
        <f aca="false">IF(COUNTIF($A$5:$A$183,A164)&lt;&gt;1,"ID 중복",IF(B164="C 연결",IF(COUNTIF(연결!$A$5:$A$35,D164)=1,"OK","연결 없음"),"OK"))</f>
        <v>OK</v>
      </c>
    </row>
    <row r="165" customFormat="false" ht="33.75" hidden="false" customHeight="true" outlineLevel="0" collapsed="false">
      <c r="A165" s="13" t="s">
        <v>1278</v>
      </c>
      <c r="B165" s="4" t="s">
        <v>1303</v>
      </c>
      <c r="C165" s="6" t="s">
        <v>797</v>
      </c>
      <c r="D165" s="15" t="s">
        <v>457</v>
      </c>
      <c r="E165" s="4" t="str">
        <f aca="false">IFERROR(INDEX(연결!$C$5:$C$35,MATCH(D165,연결!$A$5:$A$35,0)),"")</f>
        <v>RES 자원관리 → CRM 고객관계관리</v>
      </c>
      <c r="F165" s="27" t="str">
        <f aca="false">IFERROR(INDEX(연결!$G$5:$G$35,MATCH(D165,연결!$A$5:$A$35,0)),"")</f>
        <v>제공한다</v>
      </c>
      <c r="G165" s="27" t="s">
        <v>85</v>
      </c>
      <c r="H165" s="12" t="s">
        <v>1621</v>
      </c>
      <c r="I165" s="27" t="str">
        <f aca="false">IFERROR(INDEX(연결!$H$5:$H$35,MATCH(D165,연결!$A$5:$A$35,0)),"")</f>
        <v>E1</v>
      </c>
      <c r="J165" s="27"/>
      <c r="K165" s="15" t="s">
        <v>1622</v>
      </c>
      <c r="L165" s="6" t="s">
        <v>1306</v>
      </c>
      <c r="M165" s="20"/>
      <c r="N165" s="20"/>
      <c r="O165" s="20"/>
      <c r="P165" s="20"/>
      <c r="Q165" s="20"/>
      <c r="R165" s="20"/>
      <c r="S165" s="35" t="str">
        <f aca="false">IFERROR(COUNTIF(M165:R165,"&gt;=3")/COUNT(M165:R165),"")</f>
        <v/>
      </c>
      <c r="T165" s="27" t="str">
        <f aca="false">IF(S165="","",IF(S165&gt;=검증!$B$4,"채택","수정·토론"))</f>
        <v/>
      </c>
      <c r="U165" s="27" t="str">
        <f aca="false">IF(COUNTIF($A$5:$A$183,A165)&lt;&gt;1,"ID 중복",IF(B165="C 연결",IF(COUNTIF(연결!$A$5:$A$35,D165)=1,"OK","연결 없음"),"OK"))</f>
        <v>OK</v>
      </c>
    </row>
    <row r="166" customFormat="false" ht="33.75" hidden="false" customHeight="true" outlineLevel="0" collapsed="false">
      <c r="A166" s="13" t="s">
        <v>1279</v>
      </c>
      <c r="B166" s="4" t="s">
        <v>1303</v>
      </c>
      <c r="C166" s="6" t="s">
        <v>797</v>
      </c>
      <c r="D166" s="15" t="s">
        <v>457</v>
      </c>
      <c r="E166" s="4" t="str">
        <f aca="false">IFERROR(INDEX(연결!$C$5:$C$35,MATCH(D166,연결!$A$5:$A$35,0)),"")</f>
        <v>RES 자원관리 → CRM 고객관계관리</v>
      </c>
      <c r="F166" s="27" t="str">
        <f aca="false">IFERROR(INDEX(연결!$G$5:$G$35,MATCH(D166,연결!$A$5:$A$35,0)),"")</f>
        <v>제공한다</v>
      </c>
      <c r="G166" s="27" t="s">
        <v>90</v>
      </c>
      <c r="H166" s="12" t="s">
        <v>1623</v>
      </c>
      <c r="I166" s="27" t="str">
        <f aca="false">IFERROR(INDEX(연결!$H$5:$H$35,MATCH(D166,연결!$A$5:$A$35,0)),"")</f>
        <v>E1</v>
      </c>
      <c r="J166" s="27"/>
      <c r="K166" s="15" t="s">
        <v>1624</v>
      </c>
      <c r="L166" s="6" t="s">
        <v>1306</v>
      </c>
      <c r="M166" s="20"/>
      <c r="N166" s="20"/>
      <c r="O166" s="20"/>
      <c r="P166" s="20"/>
      <c r="Q166" s="20"/>
      <c r="R166" s="20"/>
      <c r="S166" s="35" t="str">
        <f aca="false">IFERROR(COUNTIF(M166:R166,"&gt;=3")/COUNT(M166:R166),"")</f>
        <v/>
      </c>
      <c r="T166" s="27" t="str">
        <f aca="false">IF(S166="","",IF(S166&gt;=검증!$B$4,"채택","수정·토론"))</f>
        <v/>
      </c>
      <c r="U166" s="27" t="str">
        <f aca="false">IF(COUNTIF($A$5:$A$183,A166)&lt;&gt;1,"ID 중복",IF(B166="C 연결",IF(COUNTIF(연결!$A$5:$A$35,D166)=1,"OK","연결 없음"),"OK"))</f>
        <v>OK</v>
      </c>
    </row>
    <row r="167" customFormat="false" ht="33.75" hidden="false" customHeight="true" outlineLevel="0" collapsed="false">
      <c r="A167" s="13" t="s">
        <v>1280</v>
      </c>
      <c r="B167" s="4" t="s">
        <v>1303</v>
      </c>
      <c r="C167" s="6" t="s">
        <v>797</v>
      </c>
      <c r="D167" s="15" t="s">
        <v>457</v>
      </c>
      <c r="E167" s="4" t="str">
        <f aca="false">IFERROR(INDEX(연결!$C$5:$C$35,MATCH(D167,연결!$A$5:$A$35,0)),"")</f>
        <v>RES 자원관리 → CRM 고객관계관리</v>
      </c>
      <c r="F167" s="27" t="str">
        <f aca="false">IFERROR(INDEX(연결!$G$5:$G$35,MATCH(D167,연결!$A$5:$A$35,0)),"")</f>
        <v>제공한다</v>
      </c>
      <c r="G167" s="27" t="s">
        <v>95</v>
      </c>
      <c r="H167" s="12" t="s">
        <v>1625</v>
      </c>
      <c r="I167" s="27" t="str">
        <f aca="false">IFERROR(INDEX(연결!$H$5:$H$35,MATCH(D167,연결!$A$5:$A$35,0)),"")</f>
        <v>E1</v>
      </c>
      <c r="J167" s="27"/>
      <c r="K167" s="15" t="s">
        <v>1626</v>
      </c>
      <c r="L167" s="6" t="s">
        <v>1306</v>
      </c>
      <c r="M167" s="20"/>
      <c r="N167" s="20"/>
      <c r="O167" s="20"/>
      <c r="P167" s="20"/>
      <c r="Q167" s="20"/>
      <c r="R167" s="20"/>
      <c r="S167" s="35" t="str">
        <f aca="false">IFERROR(COUNTIF(M167:R167,"&gt;=3")/COUNT(M167:R167),"")</f>
        <v/>
      </c>
      <c r="T167" s="27" t="str">
        <f aca="false">IF(S167="","",IF(S167&gt;=검증!$B$4,"채택","수정·토론"))</f>
        <v/>
      </c>
      <c r="U167" s="27" t="str">
        <f aca="false">IF(COUNTIF($A$5:$A$183,A167)&lt;&gt;1,"ID 중복",IF(B167="C 연결",IF(COUNTIF(연결!$A$5:$A$35,D167)=1,"OK","연결 없음"),"OK"))</f>
        <v>OK</v>
      </c>
    </row>
    <row r="168" customFormat="false" ht="33.75" hidden="false" customHeight="true" outlineLevel="0" collapsed="false">
      <c r="A168" s="13" t="s">
        <v>1627</v>
      </c>
      <c r="B168" s="4" t="s">
        <v>1628</v>
      </c>
      <c r="C168" s="6" t="s">
        <v>1629</v>
      </c>
      <c r="D168" s="27"/>
      <c r="E168" s="4" t="str">
        <f aca="false">IFERROR(INDEX(연결!$C$5:$C$35,MATCH(D168,연결!$A$5:$A$35,0)),"")</f>
        <v/>
      </c>
      <c r="F168" s="27" t="str">
        <f aca="false">IFERROR(INDEX(연결!$G$5:$G$35,MATCH(D168,연결!$A$5:$A$35,0)),"")</f>
        <v/>
      </c>
      <c r="G168" s="27" t="s">
        <v>1630</v>
      </c>
      <c r="H168" s="12" t="s">
        <v>1631</v>
      </c>
      <c r="I168" s="27" t="str">
        <f aca="false">IFERROR(INDEX(연결!$H$5:$H$35,MATCH(D168,연결!$A$5:$A$35,0)),"")</f>
        <v/>
      </c>
      <c r="J168" s="27"/>
      <c r="K168" s="15" t="s">
        <v>1632</v>
      </c>
      <c r="L168" s="6" t="s">
        <v>1633</v>
      </c>
      <c r="M168" s="20"/>
      <c r="N168" s="20"/>
      <c r="O168" s="20"/>
      <c r="P168" s="20"/>
      <c r="Q168" s="20"/>
      <c r="R168" s="20"/>
      <c r="S168" s="35" t="str">
        <f aca="false">IFERROR(COUNTIF(M168:R168,"&gt;=3")/COUNT(M168:R168),"")</f>
        <v/>
      </c>
      <c r="T168" s="27" t="str">
        <f aca="false">IF(S168="","",IF(S168&gt;=검증!$B$4,"채택","수정·토론"))</f>
        <v/>
      </c>
      <c r="U168" s="27" t="str">
        <f aca="false">IF(COUNTIF($A$5:$A$183,A168)&lt;&gt;1,"ID 중복",IF(B168="C 연결",IF(COUNTIF(연결!$A$5:$A$35,D168)=1,"OK","연결 없음"),"OK"))</f>
        <v>OK</v>
      </c>
    </row>
    <row r="169" customFormat="false" ht="33.75" hidden="false" customHeight="true" outlineLevel="0" collapsed="false">
      <c r="A169" s="13" t="s">
        <v>1634</v>
      </c>
      <c r="B169" s="4" t="s">
        <v>1628</v>
      </c>
      <c r="C169" s="6" t="s">
        <v>1629</v>
      </c>
      <c r="D169" s="27"/>
      <c r="E169" s="4" t="str">
        <f aca="false">IFERROR(INDEX(연결!$C$5:$C$35,MATCH(D169,연결!$A$5:$A$35,0)),"")</f>
        <v/>
      </c>
      <c r="F169" s="27" t="str">
        <f aca="false">IFERROR(INDEX(연결!$G$5:$G$35,MATCH(D169,연결!$A$5:$A$35,0)),"")</f>
        <v/>
      </c>
      <c r="G169" s="27" t="s">
        <v>1635</v>
      </c>
      <c r="H169" s="12" t="s">
        <v>1636</v>
      </c>
      <c r="I169" s="27" t="str">
        <f aca="false">IFERROR(INDEX(연결!$H$5:$H$35,MATCH(D169,연결!$A$5:$A$35,0)),"")</f>
        <v/>
      </c>
      <c r="J169" s="27"/>
      <c r="K169" s="15" t="s">
        <v>1637</v>
      </c>
      <c r="L169" s="6" t="s">
        <v>1638</v>
      </c>
      <c r="M169" s="20"/>
      <c r="N169" s="20"/>
      <c r="O169" s="20"/>
      <c r="P169" s="20"/>
      <c r="Q169" s="20"/>
      <c r="R169" s="20"/>
      <c r="S169" s="35" t="str">
        <f aca="false">IFERROR(COUNTIF(M169:R169,"&gt;=3")/COUNT(M169:R169),"")</f>
        <v/>
      </c>
      <c r="T169" s="27" t="str">
        <f aca="false">IF(S169="","",IF(S169&gt;=검증!$B$4,"채택","수정·토론"))</f>
        <v/>
      </c>
      <c r="U169" s="27" t="str">
        <f aca="false">IF(COUNTIF($A$5:$A$183,A169)&lt;&gt;1,"ID 중복",IF(B169="C 연결",IF(COUNTIF(연결!$A$5:$A$35,D169)=1,"OK","연결 없음"),"OK"))</f>
        <v>OK</v>
      </c>
    </row>
    <row r="170" customFormat="false" ht="33.75" hidden="false" customHeight="true" outlineLevel="0" collapsed="false">
      <c r="A170" s="13" t="s">
        <v>1639</v>
      </c>
      <c r="B170" s="4" t="s">
        <v>1628</v>
      </c>
      <c r="C170" s="6" t="s">
        <v>1629</v>
      </c>
      <c r="D170" s="27"/>
      <c r="E170" s="4" t="str">
        <f aca="false">IFERROR(INDEX(연결!$C$5:$C$35,MATCH(D170,연결!$A$5:$A$35,0)),"")</f>
        <v/>
      </c>
      <c r="F170" s="27" t="str">
        <f aca="false">IFERROR(INDEX(연결!$G$5:$G$35,MATCH(D170,연결!$A$5:$A$35,0)),"")</f>
        <v/>
      </c>
      <c r="G170" s="27" t="s">
        <v>1640</v>
      </c>
      <c r="H170" s="12" t="s">
        <v>1641</v>
      </c>
      <c r="I170" s="27" t="str">
        <f aca="false">IFERROR(INDEX(연결!$H$5:$H$35,MATCH(D170,연결!$A$5:$A$35,0)),"")</f>
        <v/>
      </c>
      <c r="J170" s="27"/>
      <c r="K170" s="15" t="s">
        <v>1642</v>
      </c>
      <c r="L170" s="6" t="s">
        <v>1643</v>
      </c>
      <c r="M170" s="20"/>
      <c r="N170" s="20"/>
      <c r="O170" s="20"/>
      <c r="P170" s="20"/>
      <c r="Q170" s="20"/>
      <c r="R170" s="20"/>
      <c r="S170" s="35" t="str">
        <f aca="false">IFERROR(COUNTIF(M170:R170,"&gt;=3")/COUNT(M170:R170),"")</f>
        <v/>
      </c>
      <c r="T170" s="27" t="str">
        <f aca="false">IF(S170="","",IF(S170&gt;=검증!$B$4,"채택","수정·토론"))</f>
        <v/>
      </c>
      <c r="U170" s="27" t="str">
        <f aca="false">IF(COUNTIF($A$5:$A$183,A170)&lt;&gt;1,"ID 중복",IF(B170="C 연결",IF(COUNTIF(연결!$A$5:$A$35,D170)=1,"OK","연결 없음"),"OK"))</f>
        <v>OK</v>
      </c>
    </row>
    <row r="171" customFormat="false" ht="33.75" hidden="false" customHeight="true" outlineLevel="0" collapsed="false">
      <c r="A171" s="13" t="s">
        <v>1644</v>
      </c>
      <c r="B171" s="4" t="s">
        <v>1628</v>
      </c>
      <c r="C171" s="6" t="s">
        <v>1629</v>
      </c>
      <c r="D171" s="27"/>
      <c r="E171" s="4" t="str">
        <f aca="false">IFERROR(INDEX(연결!$C$5:$C$35,MATCH(D171,연결!$A$5:$A$35,0)),"")</f>
        <v/>
      </c>
      <c r="F171" s="27" t="str">
        <f aca="false">IFERROR(INDEX(연결!$G$5:$G$35,MATCH(D171,연결!$A$5:$A$35,0)),"")</f>
        <v/>
      </c>
      <c r="G171" s="27" t="s">
        <v>1645</v>
      </c>
      <c r="H171" s="12" t="s">
        <v>1646</v>
      </c>
      <c r="I171" s="27" t="str">
        <f aca="false">IFERROR(INDEX(연결!$H$5:$H$35,MATCH(D171,연결!$A$5:$A$35,0)),"")</f>
        <v/>
      </c>
      <c r="J171" s="27"/>
      <c r="K171" s="15" t="s">
        <v>1647</v>
      </c>
      <c r="L171" s="6" t="s">
        <v>1648</v>
      </c>
      <c r="M171" s="20"/>
      <c r="N171" s="20"/>
      <c r="O171" s="20"/>
      <c r="P171" s="20"/>
      <c r="Q171" s="20"/>
      <c r="R171" s="20"/>
      <c r="S171" s="35" t="str">
        <f aca="false">IFERROR(COUNTIF(M171:R171,"&gt;=3")/COUNT(M171:R171),"")</f>
        <v/>
      </c>
      <c r="T171" s="27" t="str">
        <f aca="false">IF(S171="","",IF(S171&gt;=검증!$B$4,"채택","수정·토론"))</f>
        <v/>
      </c>
      <c r="U171" s="27" t="str">
        <f aca="false">IF(COUNTIF($A$5:$A$183,A171)&lt;&gt;1,"ID 중복",IF(B171="C 연결",IF(COUNTIF(연결!$A$5:$A$35,D171)=1,"OK","연결 없음"),"OK"))</f>
        <v>OK</v>
      </c>
    </row>
    <row r="172" customFormat="false" ht="33.75" hidden="false" customHeight="true" outlineLevel="0" collapsed="false">
      <c r="A172" s="13" t="s">
        <v>1649</v>
      </c>
      <c r="B172" s="4" t="s">
        <v>1628</v>
      </c>
      <c r="C172" s="6" t="s">
        <v>1629</v>
      </c>
      <c r="D172" s="27"/>
      <c r="E172" s="4" t="str">
        <f aca="false">IFERROR(INDEX(연결!$C$5:$C$35,MATCH(D172,연결!$A$5:$A$35,0)),"")</f>
        <v/>
      </c>
      <c r="F172" s="27" t="str">
        <f aca="false">IFERROR(INDEX(연결!$G$5:$G$35,MATCH(D172,연결!$A$5:$A$35,0)),"")</f>
        <v/>
      </c>
      <c r="G172" s="27" t="s">
        <v>1650</v>
      </c>
      <c r="H172" s="12" t="s">
        <v>1651</v>
      </c>
      <c r="I172" s="27" t="str">
        <f aca="false">IFERROR(INDEX(연결!$H$5:$H$35,MATCH(D172,연결!$A$5:$A$35,0)),"")</f>
        <v/>
      </c>
      <c r="J172" s="27"/>
      <c r="K172" s="15" t="s">
        <v>1652</v>
      </c>
      <c r="L172" s="6" t="s">
        <v>1653</v>
      </c>
      <c r="M172" s="20"/>
      <c r="N172" s="20"/>
      <c r="O172" s="20"/>
      <c r="P172" s="20"/>
      <c r="Q172" s="20"/>
      <c r="R172" s="20"/>
      <c r="S172" s="35" t="str">
        <f aca="false">IFERROR(COUNTIF(M172:R172,"&gt;=3")/COUNT(M172:R172),"")</f>
        <v/>
      </c>
      <c r="T172" s="27" t="str">
        <f aca="false">IF(S172="","",IF(S172&gt;=검증!$B$4,"채택","수정·토론"))</f>
        <v/>
      </c>
      <c r="U172" s="27" t="str">
        <f aca="false">IF(COUNTIF($A$5:$A$183,A172)&lt;&gt;1,"ID 중복",IF(B172="C 연결",IF(COUNTIF(연결!$A$5:$A$35,D172)=1,"OK","연결 없음"),"OK"))</f>
        <v>OK</v>
      </c>
    </row>
    <row r="173" customFormat="false" ht="33.75" hidden="false" customHeight="true" outlineLevel="0" collapsed="false">
      <c r="A173" s="13" t="s">
        <v>1654</v>
      </c>
      <c r="B173" s="4" t="s">
        <v>1628</v>
      </c>
      <c r="C173" s="6" t="s">
        <v>1629</v>
      </c>
      <c r="D173" s="27"/>
      <c r="E173" s="4" t="str">
        <f aca="false">IFERROR(INDEX(연결!$C$5:$C$35,MATCH(D173,연결!$A$5:$A$35,0)),"")</f>
        <v/>
      </c>
      <c r="F173" s="27" t="str">
        <f aca="false">IFERROR(INDEX(연결!$G$5:$G$35,MATCH(D173,연결!$A$5:$A$35,0)),"")</f>
        <v/>
      </c>
      <c r="G173" s="27" t="s">
        <v>1655</v>
      </c>
      <c r="H173" s="12" t="s">
        <v>1656</v>
      </c>
      <c r="I173" s="27" t="str">
        <f aca="false">IFERROR(INDEX(연결!$H$5:$H$35,MATCH(D173,연결!$A$5:$A$35,0)),"")</f>
        <v/>
      </c>
      <c r="J173" s="27"/>
      <c r="K173" s="15" t="s">
        <v>1657</v>
      </c>
      <c r="L173" s="6" t="s">
        <v>1658</v>
      </c>
      <c r="M173" s="20"/>
      <c r="N173" s="20"/>
      <c r="O173" s="20"/>
      <c r="P173" s="20"/>
      <c r="Q173" s="20"/>
      <c r="R173" s="20"/>
      <c r="S173" s="35" t="str">
        <f aca="false">IFERROR(COUNTIF(M173:R173,"&gt;=3")/COUNT(M173:R173),"")</f>
        <v/>
      </c>
      <c r="T173" s="27" t="str">
        <f aca="false">IF(S173="","",IF(S173&gt;=검증!$B$4,"채택","수정·토론"))</f>
        <v/>
      </c>
      <c r="U173" s="27" t="str">
        <f aca="false">IF(COUNTIF($A$5:$A$183,A173)&lt;&gt;1,"ID 중복",IF(B173="C 연결",IF(COUNTIF(연결!$A$5:$A$35,D173)=1,"OK","연결 없음"),"OK"))</f>
        <v>OK</v>
      </c>
    </row>
    <row r="174" customFormat="false" ht="33.75" hidden="false" customHeight="true" outlineLevel="0" collapsed="false">
      <c r="A174" s="13" t="s">
        <v>1659</v>
      </c>
      <c r="B174" s="4" t="s">
        <v>1628</v>
      </c>
      <c r="C174" s="6" t="s">
        <v>1629</v>
      </c>
      <c r="D174" s="27"/>
      <c r="E174" s="4" t="str">
        <f aca="false">IFERROR(INDEX(연결!$C$5:$C$35,MATCH(D174,연결!$A$5:$A$35,0)),"")</f>
        <v/>
      </c>
      <c r="F174" s="27" t="str">
        <f aca="false">IFERROR(INDEX(연결!$G$5:$G$35,MATCH(D174,연결!$A$5:$A$35,0)),"")</f>
        <v/>
      </c>
      <c r="G174" s="27" t="s">
        <v>1660</v>
      </c>
      <c r="H174" s="12" t="s">
        <v>1661</v>
      </c>
      <c r="I174" s="27" t="str">
        <f aca="false">IFERROR(INDEX(연결!$H$5:$H$35,MATCH(D174,연결!$A$5:$A$35,0)),"")</f>
        <v/>
      </c>
      <c r="J174" s="27"/>
      <c r="K174" s="15" t="s">
        <v>1662</v>
      </c>
      <c r="L174" s="6" t="s">
        <v>1663</v>
      </c>
      <c r="M174" s="20"/>
      <c r="N174" s="20"/>
      <c r="O174" s="20"/>
      <c r="P174" s="20"/>
      <c r="Q174" s="20"/>
      <c r="R174" s="20"/>
      <c r="S174" s="35" t="str">
        <f aca="false">IFERROR(COUNTIF(M174:R174,"&gt;=3")/COUNT(M174:R174),"")</f>
        <v/>
      </c>
      <c r="T174" s="27" t="str">
        <f aca="false">IF(S174="","",IF(S174&gt;=검증!$B$4,"채택","수정·토론"))</f>
        <v/>
      </c>
      <c r="U174" s="27" t="str">
        <f aca="false">IF(COUNTIF($A$5:$A$183,A174)&lt;&gt;1,"ID 중복",IF(B174="C 연결",IF(COUNTIF(연결!$A$5:$A$35,D174)=1,"OK","연결 없음"),"OK"))</f>
        <v>OK</v>
      </c>
    </row>
    <row r="175" customFormat="false" ht="33.75" hidden="false" customHeight="true" outlineLevel="0" collapsed="false">
      <c r="A175" s="13" t="s">
        <v>1664</v>
      </c>
      <c r="B175" s="4" t="s">
        <v>1665</v>
      </c>
      <c r="C175" s="6" t="s">
        <v>1666</v>
      </c>
      <c r="D175" s="27"/>
      <c r="E175" s="4" t="str">
        <f aca="false">IFERROR(INDEX(연결!$C$5:$C$35,MATCH(D175,연결!$A$5:$A$35,0)),"")</f>
        <v/>
      </c>
      <c r="F175" s="27" t="str">
        <f aca="false">IFERROR(INDEX(연결!$G$5:$G$35,MATCH(D175,연결!$A$5:$A$35,0)),"")</f>
        <v/>
      </c>
      <c r="G175" s="27" t="s">
        <v>1667</v>
      </c>
      <c r="H175" s="12" t="s">
        <v>1668</v>
      </c>
      <c r="I175" s="27" t="str">
        <f aca="false">IFERROR(INDEX(연결!$H$5:$H$35,MATCH(D175,연결!$A$5:$A$35,0)),"")</f>
        <v/>
      </c>
      <c r="J175" s="15" t="s">
        <v>746</v>
      </c>
      <c r="K175" s="15" t="s">
        <v>1669</v>
      </c>
      <c r="L175" s="6" t="s">
        <v>1670</v>
      </c>
      <c r="M175" s="20"/>
      <c r="N175" s="20"/>
      <c r="O175" s="20"/>
      <c r="P175" s="20"/>
      <c r="Q175" s="20"/>
      <c r="R175" s="20"/>
      <c r="S175" s="35" t="str">
        <f aca="false">IFERROR(COUNTIF(M175:R175,"&gt;=3")/COUNT(M175:R175),"")</f>
        <v/>
      </c>
      <c r="T175" s="27" t="str">
        <f aca="false">IF(S175="","",IF(S175&gt;=검증!$B$4,"채택","수정·토론"))</f>
        <v/>
      </c>
      <c r="U175" s="27" t="str">
        <f aca="false">IF(COUNTIF($A$5:$A$183,A175)&lt;&gt;1,"ID 중복",IF(B175="C 연결",IF(COUNTIF(연결!$A$5:$A$35,D175)=1,"OK","연결 없음"),"OK"))</f>
        <v>OK</v>
      </c>
    </row>
    <row r="176" customFormat="false" ht="33.75" hidden="false" customHeight="true" outlineLevel="0" collapsed="false">
      <c r="A176" s="13" t="s">
        <v>1671</v>
      </c>
      <c r="B176" s="4" t="s">
        <v>1665</v>
      </c>
      <c r="C176" s="6" t="s">
        <v>1666</v>
      </c>
      <c r="D176" s="27"/>
      <c r="E176" s="4" t="str">
        <f aca="false">IFERROR(INDEX(연결!$C$5:$C$35,MATCH(D176,연결!$A$5:$A$35,0)),"")</f>
        <v/>
      </c>
      <c r="F176" s="27" t="str">
        <f aca="false">IFERROR(INDEX(연결!$G$5:$G$35,MATCH(D176,연결!$A$5:$A$35,0)),"")</f>
        <v/>
      </c>
      <c r="G176" s="27" t="s">
        <v>1672</v>
      </c>
      <c r="H176" s="12" t="s">
        <v>1673</v>
      </c>
      <c r="I176" s="27" t="str">
        <f aca="false">IFERROR(INDEX(연결!$H$5:$H$35,MATCH(D176,연결!$A$5:$A$35,0)),"")</f>
        <v/>
      </c>
      <c r="J176" s="15" t="s">
        <v>746</v>
      </c>
      <c r="K176" s="15" t="s">
        <v>1674</v>
      </c>
      <c r="L176" s="6" t="s">
        <v>1670</v>
      </c>
      <c r="M176" s="20"/>
      <c r="N176" s="20"/>
      <c r="O176" s="20"/>
      <c r="P176" s="20"/>
      <c r="Q176" s="20"/>
      <c r="R176" s="20"/>
      <c r="S176" s="35" t="str">
        <f aca="false">IFERROR(COUNTIF(M176:R176,"&gt;=3")/COUNT(M176:R176),"")</f>
        <v/>
      </c>
      <c r="T176" s="27" t="str">
        <f aca="false">IF(S176="","",IF(S176&gt;=검증!$B$4,"채택","수정·토론"))</f>
        <v/>
      </c>
      <c r="U176" s="27" t="str">
        <f aca="false">IF(COUNTIF($A$5:$A$183,A176)&lt;&gt;1,"ID 중복",IF(B176="C 연결",IF(COUNTIF(연결!$A$5:$A$35,D176)=1,"OK","연결 없음"),"OK"))</f>
        <v>OK</v>
      </c>
    </row>
    <row r="177" customFormat="false" ht="33.75" hidden="false" customHeight="true" outlineLevel="0" collapsed="false">
      <c r="A177" s="13" t="s">
        <v>1675</v>
      </c>
      <c r="B177" s="4" t="s">
        <v>1665</v>
      </c>
      <c r="C177" s="6" t="s">
        <v>1666</v>
      </c>
      <c r="D177" s="27"/>
      <c r="E177" s="4" t="str">
        <f aca="false">IFERROR(INDEX(연결!$C$5:$C$35,MATCH(D177,연결!$A$5:$A$35,0)),"")</f>
        <v/>
      </c>
      <c r="F177" s="27" t="str">
        <f aca="false">IFERROR(INDEX(연결!$G$5:$G$35,MATCH(D177,연결!$A$5:$A$35,0)),"")</f>
        <v/>
      </c>
      <c r="G177" s="27" t="s">
        <v>1676</v>
      </c>
      <c r="H177" s="12" t="s">
        <v>1677</v>
      </c>
      <c r="I177" s="27" t="str">
        <f aca="false">IFERROR(INDEX(연결!$H$5:$H$35,MATCH(D177,연결!$A$5:$A$35,0)),"")</f>
        <v/>
      </c>
      <c r="J177" s="15" t="s">
        <v>746</v>
      </c>
      <c r="K177" s="15" t="s">
        <v>1678</v>
      </c>
      <c r="L177" s="6" t="s">
        <v>1670</v>
      </c>
      <c r="M177" s="20"/>
      <c r="N177" s="20"/>
      <c r="O177" s="20"/>
      <c r="P177" s="20"/>
      <c r="Q177" s="20"/>
      <c r="R177" s="20"/>
      <c r="S177" s="35" t="str">
        <f aca="false">IFERROR(COUNTIF(M177:R177,"&gt;=3")/COUNT(M177:R177),"")</f>
        <v/>
      </c>
      <c r="T177" s="27" t="str">
        <f aca="false">IF(S177="","",IF(S177&gt;=검증!$B$4,"채택","수정·토론"))</f>
        <v/>
      </c>
      <c r="U177" s="27" t="str">
        <f aca="false">IF(COUNTIF($A$5:$A$183,A177)&lt;&gt;1,"ID 중복",IF(B177="C 연결",IF(COUNTIF(연결!$A$5:$A$35,D177)=1,"OK","연결 없음"),"OK"))</f>
        <v>OK</v>
      </c>
    </row>
    <row r="178" customFormat="false" ht="33.75" hidden="false" customHeight="true" outlineLevel="0" collapsed="false">
      <c r="A178" s="13" t="s">
        <v>1679</v>
      </c>
      <c r="B178" s="4" t="s">
        <v>1665</v>
      </c>
      <c r="C178" s="6" t="s">
        <v>1666</v>
      </c>
      <c r="D178" s="27"/>
      <c r="E178" s="4" t="str">
        <f aca="false">IFERROR(INDEX(연결!$C$5:$C$35,MATCH(D178,연결!$A$5:$A$35,0)),"")</f>
        <v/>
      </c>
      <c r="F178" s="27" t="str">
        <f aca="false">IFERROR(INDEX(연결!$G$5:$G$35,MATCH(D178,연결!$A$5:$A$35,0)),"")</f>
        <v/>
      </c>
      <c r="G178" s="27" t="s">
        <v>1680</v>
      </c>
      <c r="H178" s="12" t="s">
        <v>1681</v>
      </c>
      <c r="I178" s="27" t="str">
        <f aca="false">IFERROR(INDEX(연결!$H$5:$H$35,MATCH(D178,연결!$A$5:$A$35,0)),"")</f>
        <v/>
      </c>
      <c r="J178" s="15" t="s">
        <v>746</v>
      </c>
      <c r="K178" s="15" t="s">
        <v>1682</v>
      </c>
      <c r="L178" s="6" t="s">
        <v>1670</v>
      </c>
      <c r="M178" s="20"/>
      <c r="N178" s="20"/>
      <c r="O178" s="20"/>
      <c r="P178" s="20"/>
      <c r="Q178" s="20"/>
      <c r="R178" s="20"/>
      <c r="S178" s="35" t="str">
        <f aca="false">IFERROR(COUNTIF(M178:R178,"&gt;=3")/COUNT(M178:R178),"")</f>
        <v/>
      </c>
      <c r="T178" s="27" t="str">
        <f aca="false">IF(S178="","",IF(S178&gt;=검증!$B$4,"채택","수정·토론"))</f>
        <v/>
      </c>
      <c r="U178" s="27" t="str">
        <f aca="false">IF(COUNTIF($A$5:$A$183,A178)&lt;&gt;1,"ID 중복",IF(B178="C 연결",IF(COUNTIF(연결!$A$5:$A$35,D178)=1,"OK","연결 없음"),"OK"))</f>
        <v>OK</v>
      </c>
    </row>
    <row r="179" customFormat="false" ht="33.75" hidden="false" customHeight="true" outlineLevel="0" collapsed="false">
      <c r="A179" s="13" t="s">
        <v>1683</v>
      </c>
      <c r="B179" s="4" t="s">
        <v>1684</v>
      </c>
      <c r="C179" s="6" t="s">
        <v>1666</v>
      </c>
      <c r="D179" s="27"/>
      <c r="E179" s="4" t="str">
        <f aca="false">IFERROR(INDEX(연결!$C$5:$C$35,MATCH(D179,연결!$A$5:$A$35,0)),"")</f>
        <v/>
      </c>
      <c r="F179" s="27" t="str">
        <f aca="false">IFERROR(INDEX(연결!$G$5:$G$35,MATCH(D179,연결!$A$5:$A$35,0)),"")</f>
        <v/>
      </c>
      <c r="G179" s="27" t="s">
        <v>1685</v>
      </c>
      <c r="H179" s="12" t="s">
        <v>1686</v>
      </c>
      <c r="I179" s="27" t="str">
        <f aca="false">IFERROR(INDEX(연결!$H$5:$H$35,MATCH(D179,연결!$A$5:$A$35,0)),"")</f>
        <v/>
      </c>
      <c r="J179" s="27"/>
      <c r="K179" s="15" t="s">
        <v>1687</v>
      </c>
      <c r="L179" s="6" t="s">
        <v>1670</v>
      </c>
      <c r="M179" s="20"/>
      <c r="N179" s="20"/>
      <c r="O179" s="20"/>
      <c r="P179" s="20"/>
      <c r="Q179" s="20"/>
      <c r="R179" s="20"/>
      <c r="S179" s="35" t="str">
        <f aca="false">IFERROR(COUNTIF(M179:R179,"&gt;=3")/COUNT(M179:R179),"")</f>
        <v/>
      </c>
      <c r="T179" s="27" t="str">
        <f aca="false">IF(S179="","",IF(S179&gt;=검증!$B$4,"채택","수정·토론"))</f>
        <v/>
      </c>
      <c r="U179" s="27" t="str">
        <f aca="false">IF(COUNTIF($A$5:$A$183,A179)&lt;&gt;1,"ID 중복",IF(B179="C 연결",IF(COUNTIF(연결!$A$5:$A$35,D179)=1,"OK","연결 없음"),"OK"))</f>
        <v>OK</v>
      </c>
    </row>
    <row r="180" customFormat="false" ht="33.75" hidden="false" customHeight="true" outlineLevel="0" collapsed="false">
      <c r="A180" s="13" t="s">
        <v>1688</v>
      </c>
      <c r="B180" s="4" t="s">
        <v>1689</v>
      </c>
      <c r="C180" s="6" t="s">
        <v>1666</v>
      </c>
      <c r="D180" s="27"/>
      <c r="E180" s="4" t="str">
        <f aca="false">IFERROR(INDEX(연결!$C$5:$C$35,MATCH(D180,연결!$A$5:$A$35,0)),"")</f>
        <v/>
      </c>
      <c r="F180" s="27" t="str">
        <f aca="false">IFERROR(INDEX(연결!$G$5:$G$35,MATCH(D180,연결!$A$5:$A$35,0)),"")</f>
        <v/>
      </c>
      <c r="G180" s="27" t="s">
        <v>1690</v>
      </c>
      <c r="H180" s="12" t="s">
        <v>1691</v>
      </c>
      <c r="I180" s="27" t="str">
        <f aca="false">IFERROR(INDEX(연결!$H$5:$H$35,MATCH(D180,연결!$A$5:$A$35,0)),"")</f>
        <v/>
      </c>
      <c r="J180" s="27"/>
      <c r="K180" s="15" t="s">
        <v>1692</v>
      </c>
      <c r="L180" s="6" t="s">
        <v>1670</v>
      </c>
      <c r="M180" s="20"/>
      <c r="N180" s="20"/>
      <c r="O180" s="20"/>
      <c r="P180" s="20"/>
      <c r="Q180" s="20"/>
      <c r="R180" s="20"/>
      <c r="S180" s="35" t="str">
        <f aca="false">IFERROR(COUNTIF(M180:R180,"&gt;=3")/COUNT(M180:R180),"")</f>
        <v/>
      </c>
      <c r="T180" s="27" t="str">
        <f aca="false">IF(S180="","",IF(S180&gt;=검증!$B$4,"채택","수정·토론"))</f>
        <v/>
      </c>
      <c r="U180" s="27" t="str">
        <f aca="false">IF(COUNTIF($A$5:$A$183,A180)&lt;&gt;1,"ID 중복",IF(B180="C 연결",IF(COUNTIF(연결!$A$5:$A$35,D180)=1,"OK","연결 없음"),"OK"))</f>
        <v>OK</v>
      </c>
    </row>
    <row r="181" customFormat="false" ht="33.75" hidden="false" customHeight="true" outlineLevel="0" collapsed="false">
      <c r="A181" s="13" t="s">
        <v>1693</v>
      </c>
      <c r="B181" s="4" t="s">
        <v>1689</v>
      </c>
      <c r="C181" s="6" t="s">
        <v>1666</v>
      </c>
      <c r="D181" s="27"/>
      <c r="E181" s="4" t="str">
        <f aca="false">IFERROR(INDEX(연결!$C$5:$C$35,MATCH(D181,연결!$A$5:$A$35,0)),"")</f>
        <v/>
      </c>
      <c r="F181" s="27" t="str">
        <f aca="false">IFERROR(INDEX(연결!$G$5:$G$35,MATCH(D181,연결!$A$5:$A$35,0)),"")</f>
        <v/>
      </c>
      <c r="G181" s="27" t="s">
        <v>1690</v>
      </c>
      <c r="H181" s="12" t="s">
        <v>1694</v>
      </c>
      <c r="I181" s="27" t="str">
        <f aca="false">IFERROR(INDEX(연결!$H$5:$H$35,MATCH(D181,연결!$A$5:$A$35,0)),"")</f>
        <v/>
      </c>
      <c r="J181" s="27"/>
      <c r="K181" s="15" t="s">
        <v>1695</v>
      </c>
      <c r="L181" s="6" t="s">
        <v>1670</v>
      </c>
      <c r="M181" s="20"/>
      <c r="N181" s="20"/>
      <c r="O181" s="20"/>
      <c r="P181" s="20"/>
      <c r="Q181" s="20"/>
      <c r="R181" s="20"/>
      <c r="S181" s="35" t="str">
        <f aca="false">IFERROR(COUNTIF(M181:R181,"&gt;=3")/COUNT(M181:R181),"")</f>
        <v/>
      </c>
      <c r="T181" s="27" t="str">
        <f aca="false">IF(S181="","",IF(S181&gt;=검증!$B$4,"채택","수정·토론"))</f>
        <v/>
      </c>
      <c r="U181" s="27" t="str">
        <f aca="false">IF(COUNTIF($A$5:$A$183,A181)&lt;&gt;1,"ID 중복",IF(B181="C 연결",IF(COUNTIF(연결!$A$5:$A$35,D181)=1,"OK","연결 없음"),"OK"))</f>
        <v>OK</v>
      </c>
    </row>
    <row r="182" customFormat="false" ht="33.75" hidden="false" customHeight="true" outlineLevel="0" collapsed="false">
      <c r="A182" s="13" t="s">
        <v>1696</v>
      </c>
      <c r="B182" s="4" t="s">
        <v>1689</v>
      </c>
      <c r="C182" s="6" t="s">
        <v>1666</v>
      </c>
      <c r="D182" s="27"/>
      <c r="E182" s="4" t="str">
        <f aca="false">IFERROR(INDEX(연결!$C$5:$C$35,MATCH(D182,연결!$A$5:$A$35,0)),"")</f>
        <v/>
      </c>
      <c r="F182" s="27" t="str">
        <f aca="false">IFERROR(INDEX(연결!$G$5:$G$35,MATCH(D182,연결!$A$5:$A$35,0)),"")</f>
        <v/>
      </c>
      <c r="G182" s="27" t="s">
        <v>1690</v>
      </c>
      <c r="H182" s="14" t="s">
        <v>1697</v>
      </c>
      <c r="I182" s="27" t="str">
        <f aca="false">IFERROR(INDEX(연결!$H$5:$H$35,MATCH(D182,연결!$A$5:$A$35,0)),"")</f>
        <v/>
      </c>
      <c r="J182" s="27"/>
      <c r="K182" s="15" t="s">
        <v>1698</v>
      </c>
      <c r="L182" s="6" t="s">
        <v>1699</v>
      </c>
      <c r="M182" s="20"/>
      <c r="N182" s="20"/>
      <c r="O182" s="20"/>
      <c r="P182" s="20"/>
      <c r="Q182" s="20"/>
      <c r="R182" s="20"/>
      <c r="S182" s="35" t="str">
        <f aca="false">IFERROR(COUNTIF(M182:R182,"&gt;=3")/COUNT(M182:R182),"")</f>
        <v/>
      </c>
      <c r="T182" s="27" t="str">
        <f aca="false">IF(S182="","",IF(S182&gt;=검증!$B$4,"채택","수정·토론"))</f>
        <v/>
      </c>
      <c r="U182" s="27" t="str">
        <f aca="false">IF(COUNTIF($A$5:$A$183,A182)&lt;&gt;1,"ID 중복",IF(B182="C 연결",IF(COUNTIF(연결!$A$5:$A$35,D182)=1,"OK","연결 없음"),"OK"))</f>
        <v>OK</v>
      </c>
    </row>
    <row r="183" customFormat="false" ht="33.75" hidden="false" customHeight="true" outlineLevel="0" collapsed="false">
      <c r="A183" s="13" t="s">
        <v>1700</v>
      </c>
      <c r="B183" s="4" t="s">
        <v>1689</v>
      </c>
      <c r="C183" s="6" t="s">
        <v>1666</v>
      </c>
      <c r="D183" s="27"/>
      <c r="E183" s="4" t="str">
        <f aca="false">IFERROR(INDEX(연결!$C$5:$C$35,MATCH(D183,연결!$A$5:$A$35,0)),"")</f>
        <v/>
      </c>
      <c r="F183" s="27" t="str">
        <f aca="false">IFERROR(INDEX(연결!$G$5:$G$35,MATCH(D183,연결!$A$5:$A$35,0)),"")</f>
        <v/>
      </c>
      <c r="G183" s="27" t="s">
        <v>1701</v>
      </c>
      <c r="H183" s="12" t="s">
        <v>1702</v>
      </c>
      <c r="I183" s="27" t="str">
        <f aca="false">IFERROR(INDEX(연결!$H$5:$H$35,MATCH(D183,연결!$A$5:$A$35,0)),"")</f>
        <v/>
      </c>
      <c r="J183" s="15" t="s">
        <v>746</v>
      </c>
      <c r="K183" s="15" t="s">
        <v>1703</v>
      </c>
      <c r="L183" s="6" t="s">
        <v>1670</v>
      </c>
      <c r="M183" s="20"/>
      <c r="N183" s="20"/>
      <c r="O183" s="20"/>
      <c r="P183" s="20"/>
      <c r="Q183" s="20"/>
      <c r="R183" s="20"/>
      <c r="S183" s="35" t="str">
        <f aca="false">IFERROR(COUNTIF(M183:R183,"&gt;=3")/COUNT(M183:R183),"")</f>
        <v/>
      </c>
      <c r="T183" s="27" t="str">
        <f aca="false">IF(S183="","",IF(S183&gt;=검증!$B$4,"채택","수정·토론"))</f>
        <v/>
      </c>
      <c r="U183" s="27" t="str">
        <f aca="false">IF(COUNTIF($A$5:$A$183,A183)&lt;&gt;1,"ID 중복",IF(B183="C 연결",IF(COUNTIF(연결!$A$5:$A$35,D183)=1,"OK","연결 없음"),"OK"))</f>
        <v>OK</v>
      </c>
    </row>
  </sheetData>
  <autoFilter ref="A4:U183"/>
  <dataValidations count="1">
    <dataValidation allowBlank="true" error="1~4" errorStyle="stop" operator="between" showDropDown="false" showErrorMessage="true" showInputMessage="false" sqref="M5:R183" type="whole">
      <formula1>1</formula1>
      <formula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36"/>
    <col collapsed="false" customWidth="true" hidden="false" outlineLevel="0" max="4" min="4" style="0" width="52"/>
    <col collapsed="false" customWidth="true" hidden="false" outlineLevel="0" max="5" min="5" style="0" width="12"/>
  </cols>
  <sheetData>
    <row r="1" customFormat="false" ht="19.4" hidden="false" customHeight="false" outlineLevel="0" collapsed="false">
      <c r="A1" s="1" t="s">
        <v>1704</v>
      </c>
    </row>
    <row r="2" customFormat="false" ht="15" hidden="false" customHeight="false" outlineLevel="0" collapsed="false">
      <c r="A2" s="22" t="s">
        <v>1705</v>
      </c>
    </row>
    <row r="4" customFormat="false" ht="15" hidden="false" customHeight="false" outlineLevel="0" collapsed="false">
      <c r="A4" s="8" t="s">
        <v>26</v>
      </c>
      <c r="B4" s="9" t="s">
        <v>1069</v>
      </c>
      <c r="C4" s="9" t="s">
        <v>1706</v>
      </c>
      <c r="D4" s="9" t="s">
        <v>1707</v>
      </c>
      <c r="E4" s="9" t="s">
        <v>1292</v>
      </c>
    </row>
    <row r="5" customFormat="false" ht="15" hidden="false" customHeight="false" outlineLevel="0" collapsed="false">
      <c r="A5" s="4" t="s">
        <v>307</v>
      </c>
      <c r="B5" s="4" t="s">
        <v>1708</v>
      </c>
      <c r="C5" s="6" t="s">
        <v>1709</v>
      </c>
      <c r="D5" s="6" t="s">
        <v>1710</v>
      </c>
      <c r="E5" s="4" t="s">
        <v>1711</v>
      </c>
    </row>
    <row r="6" customFormat="false" ht="15" hidden="false" customHeight="false" outlineLevel="0" collapsed="false">
      <c r="A6" s="4" t="s">
        <v>315</v>
      </c>
      <c r="B6" s="4" t="s">
        <v>1708</v>
      </c>
      <c r="C6" s="6" t="s">
        <v>1712</v>
      </c>
      <c r="D6" s="4" t="s">
        <v>1713</v>
      </c>
      <c r="E6" s="4" t="s">
        <v>1714</v>
      </c>
    </row>
    <row r="7" customFormat="false" ht="15" hidden="false" customHeight="false" outlineLevel="0" collapsed="false">
      <c r="A7" s="4" t="s">
        <v>321</v>
      </c>
      <c r="B7" s="4" t="s">
        <v>1708</v>
      </c>
      <c r="C7" s="4" t="s">
        <v>1715</v>
      </c>
      <c r="D7" s="4" t="s">
        <v>1716</v>
      </c>
      <c r="E7" s="4" t="s">
        <v>1717</v>
      </c>
    </row>
    <row r="8" customFormat="false" ht="15" hidden="false" customHeight="false" outlineLevel="0" collapsed="false">
      <c r="A8" s="4" t="s">
        <v>327</v>
      </c>
      <c r="B8" s="4" t="s">
        <v>1708</v>
      </c>
      <c r="C8" s="4" t="s">
        <v>1718</v>
      </c>
      <c r="D8" s="6" t="s">
        <v>1719</v>
      </c>
      <c r="E8" s="4" t="s">
        <v>1720</v>
      </c>
    </row>
    <row r="9" customFormat="false" ht="15" hidden="false" customHeight="false" outlineLevel="0" collapsed="false">
      <c r="A9" s="4" t="s">
        <v>333</v>
      </c>
      <c r="B9" s="4" t="s">
        <v>1708</v>
      </c>
      <c r="C9" s="6" t="s">
        <v>1721</v>
      </c>
      <c r="D9" s="4" t="s">
        <v>1722</v>
      </c>
      <c r="E9" s="4" t="s">
        <v>1723</v>
      </c>
    </row>
    <row r="10" customFormat="false" ht="15" hidden="false" customHeight="false" outlineLevel="0" collapsed="false">
      <c r="A10" s="4" t="s">
        <v>338</v>
      </c>
      <c r="B10" s="4" t="s">
        <v>1708</v>
      </c>
      <c r="C10" s="4" t="s">
        <v>1724</v>
      </c>
      <c r="D10" s="6" t="s">
        <v>1725</v>
      </c>
      <c r="E10" s="4" t="s">
        <v>1726</v>
      </c>
    </row>
    <row r="11" customFormat="false" ht="15" hidden="false" customHeight="false" outlineLevel="0" collapsed="false">
      <c r="A11" s="4" t="s">
        <v>343</v>
      </c>
      <c r="B11" s="4" t="s">
        <v>1708</v>
      </c>
      <c r="C11" s="6" t="s">
        <v>1727</v>
      </c>
      <c r="D11" s="6" t="s">
        <v>1728</v>
      </c>
      <c r="E11" s="4" t="s">
        <v>1729</v>
      </c>
    </row>
    <row r="12" customFormat="false" ht="15" hidden="false" customHeight="false" outlineLevel="0" collapsed="false">
      <c r="A12" s="4" t="s">
        <v>349</v>
      </c>
      <c r="B12" s="4" t="s">
        <v>1708</v>
      </c>
      <c r="C12" s="6" t="s">
        <v>1730</v>
      </c>
      <c r="D12" s="6" t="s">
        <v>1731</v>
      </c>
      <c r="E12" s="4" t="s">
        <v>1732</v>
      </c>
    </row>
    <row r="13" customFormat="false" ht="15" hidden="false" customHeight="false" outlineLevel="0" collapsed="false">
      <c r="A13" s="4" t="s">
        <v>354</v>
      </c>
      <c r="B13" s="4" t="s">
        <v>1708</v>
      </c>
      <c r="C13" s="4" t="s">
        <v>1733</v>
      </c>
      <c r="D13" s="6" t="s">
        <v>1734</v>
      </c>
      <c r="E13" s="4" t="s">
        <v>1735</v>
      </c>
    </row>
    <row r="14" customFormat="false" ht="15" hidden="false" customHeight="false" outlineLevel="0" collapsed="false">
      <c r="A14" s="4" t="s">
        <v>360</v>
      </c>
      <c r="B14" s="4" t="s">
        <v>1708</v>
      </c>
      <c r="C14" s="4" t="s">
        <v>1736</v>
      </c>
      <c r="D14" s="6" t="s">
        <v>1737</v>
      </c>
      <c r="E14" s="4" t="s">
        <v>1738</v>
      </c>
    </row>
    <row r="15" customFormat="false" ht="15" hidden="false" customHeight="false" outlineLevel="0" collapsed="false">
      <c r="A15" s="4" t="s">
        <v>524</v>
      </c>
      <c r="B15" s="4" t="s">
        <v>1739</v>
      </c>
      <c r="C15" s="4" t="s">
        <v>1740</v>
      </c>
      <c r="D15" s="4" t="s">
        <v>1741</v>
      </c>
      <c r="E15" s="4" t="s">
        <v>1742</v>
      </c>
    </row>
    <row r="16" customFormat="false" ht="15" hidden="false" customHeight="false" outlineLevel="0" collapsed="false">
      <c r="A16" s="4" t="s">
        <v>530</v>
      </c>
      <c r="B16" s="4" t="s">
        <v>1739</v>
      </c>
      <c r="C16" s="4" t="s">
        <v>1743</v>
      </c>
      <c r="D16" s="4" t="s">
        <v>1741</v>
      </c>
      <c r="E16" s="4" t="s">
        <v>1744</v>
      </c>
    </row>
    <row r="17" customFormat="false" ht="15" hidden="false" customHeight="false" outlineLevel="0" collapsed="false">
      <c r="A17" s="4" t="s">
        <v>534</v>
      </c>
      <c r="B17" s="4" t="s">
        <v>1739</v>
      </c>
      <c r="C17" s="4" t="s">
        <v>1745</v>
      </c>
      <c r="D17" s="4" t="s">
        <v>1741</v>
      </c>
      <c r="E17" s="4" t="s">
        <v>1746</v>
      </c>
    </row>
    <row r="18" customFormat="false" ht="15" hidden="false" customHeight="false" outlineLevel="0" collapsed="false">
      <c r="A18" s="4" t="s">
        <v>538</v>
      </c>
      <c r="B18" s="4" t="s">
        <v>1739</v>
      </c>
      <c r="C18" s="4" t="s">
        <v>1747</v>
      </c>
      <c r="D18" s="4" t="s">
        <v>1741</v>
      </c>
      <c r="E18" s="4" t="s">
        <v>1748</v>
      </c>
    </row>
    <row r="19" customFormat="false" ht="15" hidden="false" customHeight="false" outlineLevel="0" collapsed="false">
      <c r="A19" s="4" t="s">
        <v>543</v>
      </c>
      <c r="B19" s="4" t="s">
        <v>1739</v>
      </c>
      <c r="C19" s="4" t="s">
        <v>1749</v>
      </c>
      <c r="D19" s="4" t="s">
        <v>1741</v>
      </c>
      <c r="E19" s="4" t="s">
        <v>1750</v>
      </c>
    </row>
    <row r="20" customFormat="false" ht="15" hidden="false" customHeight="false" outlineLevel="0" collapsed="false">
      <c r="A20" s="4" t="s">
        <v>547</v>
      </c>
      <c r="B20" s="4" t="s">
        <v>1739</v>
      </c>
      <c r="C20" s="4" t="s">
        <v>1751</v>
      </c>
      <c r="D20" s="4" t="s">
        <v>1741</v>
      </c>
      <c r="E20" s="4" t="s">
        <v>1752</v>
      </c>
    </row>
    <row r="21" customFormat="false" ht="15" hidden="false" customHeight="false" outlineLevel="0" collapsed="false">
      <c r="A21" s="4" t="s">
        <v>43</v>
      </c>
      <c r="B21" s="4" t="s">
        <v>1739</v>
      </c>
      <c r="C21" s="4" t="s">
        <v>1753</v>
      </c>
      <c r="D21" s="4" t="s">
        <v>1741</v>
      </c>
      <c r="E21" s="4" t="s">
        <v>1754</v>
      </c>
    </row>
    <row r="22" customFormat="false" ht="15" hidden="false" customHeight="false" outlineLevel="0" collapsed="false">
      <c r="A22" s="4" t="s">
        <v>555</v>
      </c>
      <c r="B22" s="4" t="s">
        <v>1739</v>
      </c>
      <c r="C22" s="4" t="s">
        <v>1755</v>
      </c>
      <c r="D22" s="4" t="s">
        <v>1741</v>
      </c>
      <c r="E22" s="4" t="s">
        <v>1756</v>
      </c>
    </row>
    <row r="23" customFormat="false" ht="15" hidden="false" customHeight="false" outlineLevel="0" collapsed="false">
      <c r="A23" s="4" t="s">
        <v>560</v>
      </c>
      <c r="B23" s="4" t="s">
        <v>1739</v>
      </c>
      <c r="C23" s="4" t="s">
        <v>1757</v>
      </c>
      <c r="D23" s="4" t="s">
        <v>1741</v>
      </c>
      <c r="E23" s="4" t="s">
        <v>1758</v>
      </c>
    </row>
    <row r="24" customFormat="false" ht="15" hidden="false" customHeight="false" outlineLevel="0" collapsed="false">
      <c r="A24" s="4" t="s">
        <v>565</v>
      </c>
      <c r="B24" s="4" t="s">
        <v>1739</v>
      </c>
      <c r="C24" s="4" t="s">
        <v>1759</v>
      </c>
      <c r="D24" s="4" t="s">
        <v>1741</v>
      </c>
      <c r="E24" s="4" t="s">
        <v>1760</v>
      </c>
    </row>
    <row r="25" customFormat="false" ht="15" hidden="false" customHeight="false" outlineLevel="0" collapsed="false">
      <c r="A25" s="4" t="s">
        <v>570</v>
      </c>
      <c r="B25" s="4" t="s">
        <v>1739</v>
      </c>
      <c r="C25" s="4" t="s">
        <v>1761</v>
      </c>
      <c r="D25" s="4" t="s">
        <v>1741</v>
      </c>
      <c r="E25" s="4" t="s">
        <v>1762</v>
      </c>
    </row>
    <row r="26" customFormat="false" ht="15" hidden="false" customHeight="false" outlineLevel="0" collapsed="false">
      <c r="A26" s="4" t="s">
        <v>574</v>
      </c>
      <c r="B26" s="4" t="s">
        <v>1739</v>
      </c>
      <c r="C26" s="4" t="s">
        <v>1763</v>
      </c>
      <c r="D26" s="4" t="s">
        <v>1741</v>
      </c>
      <c r="E26" s="4" t="s">
        <v>1764</v>
      </c>
    </row>
    <row r="27" customFormat="false" ht="15" hidden="false" customHeight="false" outlineLevel="0" collapsed="false">
      <c r="A27" s="4" t="s">
        <v>579</v>
      </c>
      <c r="B27" s="4" t="s">
        <v>1739</v>
      </c>
      <c r="C27" s="4" t="s">
        <v>1765</v>
      </c>
      <c r="D27" s="4" t="s">
        <v>1741</v>
      </c>
      <c r="E27" s="4" t="s">
        <v>1766</v>
      </c>
    </row>
    <row r="28" customFormat="false" ht="15" hidden="false" customHeight="false" outlineLevel="0" collapsed="false">
      <c r="A28" s="4" t="s">
        <v>585</v>
      </c>
      <c r="B28" s="4" t="s">
        <v>1739</v>
      </c>
      <c r="C28" s="4" t="s">
        <v>1767</v>
      </c>
      <c r="D28" s="4" t="s">
        <v>1741</v>
      </c>
      <c r="E28" s="4" t="s">
        <v>746</v>
      </c>
    </row>
    <row r="29" customFormat="false" ht="15" hidden="false" customHeight="false" outlineLevel="0" collapsed="false">
      <c r="A29" s="4" t="s">
        <v>590</v>
      </c>
      <c r="B29" s="4" t="s">
        <v>1739</v>
      </c>
      <c r="C29" s="4" t="s">
        <v>1768</v>
      </c>
      <c r="D29" s="4" t="s">
        <v>1741</v>
      </c>
      <c r="E29" s="4" t="s">
        <v>1769</v>
      </c>
    </row>
    <row r="30" customFormat="false" ht="15" hidden="false" customHeight="false" outlineLevel="0" collapsed="false">
      <c r="A30" s="4" t="s">
        <v>595</v>
      </c>
      <c r="B30" s="4" t="s">
        <v>1739</v>
      </c>
      <c r="C30" s="4" t="s">
        <v>1770</v>
      </c>
      <c r="D30" s="4" t="s">
        <v>1741</v>
      </c>
      <c r="E30" s="4" t="s">
        <v>1771</v>
      </c>
    </row>
    <row r="31" customFormat="false" ht="15" hidden="false" customHeight="false" outlineLevel="0" collapsed="false">
      <c r="A31" s="4" t="s">
        <v>626</v>
      </c>
      <c r="B31" s="4" t="s">
        <v>1739</v>
      </c>
      <c r="C31" s="4" t="s">
        <v>1772</v>
      </c>
      <c r="D31" s="4" t="s">
        <v>1741</v>
      </c>
      <c r="E31" s="4" t="s">
        <v>1773</v>
      </c>
    </row>
    <row r="32" customFormat="false" ht="15" hidden="false" customHeight="false" outlineLevel="0" collapsed="false">
      <c r="A32" s="4" t="s">
        <v>630</v>
      </c>
      <c r="B32" s="4" t="s">
        <v>1739</v>
      </c>
      <c r="C32" s="4" t="s">
        <v>1774</v>
      </c>
      <c r="D32" s="4" t="s">
        <v>1741</v>
      </c>
      <c r="E32" s="4" t="s">
        <v>203</v>
      </c>
    </row>
    <row r="33" customFormat="false" ht="15" hidden="false" customHeight="false" outlineLevel="0" collapsed="false">
      <c r="A33" s="4" t="s">
        <v>1775</v>
      </c>
      <c r="B33" s="4" t="s">
        <v>1739</v>
      </c>
      <c r="C33" s="4" t="s">
        <v>1776</v>
      </c>
      <c r="D33" s="4" t="s">
        <v>1741</v>
      </c>
      <c r="E33" s="4" t="s">
        <v>1777</v>
      </c>
    </row>
    <row r="34" customFormat="false" ht="15" hidden="false" customHeight="false" outlineLevel="0" collapsed="false">
      <c r="A34" s="4" t="s">
        <v>1778</v>
      </c>
      <c r="B34" s="4" t="s">
        <v>1739</v>
      </c>
      <c r="C34" s="4" t="s">
        <v>1779</v>
      </c>
      <c r="D34" s="4" t="s">
        <v>1741</v>
      </c>
      <c r="E34" s="4" t="s">
        <v>1780</v>
      </c>
    </row>
    <row r="35" customFormat="false" ht="15" hidden="false" customHeight="false" outlineLevel="0" collapsed="false">
      <c r="A35" s="4" t="s">
        <v>1781</v>
      </c>
      <c r="B35" s="4" t="s">
        <v>1739</v>
      </c>
      <c r="C35" s="4" t="s">
        <v>1782</v>
      </c>
      <c r="D35" s="4" t="s">
        <v>1741</v>
      </c>
      <c r="E35" s="4" t="s">
        <v>1783</v>
      </c>
    </row>
    <row r="36" customFormat="false" ht="15" hidden="false" customHeight="false" outlineLevel="0" collapsed="false">
      <c r="A36" s="4" t="s">
        <v>1784</v>
      </c>
      <c r="B36" s="4" t="s">
        <v>1739</v>
      </c>
      <c r="C36" s="4" t="s">
        <v>1785</v>
      </c>
      <c r="D36" s="4" t="s">
        <v>1741</v>
      </c>
      <c r="E36" s="4" t="s">
        <v>1786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D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12" min="2" style="0" width="8"/>
  </cols>
  <sheetData>
    <row r="1" customFormat="false" ht="19.4" hidden="false" customHeight="false" outlineLevel="0" collapsed="false">
      <c r="A1" s="7" t="s">
        <v>1787</v>
      </c>
    </row>
    <row r="2" customFormat="false" ht="15" hidden="false" customHeight="false" outlineLevel="0" collapsed="false">
      <c r="A2" s="22" t="s">
        <v>1788</v>
      </c>
    </row>
    <row r="3" customFormat="false" ht="15" hidden="false" customHeight="false" outlineLevel="0" collapsed="false">
      <c r="A3" s="36" t="s">
        <v>1789</v>
      </c>
      <c r="AH3" s="37" t="s">
        <v>653</v>
      </c>
      <c r="AI3" s="37" t="s">
        <v>653</v>
      </c>
      <c r="AJ3" s="37" t="s">
        <v>653</v>
      </c>
      <c r="AK3" s="37" t="s">
        <v>653</v>
      </c>
      <c r="AL3" s="37" t="s">
        <v>653</v>
      </c>
      <c r="AM3" s="37" t="s">
        <v>665</v>
      </c>
      <c r="AN3" s="37" t="s">
        <v>665</v>
      </c>
      <c r="AO3" s="37" t="s">
        <v>665</v>
      </c>
      <c r="AP3" s="37" t="s">
        <v>665</v>
      </c>
      <c r="AQ3" s="37" t="s">
        <v>665</v>
      </c>
      <c r="AR3" s="37" t="s">
        <v>373</v>
      </c>
      <c r="AS3" s="37" t="s">
        <v>373</v>
      </c>
      <c r="AT3" s="37" t="s">
        <v>373</v>
      </c>
      <c r="AU3" s="37" t="s">
        <v>373</v>
      </c>
      <c r="AV3" s="37" t="s">
        <v>373</v>
      </c>
      <c r="AW3" s="37" t="s">
        <v>675</v>
      </c>
      <c r="AX3" s="37" t="s">
        <v>675</v>
      </c>
      <c r="AY3" s="37" t="s">
        <v>675</v>
      </c>
      <c r="AZ3" s="37" t="s">
        <v>675</v>
      </c>
      <c r="BA3" s="37" t="s">
        <v>675</v>
      </c>
      <c r="BB3" s="37" t="s">
        <v>680</v>
      </c>
      <c r="BC3" s="37" t="s">
        <v>680</v>
      </c>
      <c r="BD3" s="37" t="s">
        <v>680</v>
      </c>
      <c r="BE3" s="37" t="s">
        <v>680</v>
      </c>
      <c r="BF3" s="37" t="s">
        <v>680</v>
      </c>
      <c r="BG3" s="37" t="s">
        <v>381</v>
      </c>
      <c r="BH3" s="37" t="s">
        <v>381</v>
      </c>
      <c r="BI3" s="37" t="s">
        <v>381</v>
      </c>
      <c r="BJ3" s="37" t="s">
        <v>381</v>
      </c>
      <c r="BK3" s="37" t="s">
        <v>381</v>
      </c>
      <c r="BL3" s="37" t="s">
        <v>385</v>
      </c>
      <c r="BM3" s="37" t="s">
        <v>385</v>
      </c>
      <c r="BN3" s="37" t="s">
        <v>385</v>
      </c>
      <c r="BO3" s="37" t="s">
        <v>385</v>
      </c>
      <c r="BP3" s="37" t="s">
        <v>385</v>
      </c>
      <c r="BQ3" s="37" t="s">
        <v>389</v>
      </c>
      <c r="BR3" s="37" t="s">
        <v>389</v>
      </c>
      <c r="BS3" s="37" t="s">
        <v>389</v>
      </c>
      <c r="BT3" s="37" t="s">
        <v>389</v>
      </c>
      <c r="BU3" s="37" t="s">
        <v>389</v>
      </c>
      <c r="BV3" s="37" t="s">
        <v>393</v>
      </c>
      <c r="BW3" s="37" t="s">
        <v>393</v>
      </c>
      <c r="BX3" s="37" t="s">
        <v>393</v>
      </c>
      <c r="BY3" s="37" t="s">
        <v>393</v>
      </c>
      <c r="BZ3" s="37" t="s">
        <v>393</v>
      </c>
      <c r="CA3" s="37" t="s">
        <v>703</v>
      </c>
      <c r="CB3" s="37" t="s">
        <v>703</v>
      </c>
      <c r="CC3" s="37" t="s">
        <v>703</v>
      </c>
      <c r="CD3" s="37" t="s">
        <v>703</v>
      </c>
      <c r="CE3" s="37" t="s">
        <v>703</v>
      </c>
      <c r="CF3" s="37" t="s">
        <v>573</v>
      </c>
      <c r="CG3" s="37" t="s">
        <v>573</v>
      </c>
      <c r="CH3" s="37" t="s">
        <v>573</v>
      </c>
      <c r="CI3" s="37" t="s">
        <v>573</v>
      </c>
      <c r="CJ3" s="37" t="s">
        <v>573</v>
      </c>
      <c r="CK3" s="37" t="s">
        <v>402</v>
      </c>
      <c r="CL3" s="37" t="s">
        <v>402</v>
      </c>
      <c r="CM3" s="37" t="s">
        <v>402</v>
      </c>
      <c r="CN3" s="37" t="s">
        <v>402</v>
      </c>
      <c r="CO3" s="37" t="s">
        <v>402</v>
      </c>
      <c r="CP3" s="37" t="s">
        <v>725</v>
      </c>
      <c r="CQ3" s="37" t="s">
        <v>725</v>
      </c>
      <c r="CR3" s="37" t="s">
        <v>725</v>
      </c>
      <c r="CS3" s="37" t="s">
        <v>725</v>
      </c>
      <c r="CT3" s="37" t="s">
        <v>725</v>
      </c>
      <c r="CU3" s="37" t="s">
        <v>414</v>
      </c>
      <c r="CV3" s="37" t="s">
        <v>414</v>
      </c>
      <c r="CW3" s="37" t="s">
        <v>414</v>
      </c>
      <c r="CX3" s="37" t="s">
        <v>414</v>
      </c>
      <c r="CY3" s="37" t="s">
        <v>414</v>
      </c>
      <c r="CZ3" s="37" t="s">
        <v>737</v>
      </c>
      <c r="DA3" s="37" t="s">
        <v>737</v>
      </c>
      <c r="DB3" s="37" t="s">
        <v>737</v>
      </c>
      <c r="DC3" s="37" t="s">
        <v>737</v>
      </c>
      <c r="DD3" s="37" t="s">
        <v>737</v>
      </c>
      <c r="DE3" s="37" t="s">
        <v>743</v>
      </c>
      <c r="DF3" s="37" t="s">
        <v>743</v>
      </c>
      <c r="DG3" s="37" t="s">
        <v>743</v>
      </c>
      <c r="DH3" s="37" t="s">
        <v>743</v>
      </c>
      <c r="DI3" s="37" t="s">
        <v>743</v>
      </c>
      <c r="DJ3" s="37" t="s">
        <v>743</v>
      </c>
      <c r="DK3" s="37" t="s">
        <v>750</v>
      </c>
      <c r="DL3" s="37" t="s">
        <v>750</v>
      </c>
      <c r="DM3" s="37" t="s">
        <v>750</v>
      </c>
      <c r="DN3" s="37" t="s">
        <v>750</v>
      </c>
      <c r="DO3" s="37" t="s">
        <v>750</v>
      </c>
      <c r="DP3" s="37" t="s">
        <v>758</v>
      </c>
      <c r="DQ3" s="37" t="s">
        <v>758</v>
      </c>
      <c r="DR3" s="37" t="s">
        <v>758</v>
      </c>
      <c r="DS3" s="37" t="s">
        <v>758</v>
      </c>
      <c r="DT3" s="37" t="s">
        <v>758</v>
      </c>
      <c r="DU3" s="37" t="s">
        <v>758</v>
      </c>
      <c r="DV3" s="37" t="s">
        <v>766</v>
      </c>
      <c r="DW3" s="37" t="s">
        <v>766</v>
      </c>
      <c r="DX3" s="37" t="s">
        <v>766</v>
      </c>
      <c r="DY3" s="37" t="s">
        <v>766</v>
      </c>
      <c r="DZ3" s="37" t="s">
        <v>766</v>
      </c>
      <c r="EA3" s="37" t="s">
        <v>766</v>
      </c>
      <c r="EB3" s="37" t="s">
        <v>770</v>
      </c>
      <c r="EC3" s="37" t="s">
        <v>770</v>
      </c>
      <c r="ED3" s="37" t="s">
        <v>770</v>
      </c>
      <c r="EE3" s="37" t="s">
        <v>770</v>
      </c>
      <c r="EF3" s="37" t="s">
        <v>770</v>
      </c>
      <c r="EG3" s="37" t="s">
        <v>770</v>
      </c>
      <c r="EH3" s="37" t="s">
        <v>431</v>
      </c>
      <c r="EI3" s="37" t="s">
        <v>431</v>
      </c>
      <c r="EJ3" s="37" t="s">
        <v>431</v>
      </c>
      <c r="EK3" s="37" t="s">
        <v>431</v>
      </c>
      <c r="EL3" s="37" t="s">
        <v>431</v>
      </c>
      <c r="EM3" s="37" t="s">
        <v>440</v>
      </c>
      <c r="EN3" s="37" t="s">
        <v>440</v>
      </c>
      <c r="EO3" s="37" t="s">
        <v>440</v>
      </c>
      <c r="EP3" s="37" t="s">
        <v>440</v>
      </c>
      <c r="EQ3" s="37" t="s">
        <v>440</v>
      </c>
      <c r="ER3" s="37" t="s">
        <v>782</v>
      </c>
      <c r="ES3" s="37" t="s">
        <v>782</v>
      </c>
      <c r="ET3" s="37" t="s">
        <v>782</v>
      </c>
      <c r="EU3" s="37" t="s">
        <v>782</v>
      </c>
      <c r="EV3" s="37" t="s">
        <v>782</v>
      </c>
      <c r="EW3" s="37" t="s">
        <v>782</v>
      </c>
      <c r="EX3" s="37" t="s">
        <v>786</v>
      </c>
      <c r="EY3" s="37" t="s">
        <v>786</v>
      </c>
      <c r="EZ3" s="37" t="s">
        <v>786</v>
      </c>
      <c r="FA3" s="37" t="s">
        <v>786</v>
      </c>
      <c r="FB3" s="37" t="s">
        <v>786</v>
      </c>
      <c r="FC3" s="37" t="s">
        <v>786</v>
      </c>
      <c r="FD3" s="37" t="s">
        <v>790</v>
      </c>
      <c r="FE3" s="37" t="s">
        <v>790</v>
      </c>
      <c r="FF3" s="37" t="s">
        <v>790</v>
      </c>
      <c r="FG3" s="37" t="s">
        <v>790</v>
      </c>
      <c r="FH3" s="37" t="s">
        <v>790</v>
      </c>
      <c r="FI3" s="37" t="s">
        <v>790</v>
      </c>
      <c r="FJ3" s="37" t="s">
        <v>794</v>
      </c>
      <c r="FK3" s="37" t="s">
        <v>794</v>
      </c>
      <c r="FL3" s="37" t="s">
        <v>794</v>
      </c>
      <c r="FM3" s="37" t="s">
        <v>794</v>
      </c>
      <c r="FN3" s="37" t="s">
        <v>794</v>
      </c>
      <c r="FO3" s="37" t="s">
        <v>794</v>
      </c>
      <c r="FP3" s="37" t="s">
        <v>449</v>
      </c>
      <c r="FQ3" s="37" t="s">
        <v>449</v>
      </c>
      <c r="FR3" s="37" t="s">
        <v>449</v>
      </c>
      <c r="FS3" s="37" t="s">
        <v>449</v>
      </c>
      <c r="FT3" s="37" t="s">
        <v>449</v>
      </c>
      <c r="FU3" s="37" t="s">
        <v>453</v>
      </c>
      <c r="FV3" s="37" t="s">
        <v>453</v>
      </c>
      <c r="FW3" s="37" t="s">
        <v>453</v>
      </c>
      <c r="FX3" s="37" t="s">
        <v>453</v>
      </c>
      <c r="FY3" s="37" t="s">
        <v>453</v>
      </c>
      <c r="FZ3" s="37" t="s">
        <v>462</v>
      </c>
      <c r="GA3" s="37" t="s">
        <v>462</v>
      </c>
      <c r="GB3" s="37" t="s">
        <v>462</v>
      </c>
      <c r="GC3" s="37" t="s">
        <v>462</v>
      </c>
      <c r="GD3" s="37" t="s">
        <v>462</v>
      </c>
      <c r="GE3" s="37" t="s">
        <v>815</v>
      </c>
      <c r="GF3" s="37" t="s">
        <v>815</v>
      </c>
      <c r="GG3" s="37" t="s">
        <v>815</v>
      </c>
      <c r="GH3" s="37" t="s">
        <v>815</v>
      </c>
      <c r="GI3" s="37" t="s">
        <v>815</v>
      </c>
      <c r="GJ3" s="37" t="s">
        <v>457</v>
      </c>
      <c r="GK3" s="37" t="s">
        <v>457</v>
      </c>
      <c r="GL3" s="37" t="s">
        <v>457</v>
      </c>
      <c r="GM3" s="37" t="s">
        <v>457</v>
      </c>
      <c r="GN3" s="37" t="s">
        <v>457</v>
      </c>
      <c r="GO3" s="37"/>
      <c r="GP3" s="37"/>
      <c r="GQ3" s="37"/>
      <c r="GR3" s="37"/>
      <c r="GS3" s="37"/>
      <c r="GT3" s="37"/>
      <c r="GU3" s="37"/>
      <c r="GV3" s="37"/>
      <c r="GW3" s="37"/>
      <c r="GX3" s="37"/>
      <c r="GY3" s="37"/>
      <c r="GZ3" s="37"/>
      <c r="HA3" s="37"/>
      <c r="HB3" s="37"/>
      <c r="HC3" s="37"/>
      <c r="HD3" s="37"/>
    </row>
    <row r="4" customFormat="false" ht="15" hidden="false" customHeight="false" outlineLevel="0" collapsed="false">
      <c r="A4" s="36" t="s">
        <v>1790</v>
      </c>
      <c r="B4" s="38" t="s">
        <v>1708</v>
      </c>
      <c r="L4" s="38" t="s">
        <v>1739</v>
      </c>
      <c r="AH4" s="37" t="s">
        <v>173</v>
      </c>
      <c r="AI4" s="37" t="s">
        <v>183</v>
      </c>
      <c r="AJ4" s="37" t="s">
        <v>194</v>
      </c>
      <c r="AK4" s="37" t="s">
        <v>203</v>
      </c>
      <c r="AL4" s="37" t="s">
        <v>212</v>
      </c>
      <c r="AM4" s="37" t="s">
        <v>173</v>
      </c>
      <c r="AN4" s="37" t="s">
        <v>183</v>
      </c>
      <c r="AO4" s="37" t="s">
        <v>194</v>
      </c>
      <c r="AP4" s="37" t="s">
        <v>203</v>
      </c>
      <c r="AQ4" s="37" t="s">
        <v>212</v>
      </c>
      <c r="AR4" s="37" t="s">
        <v>173</v>
      </c>
      <c r="AS4" s="37" t="s">
        <v>183</v>
      </c>
      <c r="AT4" s="37" t="s">
        <v>194</v>
      </c>
      <c r="AU4" s="37" t="s">
        <v>203</v>
      </c>
      <c r="AV4" s="37" t="s">
        <v>212</v>
      </c>
      <c r="AW4" s="37" t="s">
        <v>173</v>
      </c>
      <c r="AX4" s="37" t="s">
        <v>183</v>
      </c>
      <c r="AY4" s="37" t="s">
        <v>194</v>
      </c>
      <c r="AZ4" s="37" t="s">
        <v>203</v>
      </c>
      <c r="BA4" s="37" t="s">
        <v>212</v>
      </c>
      <c r="BB4" s="37" t="s">
        <v>173</v>
      </c>
      <c r="BC4" s="37" t="s">
        <v>183</v>
      </c>
      <c r="BD4" s="37" t="s">
        <v>194</v>
      </c>
      <c r="BE4" s="37" t="s">
        <v>203</v>
      </c>
      <c r="BF4" s="37" t="s">
        <v>212</v>
      </c>
      <c r="BG4" s="37" t="s">
        <v>173</v>
      </c>
      <c r="BH4" s="37" t="s">
        <v>183</v>
      </c>
      <c r="BI4" s="37" t="s">
        <v>194</v>
      </c>
      <c r="BJ4" s="37" t="s">
        <v>203</v>
      </c>
      <c r="BK4" s="37" t="s">
        <v>212</v>
      </c>
      <c r="BL4" s="37" t="s">
        <v>173</v>
      </c>
      <c r="BM4" s="37" t="s">
        <v>183</v>
      </c>
      <c r="BN4" s="37" t="s">
        <v>194</v>
      </c>
      <c r="BO4" s="37" t="s">
        <v>203</v>
      </c>
      <c r="BP4" s="37" t="s">
        <v>212</v>
      </c>
      <c r="BQ4" s="37" t="s">
        <v>173</v>
      </c>
      <c r="BR4" s="37" t="s">
        <v>183</v>
      </c>
      <c r="BS4" s="37" t="s">
        <v>194</v>
      </c>
      <c r="BT4" s="37" t="s">
        <v>203</v>
      </c>
      <c r="BU4" s="37" t="s">
        <v>212</v>
      </c>
      <c r="BV4" s="37" t="s">
        <v>173</v>
      </c>
      <c r="BW4" s="37" t="s">
        <v>183</v>
      </c>
      <c r="BX4" s="37" t="s">
        <v>194</v>
      </c>
      <c r="BY4" s="37" t="s">
        <v>203</v>
      </c>
      <c r="BZ4" s="37" t="s">
        <v>212</v>
      </c>
      <c r="CA4" s="37" t="s">
        <v>173</v>
      </c>
      <c r="CB4" s="37" t="s">
        <v>183</v>
      </c>
      <c r="CC4" s="37" t="s">
        <v>194</v>
      </c>
      <c r="CD4" s="37" t="s">
        <v>203</v>
      </c>
      <c r="CE4" s="37" t="s">
        <v>212</v>
      </c>
      <c r="CF4" s="37" t="s">
        <v>173</v>
      </c>
      <c r="CG4" s="37" t="s">
        <v>183</v>
      </c>
      <c r="CH4" s="37" t="s">
        <v>194</v>
      </c>
      <c r="CI4" s="37" t="s">
        <v>203</v>
      </c>
      <c r="CJ4" s="37" t="s">
        <v>212</v>
      </c>
      <c r="CK4" s="37" t="s">
        <v>173</v>
      </c>
      <c r="CL4" s="37" t="s">
        <v>183</v>
      </c>
      <c r="CM4" s="37" t="s">
        <v>194</v>
      </c>
      <c r="CN4" s="37" t="s">
        <v>203</v>
      </c>
      <c r="CO4" s="37" t="s">
        <v>212</v>
      </c>
      <c r="CP4" s="37" t="s">
        <v>173</v>
      </c>
      <c r="CQ4" s="37" t="s">
        <v>183</v>
      </c>
      <c r="CR4" s="37" t="s">
        <v>194</v>
      </c>
      <c r="CS4" s="37" t="s">
        <v>203</v>
      </c>
      <c r="CT4" s="37" t="s">
        <v>212</v>
      </c>
      <c r="CU4" s="37" t="s">
        <v>173</v>
      </c>
      <c r="CV4" s="37" t="s">
        <v>183</v>
      </c>
      <c r="CW4" s="37" t="s">
        <v>194</v>
      </c>
      <c r="CX4" s="37" t="s">
        <v>203</v>
      </c>
      <c r="CY4" s="37" t="s">
        <v>212</v>
      </c>
      <c r="CZ4" s="37" t="s">
        <v>173</v>
      </c>
      <c r="DA4" s="37" t="s">
        <v>183</v>
      </c>
      <c r="DB4" s="37" t="s">
        <v>194</v>
      </c>
      <c r="DC4" s="37" t="s">
        <v>203</v>
      </c>
      <c r="DD4" s="37" t="s">
        <v>212</v>
      </c>
      <c r="DE4" s="37" t="s">
        <v>173</v>
      </c>
      <c r="DF4" s="37" t="s">
        <v>183</v>
      </c>
      <c r="DG4" s="37" t="s">
        <v>194</v>
      </c>
      <c r="DH4" s="37" t="s">
        <v>203</v>
      </c>
      <c r="DI4" s="37" t="s">
        <v>212</v>
      </c>
      <c r="DJ4" s="37" t="s">
        <v>221</v>
      </c>
      <c r="DK4" s="37" t="s">
        <v>173</v>
      </c>
      <c r="DL4" s="37" t="s">
        <v>183</v>
      </c>
      <c r="DM4" s="37" t="s">
        <v>194</v>
      </c>
      <c r="DN4" s="37" t="s">
        <v>203</v>
      </c>
      <c r="DO4" s="37" t="s">
        <v>212</v>
      </c>
      <c r="DP4" s="37" t="s">
        <v>173</v>
      </c>
      <c r="DQ4" s="37" t="s">
        <v>183</v>
      </c>
      <c r="DR4" s="37" t="s">
        <v>194</v>
      </c>
      <c r="DS4" s="37" t="s">
        <v>203</v>
      </c>
      <c r="DT4" s="37" t="s">
        <v>212</v>
      </c>
      <c r="DU4" s="37" t="s">
        <v>221</v>
      </c>
      <c r="DV4" s="37" t="s">
        <v>173</v>
      </c>
      <c r="DW4" s="37" t="s">
        <v>183</v>
      </c>
      <c r="DX4" s="37" t="s">
        <v>194</v>
      </c>
      <c r="DY4" s="37" t="s">
        <v>203</v>
      </c>
      <c r="DZ4" s="37" t="s">
        <v>212</v>
      </c>
      <c r="EA4" s="37" t="s">
        <v>221</v>
      </c>
      <c r="EB4" s="37" t="s">
        <v>173</v>
      </c>
      <c r="EC4" s="37" t="s">
        <v>183</v>
      </c>
      <c r="ED4" s="37" t="s">
        <v>194</v>
      </c>
      <c r="EE4" s="37" t="s">
        <v>203</v>
      </c>
      <c r="EF4" s="37" t="s">
        <v>212</v>
      </c>
      <c r="EG4" s="37" t="s">
        <v>221</v>
      </c>
      <c r="EH4" s="37" t="s">
        <v>173</v>
      </c>
      <c r="EI4" s="37" t="s">
        <v>183</v>
      </c>
      <c r="EJ4" s="37" t="s">
        <v>194</v>
      </c>
      <c r="EK4" s="37" t="s">
        <v>203</v>
      </c>
      <c r="EL4" s="37" t="s">
        <v>212</v>
      </c>
      <c r="EM4" s="37" t="s">
        <v>173</v>
      </c>
      <c r="EN4" s="37" t="s">
        <v>183</v>
      </c>
      <c r="EO4" s="37" t="s">
        <v>194</v>
      </c>
      <c r="EP4" s="37" t="s">
        <v>203</v>
      </c>
      <c r="EQ4" s="37" t="s">
        <v>212</v>
      </c>
      <c r="ER4" s="37" t="s">
        <v>173</v>
      </c>
      <c r="ES4" s="37" t="s">
        <v>183</v>
      </c>
      <c r="ET4" s="37" t="s">
        <v>194</v>
      </c>
      <c r="EU4" s="37" t="s">
        <v>203</v>
      </c>
      <c r="EV4" s="37" t="s">
        <v>212</v>
      </c>
      <c r="EW4" s="37" t="s">
        <v>221</v>
      </c>
      <c r="EX4" s="37" t="s">
        <v>173</v>
      </c>
      <c r="EY4" s="37" t="s">
        <v>183</v>
      </c>
      <c r="EZ4" s="37" t="s">
        <v>194</v>
      </c>
      <c r="FA4" s="37" t="s">
        <v>203</v>
      </c>
      <c r="FB4" s="37" t="s">
        <v>212</v>
      </c>
      <c r="FC4" s="37" t="s">
        <v>221</v>
      </c>
      <c r="FD4" s="37" t="s">
        <v>173</v>
      </c>
      <c r="FE4" s="37" t="s">
        <v>183</v>
      </c>
      <c r="FF4" s="37" t="s">
        <v>194</v>
      </c>
      <c r="FG4" s="37" t="s">
        <v>203</v>
      </c>
      <c r="FH4" s="37" t="s">
        <v>212</v>
      </c>
      <c r="FI4" s="37" t="s">
        <v>221</v>
      </c>
      <c r="FJ4" s="37" t="s">
        <v>173</v>
      </c>
      <c r="FK4" s="37" t="s">
        <v>183</v>
      </c>
      <c r="FL4" s="37" t="s">
        <v>194</v>
      </c>
      <c r="FM4" s="37" t="s">
        <v>203</v>
      </c>
      <c r="FN4" s="37" t="s">
        <v>212</v>
      </c>
      <c r="FO4" s="37" t="s">
        <v>221</v>
      </c>
      <c r="FP4" s="37" t="s">
        <v>173</v>
      </c>
      <c r="FQ4" s="37" t="s">
        <v>183</v>
      </c>
      <c r="FR4" s="37" t="s">
        <v>194</v>
      </c>
      <c r="FS4" s="37" t="s">
        <v>203</v>
      </c>
      <c r="FT4" s="37" t="s">
        <v>212</v>
      </c>
      <c r="FU4" s="37" t="s">
        <v>173</v>
      </c>
      <c r="FV4" s="37" t="s">
        <v>183</v>
      </c>
      <c r="FW4" s="37" t="s">
        <v>194</v>
      </c>
      <c r="FX4" s="37" t="s">
        <v>203</v>
      </c>
      <c r="FY4" s="37" t="s">
        <v>212</v>
      </c>
      <c r="FZ4" s="37" t="s">
        <v>173</v>
      </c>
      <c r="GA4" s="37" t="s">
        <v>183</v>
      </c>
      <c r="GB4" s="37" t="s">
        <v>194</v>
      </c>
      <c r="GC4" s="37" t="s">
        <v>203</v>
      </c>
      <c r="GD4" s="37" t="s">
        <v>212</v>
      </c>
      <c r="GE4" s="37" t="s">
        <v>173</v>
      </c>
      <c r="GF4" s="37" t="s">
        <v>183</v>
      </c>
      <c r="GG4" s="37" t="s">
        <v>194</v>
      </c>
      <c r="GH4" s="37" t="s">
        <v>203</v>
      </c>
      <c r="GI4" s="37" t="s">
        <v>212</v>
      </c>
      <c r="GJ4" s="37" t="s">
        <v>173</v>
      </c>
      <c r="GK4" s="37" t="s">
        <v>183</v>
      </c>
      <c r="GL4" s="37" t="s">
        <v>194</v>
      </c>
      <c r="GM4" s="37" t="s">
        <v>203</v>
      </c>
      <c r="GN4" s="37" t="s">
        <v>212</v>
      </c>
      <c r="GO4" s="37" t="s">
        <v>1791</v>
      </c>
      <c r="GP4" s="37" t="s">
        <v>1792</v>
      </c>
      <c r="GQ4" s="37" t="s">
        <v>1793</v>
      </c>
      <c r="GR4" s="37" t="s">
        <v>1794</v>
      </c>
      <c r="GS4" s="37" t="s">
        <v>1795</v>
      </c>
      <c r="GT4" s="37" t="s">
        <v>1796</v>
      </c>
      <c r="GU4" s="37" t="s">
        <v>1797</v>
      </c>
      <c r="GV4" s="37" t="s">
        <v>1798</v>
      </c>
      <c r="GW4" s="37" t="s">
        <v>1798</v>
      </c>
      <c r="GX4" s="37" t="s">
        <v>1798</v>
      </c>
      <c r="GY4" s="37" t="s">
        <v>1798</v>
      </c>
      <c r="GZ4" s="37" t="s">
        <v>203</v>
      </c>
      <c r="HA4" s="37" t="s">
        <v>1428</v>
      </c>
      <c r="HB4" s="37" t="s">
        <v>1428</v>
      </c>
      <c r="HC4" s="37" t="s">
        <v>1428</v>
      </c>
      <c r="HD4" s="37" t="s">
        <v>1428</v>
      </c>
    </row>
    <row r="5" customFormat="false" ht="15" hidden="false" customHeight="false" outlineLevel="0" collapsed="false">
      <c r="A5" s="9" t="s">
        <v>1799</v>
      </c>
      <c r="B5" s="8" t="s">
        <v>307</v>
      </c>
      <c r="C5" s="8" t="s">
        <v>315</v>
      </c>
      <c r="D5" s="8" t="s">
        <v>321</v>
      </c>
      <c r="E5" s="8" t="s">
        <v>327</v>
      </c>
      <c r="F5" s="8" t="s">
        <v>333</v>
      </c>
      <c r="G5" s="8" t="s">
        <v>338</v>
      </c>
      <c r="H5" s="8" t="s">
        <v>343</v>
      </c>
      <c r="I5" s="8" t="s">
        <v>349</v>
      </c>
      <c r="J5" s="8" t="s">
        <v>354</v>
      </c>
      <c r="K5" s="8" t="s">
        <v>360</v>
      </c>
      <c r="L5" s="8" t="s">
        <v>524</v>
      </c>
      <c r="M5" s="8" t="s">
        <v>530</v>
      </c>
      <c r="N5" s="8" t="s">
        <v>534</v>
      </c>
      <c r="O5" s="8" t="s">
        <v>538</v>
      </c>
      <c r="P5" s="8" t="s">
        <v>543</v>
      </c>
      <c r="Q5" s="8" t="s">
        <v>547</v>
      </c>
      <c r="R5" s="8" t="s">
        <v>43</v>
      </c>
      <c r="S5" s="8" t="s">
        <v>555</v>
      </c>
      <c r="T5" s="8" t="s">
        <v>560</v>
      </c>
      <c r="U5" s="8" t="s">
        <v>565</v>
      </c>
      <c r="V5" s="8" t="s">
        <v>570</v>
      </c>
      <c r="W5" s="8" t="s">
        <v>574</v>
      </c>
      <c r="X5" s="8" t="s">
        <v>579</v>
      </c>
      <c r="Y5" s="8" t="s">
        <v>585</v>
      </c>
      <c r="Z5" s="8" t="s">
        <v>590</v>
      </c>
      <c r="AA5" s="8" t="s">
        <v>595</v>
      </c>
      <c r="AB5" s="8" t="s">
        <v>626</v>
      </c>
      <c r="AC5" s="8" t="s">
        <v>630</v>
      </c>
      <c r="AD5" s="8" t="s">
        <v>1775</v>
      </c>
      <c r="AE5" s="8" t="s">
        <v>1778</v>
      </c>
      <c r="AF5" s="8" t="s">
        <v>1781</v>
      </c>
      <c r="AG5" s="8" t="s">
        <v>1784</v>
      </c>
      <c r="AH5" s="8" t="s">
        <v>1083</v>
      </c>
      <c r="AI5" s="8" t="s">
        <v>1085</v>
      </c>
      <c r="AJ5" s="8" t="s">
        <v>1087</v>
      </c>
      <c r="AK5" s="8" t="s">
        <v>1089</v>
      </c>
      <c r="AL5" s="8" t="s">
        <v>1091</v>
      </c>
      <c r="AM5" s="8" t="s">
        <v>1093</v>
      </c>
      <c r="AN5" s="8" t="s">
        <v>1094</v>
      </c>
      <c r="AO5" s="8" t="s">
        <v>1095</v>
      </c>
      <c r="AP5" s="8" t="s">
        <v>1096</v>
      </c>
      <c r="AQ5" s="8" t="s">
        <v>1097</v>
      </c>
      <c r="AR5" s="8" t="s">
        <v>1099</v>
      </c>
      <c r="AS5" s="8" t="s">
        <v>1100</v>
      </c>
      <c r="AT5" s="8" t="s">
        <v>1101</v>
      </c>
      <c r="AU5" s="8" t="s">
        <v>1102</v>
      </c>
      <c r="AV5" s="8" t="s">
        <v>1103</v>
      </c>
      <c r="AW5" s="8" t="s">
        <v>1105</v>
      </c>
      <c r="AX5" s="8" t="s">
        <v>1106</v>
      </c>
      <c r="AY5" s="8" t="s">
        <v>1107</v>
      </c>
      <c r="AZ5" s="8" t="s">
        <v>1108</v>
      </c>
      <c r="BA5" s="8" t="s">
        <v>1109</v>
      </c>
      <c r="BB5" s="8" t="s">
        <v>1111</v>
      </c>
      <c r="BC5" s="8" t="s">
        <v>1112</v>
      </c>
      <c r="BD5" s="8" t="s">
        <v>1113</v>
      </c>
      <c r="BE5" s="8" t="s">
        <v>1114</v>
      </c>
      <c r="BF5" s="8" t="s">
        <v>1115</v>
      </c>
      <c r="BG5" s="8" t="s">
        <v>1117</v>
      </c>
      <c r="BH5" s="8" t="s">
        <v>1118</v>
      </c>
      <c r="BI5" s="8" t="s">
        <v>1119</v>
      </c>
      <c r="BJ5" s="8" t="s">
        <v>1120</v>
      </c>
      <c r="BK5" s="8" t="s">
        <v>1121</v>
      </c>
      <c r="BL5" s="8" t="s">
        <v>1123</v>
      </c>
      <c r="BM5" s="8" t="s">
        <v>1124</v>
      </c>
      <c r="BN5" s="8" t="s">
        <v>1125</v>
      </c>
      <c r="BO5" s="8" t="s">
        <v>1126</v>
      </c>
      <c r="BP5" s="8" t="s">
        <v>1127</v>
      </c>
      <c r="BQ5" s="8" t="s">
        <v>1129</v>
      </c>
      <c r="BR5" s="8" t="s">
        <v>1130</v>
      </c>
      <c r="BS5" s="8" t="s">
        <v>1131</v>
      </c>
      <c r="BT5" s="8" t="s">
        <v>1132</v>
      </c>
      <c r="BU5" s="8" t="s">
        <v>1133</v>
      </c>
      <c r="BV5" s="8" t="s">
        <v>1135</v>
      </c>
      <c r="BW5" s="8" t="s">
        <v>1136</v>
      </c>
      <c r="BX5" s="8" t="s">
        <v>1137</v>
      </c>
      <c r="BY5" s="8" t="s">
        <v>1138</v>
      </c>
      <c r="BZ5" s="8" t="s">
        <v>1139</v>
      </c>
      <c r="CA5" s="8" t="s">
        <v>1141</v>
      </c>
      <c r="CB5" s="8" t="s">
        <v>1142</v>
      </c>
      <c r="CC5" s="8" t="s">
        <v>1143</v>
      </c>
      <c r="CD5" s="8" t="s">
        <v>1144</v>
      </c>
      <c r="CE5" s="8" t="s">
        <v>1145</v>
      </c>
      <c r="CF5" s="8" t="s">
        <v>1147</v>
      </c>
      <c r="CG5" s="8" t="s">
        <v>1148</v>
      </c>
      <c r="CH5" s="8" t="s">
        <v>1149</v>
      </c>
      <c r="CI5" s="8" t="s">
        <v>1150</v>
      </c>
      <c r="CJ5" s="8" t="s">
        <v>1151</v>
      </c>
      <c r="CK5" s="8" t="s">
        <v>1153</v>
      </c>
      <c r="CL5" s="8" t="s">
        <v>1154</v>
      </c>
      <c r="CM5" s="8" t="s">
        <v>1155</v>
      </c>
      <c r="CN5" s="8" t="s">
        <v>1156</v>
      </c>
      <c r="CO5" s="8" t="s">
        <v>1157</v>
      </c>
      <c r="CP5" s="8" t="s">
        <v>1159</v>
      </c>
      <c r="CQ5" s="8" t="s">
        <v>1160</v>
      </c>
      <c r="CR5" s="8" t="s">
        <v>1161</v>
      </c>
      <c r="CS5" s="8" t="s">
        <v>1162</v>
      </c>
      <c r="CT5" s="8" t="s">
        <v>1163</v>
      </c>
      <c r="CU5" s="8" t="s">
        <v>1165</v>
      </c>
      <c r="CV5" s="8" t="s">
        <v>1166</v>
      </c>
      <c r="CW5" s="8" t="s">
        <v>1167</v>
      </c>
      <c r="CX5" s="8" t="s">
        <v>1168</v>
      </c>
      <c r="CY5" s="8" t="s">
        <v>1169</v>
      </c>
      <c r="CZ5" s="8" t="s">
        <v>1171</v>
      </c>
      <c r="DA5" s="8" t="s">
        <v>1172</v>
      </c>
      <c r="DB5" s="8" t="s">
        <v>1173</v>
      </c>
      <c r="DC5" s="8" t="s">
        <v>1174</v>
      </c>
      <c r="DD5" s="8" t="s">
        <v>1175</v>
      </c>
      <c r="DE5" s="8" t="s">
        <v>1177</v>
      </c>
      <c r="DF5" s="8" t="s">
        <v>1178</v>
      </c>
      <c r="DG5" s="8" t="s">
        <v>1179</v>
      </c>
      <c r="DH5" s="8" t="s">
        <v>1180</v>
      </c>
      <c r="DI5" s="8" t="s">
        <v>1181</v>
      </c>
      <c r="DJ5" s="8" t="s">
        <v>1183</v>
      </c>
      <c r="DK5" s="8" t="s">
        <v>1185</v>
      </c>
      <c r="DL5" s="8" t="s">
        <v>1186</v>
      </c>
      <c r="DM5" s="8" t="s">
        <v>1187</v>
      </c>
      <c r="DN5" s="8" t="s">
        <v>1188</v>
      </c>
      <c r="DO5" s="8" t="s">
        <v>1189</v>
      </c>
      <c r="DP5" s="8" t="s">
        <v>1191</v>
      </c>
      <c r="DQ5" s="8" t="s">
        <v>1192</v>
      </c>
      <c r="DR5" s="8" t="s">
        <v>1193</v>
      </c>
      <c r="DS5" s="8" t="s">
        <v>1194</v>
      </c>
      <c r="DT5" s="8" t="s">
        <v>1195</v>
      </c>
      <c r="DU5" s="8" t="s">
        <v>1196</v>
      </c>
      <c r="DV5" s="8" t="s">
        <v>1198</v>
      </c>
      <c r="DW5" s="8" t="s">
        <v>1199</v>
      </c>
      <c r="DX5" s="8" t="s">
        <v>1200</v>
      </c>
      <c r="DY5" s="8" t="s">
        <v>1201</v>
      </c>
      <c r="DZ5" s="8" t="s">
        <v>1202</v>
      </c>
      <c r="EA5" s="8" t="s">
        <v>1203</v>
      </c>
      <c r="EB5" s="8" t="s">
        <v>1205</v>
      </c>
      <c r="EC5" s="8" t="s">
        <v>1206</v>
      </c>
      <c r="ED5" s="8" t="s">
        <v>1207</v>
      </c>
      <c r="EE5" s="8" t="s">
        <v>1208</v>
      </c>
      <c r="EF5" s="8" t="s">
        <v>1209</v>
      </c>
      <c r="EG5" s="8" t="s">
        <v>1210</v>
      </c>
      <c r="EH5" s="8" t="s">
        <v>1212</v>
      </c>
      <c r="EI5" s="8" t="s">
        <v>1213</v>
      </c>
      <c r="EJ5" s="8" t="s">
        <v>1214</v>
      </c>
      <c r="EK5" s="8" t="s">
        <v>1215</v>
      </c>
      <c r="EL5" s="8" t="s">
        <v>1216</v>
      </c>
      <c r="EM5" s="8" t="s">
        <v>1218</v>
      </c>
      <c r="EN5" s="8" t="s">
        <v>1219</v>
      </c>
      <c r="EO5" s="8" t="s">
        <v>1220</v>
      </c>
      <c r="EP5" s="8" t="s">
        <v>1221</v>
      </c>
      <c r="EQ5" s="8" t="s">
        <v>1222</v>
      </c>
      <c r="ER5" s="8" t="s">
        <v>1224</v>
      </c>
      <c r="ES5" s="8" t="s">
        <v>1225</v>
      </c>
      <c r="ET5" s="8" t="s">
        <v>1226</v>
      </c>
      <c r="EU5" s="8" t="s">
        <v>1227</v>
      </c>
      <c r="EV5" s="8" t="s">
        <v>1228</v>
      </c>
      <c r="EW5" s="8" t="s">
        <v>1229</v>
      </c>
      <c r="EX5" s="8" t="s">
        <v>1231</v>
      </c>
      <c r="EY5" s="8" t="s">
        <v>1232</v>
      </c>
      <c r="EZ5" s="8" t="s">
        <v>1233</v>
      </c>
      <c r="FA5" s="8" t="s">
        <v>1234</v>
      </c>
      <c r="FB5" s="8" t="s">
        <v>1235</v>
      </c>
      <c r="FC5" s="8" t="s">
        <v>1236</v>
      </c>
      <c r="FD5" s="8" t="s">
        <v>1238</v>
      </c>
      <c r="FE5" s="8" t="s">
        <v>1239</v>
      </c>
      <c r="FF5" s="8" t="s">
        <v>1240</v>
      </c>
      <c r="FG5" s="8" t="s">
        <v>1241</v>
      </c>
      <c r="FH5" s="8" t="s">
        <v>1242</v>
      </c>
      <c r="FI5" s="8" t="s">
        <v>1243</v>
      </c>
      <c r="FJ5" s="8" t="s">
        <v>1245</v>
      </c>
      <c r="FK5" s="8" t="s">
        <v>1246</v>
      </c>
      <c r="FL5" s="8" t="s">
        <v>1247</v>
      </c>
      <c r="FM5" s="8" t="s">
        <v>1248</v>
      </c>
      <c r="FN5" s="8" t="s">
        <v>1249</v>
      </c>
      <c r="FO5" s="8" t="s">
        <v>1250</v>
      </c>
      <c r="FP5" s="8" t="s">
        <v>1252</v>
      </c>
      <c r="FQ5" s="8" t="s">
        <v>1253</v>
      </c>
      <c r="FR5" s="8" t="s">
        <v>1254</v>
      </c>
      <c r="FS5" s="8" t="s">
        <v>1255</v>
      </c>
      <c r="FT5" s="8" t="s">
        <v>1256</v>
      </c>
      <c r="FU5" s="8" t="s">
        <v>1258</v>
      </c>
      <c r="FV5" s="8" t="s">
        <v>1259</v>
      </c>
      <c r="FW5" s="8" t="s">
        <v>1260</v>
      </c>
      <c r="FX5" s="8" t="s">
        <v>1261</v>
      </c>
      <c r="FY5" s="8" t="s">
        <v>1262</v>
      </c>
      <c r="FZ5" s="8" t="s">
        <v>1264</v>
      </c>
      <c r="GA5" s="8" t="s">
        <v>1265</v>
      </c>
      <c r="GB5" s="8" t="s">
        <v>1266</v>
      </c>
      <c r="GC5" s="8" t="s">
        <v>1267</v>
      </c>
      <c r="GD5" s="8" t="s">
        <v>1268</v>
      </c>
      <c r="GE5" s="8" t="s">
        <v>1270</v>
      </c>
      <c r="GF5" s="8" t="s">
        <v>1271</v>
      </c>
      <c r="GG5" s="8" t="s">
        <v>1272</v>
      </c>
      <c r="GH5" s="8" t="s">
        <v>1273</v>
      </c>
      <c r="GI5" s="8" t="s">
        <v>1274</v>
      </c>
      <c r="GJ5" s="8" t="s">
        <v>1276</v>
      </c>
      <c r="GK5" s="8" t="s">
        <v>1277</v>
      </c>
      <c r="GL5" s="8" t="s">
        <v>1278</v>
      </c>
      <c r="GM5" s="8" t="s">
        <v>1279</v>
      </c>
      <c r="GN5" s="8" t="s">
        <v>1280</v>
      </c>
      <c r="GO5" s="8" t="s">
        <v>1627</v>
      </c>
      <c r="GP5" s="8" t="s">
        <v>1634</v>
      </c>
      <c r="GQ5" s="8" t="s">
        <v>1639</v>
      </c>
      <c r="GR5" s="8" t="s">
        <v>1644</v>
      </c>
      <c r="GS5" s="8" t="s">
        <v>1649</v>
      </c>
      <c r="GT5" s="8" t="s">
        <v>1654</v>
      </c>
      <c r="GU5" s="8" t="s">
        <v>1659</v>
      </c>
      <c r="GV5" s="8" t="s">
        <v>1664</v>
      </c>
      <c r="GW5" s="8" t="s">
        <v>1671</v>
      </c>
      <c r="GX5" s="8" t="s">
        <v>1675</v>
      </c>
      <c r="GY5" s="8" t="s">
        <v>1679</v>
      </c>
      <c r="GZ5" s="8" t="s">
        <v>1683</v>
      </c>
      <c r="HA5" s="8" t="s">
        <v>1688</v>
      </c>
      <c r="HB5" s="8" t="s">
        <v>1693</v>
      </c>
      <c r="HC5" s="8" t="s">
        <v>1696</v>
      </c>
      <c r="HD5" s="8" t="s">
        <v>1700</v>
      </c>
    </row>
    <row r="6" customFormat="false" ht="26.1" hidden="false" customHeight="false" outlineLevel="0" collapsed="false">
      <c r="A6" s="39" t="s">
        <v>1800</v>
      </c>
      <c r="B6" s="40" t="s">
        <v>1801</v>
      </c>
      <c r="C6" s="39" t="s">
        <v>1802</v>
      </c>
      <c r="D6" s="39" t="s">
        <v>1803</v>
      </c>
      <c r="E6" s="40" t="s">
        <v>1804</v>
      </c>
      <c r="F6" s="39" t="s">
        <v>1805</v>
      </c>
      <c r="G6" s="39" t="s">
        <v>1806</v>
      </c>
      <c r="H6" s="39" t="s">
        <v>526</v>
      </c>
      <c r="I6" s="39" t="s">
        <v>334</v>
      </c>
      <c r="J6" s="40" t="s">
        <v>1807</v>
      </c>
      <c r="K6" s="40" t="s">
        <v>1808</v>
      </c>
      <c r="L6" s="39" t="n">
        <v>1</v>
      </c>
      <c r="M6" s="39" t="n">
        <v>1</v>
      </c>
      <c r="N6" s="39" t="n">
        <v>1</v>
      </c>
      <c r="O6" s="39" t="n">
        <v>1</v>
      </c>
      <c r="P6" s="39" t="n">
        <v>1</v>
      </c>
      <c r="Q6" s="39" t="n">
        <v>1</v>
      </c>
      <c r="R6" s="39" t="n">
        <v>1</v>
      </c>
      <c r="S6" s="39" t="n">
        <v>1</v>
      </c>
      <c r="T6" s="39" t="n">
        <v>1</v>
      </c>
      <c r="U6" s="39" t="n">
        <v>1</v>
      </c>
      <c r="V6" s="39" t="n">
        <v>1</v>
      </c>
      <c r="W6" s="39" t="n">
        <v>1</v>
      </c>
      <c r="X6" s="39" t="n">
        <v>1</v>
      </c>
      <c r="Y6" s="39" t="n">
        <v>1</v>
      </c>
      <c r="Z6" s="39" t="n">
        <v>1</v>
      </c>
      <c r="AA6" s="39" t="n">
        <v>1</v>
      </c>
      <c r="AB6" s="39" t="n">
        <v>1</v>
      </c>
      <c r="AC6" s="39" t="n">
        <v>1</v>
      </c>
      <c r="AD6" s="39" t="n">
        <v>1</v>
      </c>
      <c r="AE6" s="39" t="n">
        <v>1</v>
      </c>
      <c r="AF6" s="39" t="n">
        <v>1</v>
      </c>
      <c r="AG6" s="39" t="n">
        <v>1</v>
      </c>
      <c r="AH6" s="39" t="n">
        <v>3</v>
      </c>
      <c r="AI6" s="39" t="n">
        <v>9</v>
      </c>
      <c r="AJ6" s="39" t="n">
        <v>4</v>
      </c>
      <c r="AK6" s="39" t="n">
        <v>4</v>
      </c>
      <c r="AL6" s="39" t="n">
        <v>3</v>
      </c>
      <c r="AM6" s="39" t="n">
        <v>4</v>
      </c>
      <c r="AN6" s="39" t="n">
        <v>3</v>
      </c>
      <c r="AO6" s="39" t="n">
        <v>5</v>
      </c>
      <c r="AP6" s="39" t="n">
        <v>4</v>
      </c>
      <c r="AQ6" s="39" t="n">
        <v>3</v>
      </c>
      <c r="AR6" s="39" t="n">
        <v>9</v>
      </c>
      <c r="AS6" s="39" t="n">
        <v>4</v>
      </c>
      <c r="AT6" s="39" t="n">
        <v>4</v>
      </c>
      <c r="AU6" s="39" t="n">
        <v>3</v>
      </c>
      <c r="AV6" s="39" t="n">
        <v>4</v>
      </c>
      <c r="AW6" s="39" t="n">
        <v>3</v>
      </c>
      <c r="AX6" s="39" t="n">
        <v>5</v>
      </c>
      <c r="AY6" s="39" t="n">
        <v>4</v>
      </c>
      <c r="AZ6" s="39" t="n">
        <v>3</v>
      </c>
      <c r="BA6" s="39" t="n">
        <v>9</v>
      </c>
      <c r="BB6" s="39" t="n">
        <v>4</v>
      </c>
      <c r="BC6" s="39" t="n">
        <v>4</v>
      </c>
      <c r="BD6" s="39" t="n">
        <v>3</v>
      </c>
      <c r="BE6" s="39" t="n">
        <v>4</v>
      </c>
      <c r="BF6" s="39" t="n">
        <v>3</v>
      </c>
      <c r="BG6" s="39" t="n">
        <v>5</v>
      </c>
      <c r="BH6" s="39" t="n">
        <v>4</v>
      </c>
      <c r="BI6" s="39" t="n">
        <v>3</v>
      </c>
      <c r="BJ6" s="39" t="n">
        <v>9</v>
      </c>
      <c r="BK6" s="39" t="n">
        <v>4</v>
      </c>
      <c r="BL6" s="39" t="n">
        <v>4</v>
      </c>
      <c r="BM6" s="39" t="n">
        <v>3</v>
      </c>
      <c r="BN6" s="39" t="n">
        <v>4</v>
      </c>
      <c r="BO6" s="39" t="n">
        <v>3</v>
      </c>
      <c r="BP6" s="39" t="n">
        <v>5</v>
      </c>
      <c r="BQ6" s="39" t="n">
        <v>4</v>
      </c>
      <c r="BR6" s="39" t="n">
        <v>3</v>
      </c>
      <c r="BS6" s="39" t="n">
        <v>9</v>
      </c>
      <c r="BT6" s="39" t="n">
        <v>4</v>
      </c>
      <c r="BU6" s="39" t="n">
        <v>4</v>
      </c>
      <c r="BV6" s="39" t="n">
        <v>3</v>
      </c>
      <c r="BW6" s="39" t="n">
        <v>4</v>
      </c>
      <c r="BX6" s="39" t="n">
        <v>3</v>
      </c>
      <c r="BY6" s="39" t="n">
        <v>5</v>
      </c>
      <c r="BZ6" s="39" t="n">
        <v>4</v>
      </c>
      <c r="CA6" s="39" t="n">
        <v>3</v>
      </c>
      <c r="CB6" s="39" t="n">
        <v>9</v>
      </c>
      <c r="CC6" s="39" t="n">
        <v>4</v>
      </c>
      <c r="CD6" s="39" t="n">
        <v>4</v>
      </c>
      <c r="CE6" s="39" t="n">
        <v>3</v>
      </c>
      <c r="CF6" s="39" t="n">
        <v>4</v>
      </c>
      <c r="CG6" s="39" t="n">
        <v>3</v>
      </c>
      <c r="CH6" s="39" t="n">
        <v>5</v>
      </c>
      <c r="CI6" s="39" t="n">
        <v>4</v>
      </c>
      <c r="CJ6" s="39" t="n">
        <v>3</v>
      </c>
      <c r="CK6" s="39" t="n">
        <v>9</v>
      </c>
      <c r="CL6" s="39" t="n">
        <v>4</v>
      </c>
      <c r="CM6" s="39" t="n">
        <v>4</v>
      </c>
      <c r="CN6" s="39" t="n">
        <v>3</v>
      </c>
      <c r="CO6" s="39" t="n">
        <v>4</v>
      </c>
      <c r="CP6" s="39" t="n">
        <v>3</v>
      </c>
      <c r="CQ6" s="39" t="n">
        <v>5</v>
      </c>
      <c r="CR6" s="39" t="n">
        <v>4</v>
      </c>
      <c r="CS6" s="39" t="n">
        <v>3</v>
      </c>
      <c r="CT6" s="39" t="n">
        <v>9</v>
      </c>
      <c r="CU6" s="39" t="n">
        <v>4</v>
      </c>
      <c r="CV6" s="39" t="n">
        <v>4</v>
      </c>
      <c r="CW6" s="39" t="n">
        <v>3</v>
      </c>
      <c r="CX6" s="39" t="n">
        <v>4</v>
      </c>
      <c r="CY6" s="39" t="n">
        <v>3</v>
      </c>
      <c r="CZ6" s="39" t="n">
        <v>5</v>
      </c>
      <c r="DA6" s="39" t="n">
        <v>4</v>
      </c>
      <c r="DB6" s="39" t="n">
        <v>3</v>
      </c>
      <c r="DC6" s="39" t="n">
        <v>9</v>
      </c>
      <c r="DD6" s="39" t="n">
        <v>4</v>
      </c>
      <c r="DE6" s="39" t="n">
        <v>4</v>
      </c>
      <c r="DF6" s="39" t="n">
        <v>3</v>
      </c>
      <c r="DG6" s="39" t="n">
        <v>4</v>
      </c>
      <c r="DH6" s="39" t="n">
        <v>3</v>
      </c>
      <c r="DI6" s="39" t="n">
        <v>5</v>
      </c>
      <c r="DJ6" s="39" t="n">
        <v>4</v>
      </c>
      <c r="DK6" s="39" t="n">
        <v>3</v>
      </c>
      <c r="DL6" s="39" t="n">
        <v>9</v>
      </c>
      <c r="DM6" s="39" t="n">
        <v>4</v>
      </c>
      <c r="DN6" s="39" t="n">
        <v>4</v>
      </c>
      <c r="DO6" s="39" t="n">
        <v>3</v>
      </c>
      <c r="DP6" s="39" t="n">
        <v>4</v>
      </c>
      <c r="DQ6" s="39" t="n">
        <v>3</v>
      </c>
      <c r="DR6" s="39" t="n">
        <v>5</v>
      </c>
      <c r="DS6" s="39" t="n">
        <v>4</v>
      </c>
      <c r="DT6" s="39" t="n">
        <v>3</v>
      </c>
      <c r="DU6" s="39" t="n">
        <v>9</v>
      </c>
      <c r="DV6" s="39" t="n">
        <v>4</v>
      </c>
      <c r="DW6" s="39" t="n">
        <v>4</v>
      </c>
      <c r="DX6" s="39" t="n">
        <v>3</v>
      </c>
      <c r="DY6" s="39" t="n">
        <v>4</v>
      </c>
      <c r="DZ6" s="39" t="n">
        <v>3</v>
      </c>
      <c r="EA6" s="39" t="n">
        <v>5</v>
      </c>
      <c r="EB6" s="39" t="n">
        <v>4</v>
      </c>
      <c r="EC6" s="39" t="n">
        <v>3</v>
      </c>
      <c r="ED6" s="39" t="n">
        <v>9</v>
      </c>
      <c r="EE6" s="39" t="n">
        <v>4</v>
      </c>
      <c r="EF6" s="39" t="n">
        <v>4</v>
      </c>
      <c r="EG6" s="39" t="n">
        <v>3</v>
      </c>
      <c r="EH6" s="39" t="n">
        <v>4</v>
      </c>
      <c r="EI6" s="39" t="n">
        <v>3</v>
      </c>
      <c r="EJ6" s="39" t="n">
        <v>5</v>
      </c>
      <c r="EK6" s="39" t="n">
        <v>4</v>
      </c>
      <c r="EL6" s="39" t="n">
        <v>3</v>
      </c>
      <c r="EM6" s="39" t="n">
        <v>9</v>
      </c>
      <c r="EN6" s="39" t="n">
        <v>4</v>
      </c>
      <c r="EO6" s="39" t="n">
        <v>4</v>
      </c>
      <c r="EP6" s="39" t="n">
        <v>3</v>
      </c>
      <c r="EQ6" s="39" t="n">
        <v>4</v>
      </c>
      <c r="ER6" s="39" t="n">
        <v>3</v>
      </c>
      <c r="ES6" s="39" t="n">
        <v>5</v>
      </c>
      <c r="ET6" s="39" t="n">
        <v>4</v>
      </c>
      <c r="EU6" s="39" t="n">
        <v>3</v>
      </c>
      <c r="EV6" s="39" t="n">
        <v>9</v>
      </c>
      <c r="EW6" s="39" t="n">
        <v>4</v>
      </c>
      <c r="EX6" s="39" t="n">
        <v>4</v>
      </c>
      <c r="EY6" s="39" t="n">
        <v>3</v>
      </c>
      <c r="EZ6" s="39" t="n">
        <v>4</v>
      </c>
      <c r="FA6" s="39" t="n">
        <v>3</v>
      </c>
      <c r="FB6" s="39" t="n">
        <v>5</v>
      </c>
      <c r="FC6" s="39" t="n">
        <v>4</v>
      </c>
      <c r="FD6" s="39" t="n">
        <v>3</v>
      </c>
      <c r="FE6" s="39" t="n">
        <v>9</v>
      </c>
      <c r="FF6" s="39" t="n">
        <v>4</v>
      </c>
      <c r="FG6" s="39" t="n">
        <v>4</v>
      </c>
      <c r="FH6" s="39" t="n">
        <v>3</v>
      </c>
      <c r="FI6" s="39" t="n">
        <v>4</v>
      </c>
      <c r="FJ6" s="39" t="n">
        <v>3</v>
      </c>
      <c r="FK6" s="39" t="n">
        <v>5</v>
      </c>
      <c r="FL6" s="39" t="n">
        <v>4</v>
      </c>
      <c r="FM6" s="39" t="n">
        <v>3</v>
      </c>
      <c r="FN6" s="39" t="n">
        <v>9</v>
      </c>
      <c r="FO6" s="39" t="n">
        <v>4</v>
      </c>
      <c r="FP6" s="39" t="n">
        <v>4</v>
      </c>
      <c r="FQ6" s="39" t="n">
        <v>3</v>
      </c>
      <c r="FR6" s="39" t="n">
        <v>4</v>
      </c>
      <c r="FS6" s="39" t="n">
        <v>3</v>
      </c>
      <c r="FT6" s="39" t="n">
        <v>5</v>
      </c>
      <c r="FU6" s="39" t="n">
        <v>4</v>
      </c>
      <c r="FV6" s="39" t="n">
        <v>3</v>
      </c>
      <c r="FW6" s="39" t="n">
        <v>9</v>
      </c>
      <c r="FX6" s="39" t="n">
        <v>4</v>
      </c>
      <c r="FY6" s="39" t="n">
        <v>4</v>
      </c>
      <c r="FZ6" s="39" t="n">
        <v>3</v>
      </c>
      <c r="GA6" s="39" t="n">
        <v>4</v>
      </c>
      <c r="GB6" s="39" t="n">
        <v>3</v>
      </c>
      <c r="GC6" s="39" t="n">
        <v>5</v>
      </c>
      <c r="GD6" s="39" t="n">
        <v>4</v>
      </c>
      <c r="GE6" s="39" t="n">
        <v>3</v>
      </c>
      <c r="GF6" s="39" t="n">
        <v>9</v>
      </c>
      <c r="GG6" s="39" t="n">
        <v>4</v>
      </c>
      <c r="GH6" s="39" t="n">
        <v>4</v>
      </c>
      <c r="GI6" s="39" t="n">
        <v>3</v>
      </c>
      <c r="GJ6" s="39" t="n">
        <v>4</v>
      </c>
      <c r="GK6" s="39" t="n">
        <v>3</v>
      </c>
      <c r="GL6" s="39" t="n">
        <v>5</v>
      </c>
      <c r="GM6" s="39" t="n">
        <v>4</v>
      </c>
      <c r="GN6" s="39" t="n">
        <v>3</v>
      </c>
      <c r="GO6" s="39" t="n">
        <v>9</v>
      </c>
      <c r="GP6" s="39" t="n">
        <v>4</v>
      </c>
      <c r="GQ6" s="39" t="n">
        <v>4</v>
      </c>
      <c r="GR6" s="39" t="n">
        <v>3</v>
      </c>
      <c r="GS6" s="39" t="n">
        <v>4</v>
      </c>
      <c r="GT6" s="39" t="n">
        <v>3</v>
      </c>
      <c r="GU6" s="39" t="n">
        <v>5</v>
      </c>
      <c r="GV6" s="39" t="n">
        <v>4</v>
      </c>
      <c r="GW6" s="39" t="n">
        <v>3</v>
      </c>
      <c r="GX6" s="39" t="n">
        <v>9</v>
      </c>
      <c r="GY6" s="39" t="n">
        <v>4</v>
      </c>
      <c r="GZ6" s="39" t="n">
        <v>4</v>
      </c>
      <c r="HA6" s="39" t="n">
        <v>3</v>
      </c>
      <c r="HB6" s="39" t="n">
        <v>4</v>
      </c>
      <c r="HC6" s="39" t="n">
        <v>3</v>
      </c>
      <c r="HD6" s="39" t="n">
        <v>5</v>
      </c>
    </row>
    <row r="7" customFormat="false" ht="15" hidden="false" customHeight="false" outlineLevel="0" collapsed="false">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row>
    <row r="8" customFormat="false" ht="15" hidden="false" customHeight="false" outlineLevel="0" collapsed="false">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row>
    <row r="9" customFormat="false" ht="15" hidden="false" customHeight="false" outlineLevel="0" collapsed="false">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row>
    <row r="10" customFormat="false" ht="15" hidden="false" customHeight="false" outlineLevel="0" collapsed="false">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row>
    <row r="11" customFormat="false" ht="15" hidden="false" customHeight="false" outlineLevel="0" collapsed="false">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row>
    <row r="12" customFormat="false" ht="15" hidden="false" customHeight="false" outlineLevel="0" collapsed="false">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row>
    <row r="13" customFormat="false" ht="15" hidden="false" customHeight="false" outlineLevel="0" collapsed="false">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row>
    <row r="14" customFormat="false" ht="15" hidden="false" customHeight="false" outlineLevel="0" collapsed="false">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row>
    <row r="15" customFormat="false" ht="15" hidden="false" customHeight="false" outlineLevel="0" collapsed="false">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row>
    <row r="16" customFormat="false" ht="15" hidden="false" customHeight="false" outlineLevel="0" collapsed="false">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row>
    <row r="17" customFormat="false" ht="15" hidden="false" customHeight="false" outlineLevel="0" collapsed="false">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row>
    <row r="18" customFormat="false" ht="15" hidden="false" customHeight="false" outlineLevel="0" collapsed="false">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20"/>
      <c r="HD18" s="20"/>
    </row>
    <row r="19" customFormat="false" ht="15" hidden="false" customHeight="false" outlineLevel="0" collapsed="false">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20"/>
      <c r="EQ19" s="20"/>
      <c r="ER19" s="20"/>
      <c r="ES19" s="20"/>
      <c r="ET19" s="20"/>
      <c r="EU19" s="20"/>
      <c r="EV19" s="20"/>
      <c r="EW19" s="20"/>
      <c r="EX19" s="20"/>
      <c r="EY19" s="20"/>
      <c r="EZ19" s="20"/>
      <c r="FA19" s="20"/>
      <c r="FB19" s="20"/>
      <c r="FC19" s="20"/>
      <c r="FD19" s="20"/>
      <c r="FE19" s="20"/>
      <c r="FF19" s="20"/>
      <c r="FG19" s="20"/>
      <c r="FH19" s="20"/>
      <c r="FI19" s="20"/>
      <c r="FJ19" s="20"/>
      <c r="FK19" s="20"/>
      <c r="FL19" s="20"/>
      <c r="FM19" s="20"/>
      <c r="FN19" s="20"/>
      <c r="FO19" s="20"/>
      <c r="FP19" s="20"/>
      <c r="FQ19" s="20"/>
      <c r="FR19" s="20"/>
      <c r="FS19" s="20"/>
      <c r="FT19" s="20"/>
      <c r="FU19" s="20"/>
      <c r="FV19" s="20"/>
      <c r="FW19" s="20"/>
      <c r="FX19" s="20"/>
      <c r="FY19" s="20"/>
      <c r="FZ19" s="20"/>
      <c r="GA19" s="20"/>
      <c r="GB19" s="20"/>
      <c r="GC19" s="20"/>
      <c r="GD19" s="20"/>
      <c r="GE19" s="20"/>
      <c r="GF19" s="20"/>
      <c r="GG19" s="20"/>
      <c r="GH19" s="20"/>
      <c r="GI19" s="20"/>
      <c r="GJ19" s="20"/>
      <c r="GK19" s="20"/>
      <c r="GL19" s="20"/>
      <c r="GM19" s="20"/>
      <c r="GN19" s="20"/>
      <c r="GO19" s="20"/>
      <c r="GP19" s="20"/>
      <c r="GQ19" s="20"/>
      <c r="GR19" s="20"/>
      <c r="GS19" s="20"/>
      <c r="GT19" s="20"/>
      <c r="GU19" s="20"/>
      <c r="GV19" s="20"/>
      <c r="GW19" s="20"/>
      <c r="GX19" s="20"/>
      <c r="GY19" s="20"/>
      <c r="GZ19" s="20"/>
      <c r="HA19" s="20"/>
      <c r="HB19" s="20"/>
      <c r="HC19" s="20"/>
      <c r="HD19" s="20"/>
    </row>
    <row r="20" customFormat="false" ht="15" hidden="false" customHeight="false" outlineLevel="0" collapsed="false">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20"/>
      <c r="HC20" s="20"/>
      <c r="HD20" s="20"/>
    </row>
    <row r="21" customFormat="false" ht="15" hidden="false" customHeight="false" outlineLevel="0" collapsed="false">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20"/>
      <c r="EQ21" s="20"/>
      <c r="ER21" s="20"/>
      <c r="ES21" s="20"/>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c r="FZ21" s="20"/>
      <c r="GA21" s="20"/>
      <c r="GB21" s="20"/>
      <c r="GC21" s="20"/>
      <c r="GD21" s="20"/>
      <c r="GE21" s="20"/>
      <c r="GF21" s="20"/>
      <c r="GG21" s="20"/>
      <c r="GH21" s="20"/>
      <c r="GI21" s="20"/>
      <c r="GJ21" s="20"/>
      <c r="GK21" s="20"/>
      <c r="GL21" s="20"/>
      <c r="GM21" s="20"/>
      <c r="GN21" s="20"/>
      <c r="GO21" s="20"/>
      <c r="GP21" s="20"/>
      <c r="GQ21" s="20"/>
      <c r="GR21" s="20"/>
      <c r="GS21" s="20"/>
      <c r="GT21" s="20"/>
      <c r="GU21" s="20"/>
      <c r="GV21" s="20"/>
      <c r="GW21" s="20"/>
      <c r="GX21" s="20"/>
      <c r="GY21" s="20"/>
      <c r="GZ21" s="20"/>
      <c r="HA21" s="20"/>
      <c r="HB21" s="20"/>
      <c r="HC21" s="20"/>
      <c r="HD21" s="20"/>
    </row>
    <row r="22" customFormat="false" ht="15" hidden="false" customHeight="false" outlineLevel="0" collapsed="false">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row>
    <row r="23" customFormat="false" ht="15" hidden="false" customHeight="false" outlineLevel="0" collapsed="false">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c r="FY23" s="20"/>
      <c r="FZ23" s="20"/>
      <c r="GA23" s="20"/>
      <c r="GB23" s="20"/>
      <c r="GC23" s="20"/>
      <c r="GD23" s="20"/>
      <c r="GE23" s="20"/>
      <c r="GF23" s="20"/>
      <c r="GG23" s="20"/>
      <c r="GH23" s="20"/>
      <c r="GI23" s="20"/>
      <c r="GJ23" s="20"/>
      <c r="GK23" s="20"/>
      <c r="GL23" s="20"/>
      <c r="GM23" s="20"/>
      <c r="GN23" s="20"/>
      <c r="GO23" s="20"/>
      <c r="GP23" s="20"/>
      <c r="GQ23" s="20"/>
      <c r="GR23" s="20"/>
      <c r="GS23" s="20"/>
      <c r="GT23" s="20"/>
      <c r="GU23" s="20"/>
      <c r="GV23" s="20"/>
      <c r="GW23" s="20"/>
      <c r="GX23" s="20"/>
      <c r="GY23" s="20"/>
      <c r="GZ23" s="20"/>
      <c r="HA23" s="20"/>
      <c r="HB23" s="20"/>
      <c r="HC23" s="20"/>
      <c r="HD23" s="20"/>
    </row>
    <row r="24" customFormat="false" ht="15" hidden="false" customHeight="false" outlineLevel="0" collapsed="false">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20"/>
      <c r="EQ24" s="20"/>
      <c r="ER24" s="20"/>
      <c r="ES24" s="20"/>
      <c r="ET24" s="20"/>
      <c r="EU24" s="20"/>
      <c r="EV24" s="20"/>
      <c r="EW24" s="20"/>
      <c r="EX24" s="20"/>
      <c r="EY24" s="20"/>
      <c r="EZ24" s="20"/>
      <c r="FA24" s="20"/>
      <c r="FB24" s="20"/>
      <c r="FC24" s="20"/>
      <c r="FD24" s="20"/>
      <c r="FE24" s="20"/>
      <c r="FF24" s="20"/>
      <c r="FG24" s="20"/>
      <c r="FH24" s="20"/>
      <c r="FI24" s="20"/>
      <c r="FJ24" s="20"/>
      <c r="FK24" s="20"/>
      <c r="FL24" s="20"/>
      <c r="FM24" s="20"/>
      <c r="FN24" s="20"/>
      <c r="FO24" s="20"/>
      <c r="FP24" s="20"/>
      <c r="FQ24" s="20"/>
      <c r="FR24" s="20"/>
      <c r="FS24" s="20"/>
      <c r="FT24" s="20"/>
      <c r="FU24" s="20"/>
      <c r="FV24" s="20"/>
      <c r="FW24" s="20"/>
      <c r="FX24" s="20"/>
      <c r="FY24" s="20"/>
      <c r="FZ24" s="20"/>
      <c r="GA24" s="20"/>
      <c r="GB24" s="20"/>
      <c r="GC24" s="20"/>
      <c r="GD24" s="20"/>
      <c r="GE24" s="20"/>
      <c r="GF24" s="20"/>
      <c r="GG24" s="20"/>
      <c r="GH24" s="20"/>
      <c r="GI24" s="20"/>
      <c r="GJ24" s="20"/>
      <c r="GK24" s="20"/>
      <c r="GL24" s="20"/>
      <c r="GM24" s="20"/>
      <c r="GN24" s="20"/>
      <c r="GO24" s="20"/>
      <c r="GP24" s="20"/>
      <c r="GQ24" s="20"/>
      <c r="GR24" s="20"/>
      <c r="GS24" s="20"/>
      <c r="GT24" s="20"/>
      <c r="GU24" s="20"/>
      <c r="GV24" s="20"/>
      <c r="GW24" s="20"/>
      <c r="GX24" s="20"/>
      <c r="GY24" s="20"/>
      <c r="GZ24" s="20"/>
      <c r="HA24" s="20"/>
      <c r="HB24" s="20"/>
      <c r="HC24" s="20"/>
      <c r="HD24" s="20"/>
    </row>
    <row r="25" customFormat="false" ht="15" hidden="false" customHeight="false" outlineLevel="0" collapsed="false">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20"/>
      <c r="HC25" s="20"/>
      <c r="HD25" s="20"/>
    </row>
    <row r="26" customFormat="false" ht="15" hidden="false" customHeight="false" outlineLevel="0" collapsed="false">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row>
    <row r="27" customFormat="false" ht="15" hidden="false" customHeight="false" outlineLevel="0" collapsed="false">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c r="DV27" s="20"/>
      <c r="DW27" s="20"/>
      <c r="DX27" s="20"/>
      <c r="DY27" s="20"/>
      <c r="DZ27" s="20"/>
      <c r="EA27" s="20"/>
      <c r="EB27" s="20"/>
      <c r="EC27" s="20"/>
      <c r="ED27" s="20"/>
      <c r="EE27" s="20"/>
      <c r="EF27" s="20"/>
      <c r="EG27" s="20"/>
      <c r="EH27" s="20"/>
      <c r="EI27" s="20"/>
      <c r="EJ27" s="20"/>
      <c r="EK27" s="20"/>
      <c r="EL27" s="20"/>
      <c r="EM27" s="20"/>
      <c r="EN27" s="20"/>
      <c r="EO27" s="20"/>
      <c r="EP27" s="20"/>
      <c r="EQ27" s="20"/>
      <c r="ER27" s="20"/>
      <c r="ES27" s="20"/>
      <c r="ET27" s="20"/>
      <c r="EU27" s="20"/>
      <c r="EV27" s="20"/>
      <c r="EW27" s="20"/>
      <c r="EX27" s="20"/>
      <c r="EY27" s="20"/>
      <c r="EZ27" s="20"/>
      <c r="FA27" s="20"/>
      <c r="FB27" s="20"/>
      <c r="FC27" s="20"/>
      <c r="FD27" s="20"/>
      <c r="FE27" s="20"/>
      <c r="FF27" s="20"/>
      <c r="FG27" s="20"/>
      <c r="FH27" s="20"/>
      <c r="FI27" s="20"/>
      <c r="FJ27" s="20"/>
      <c r="FK27" s="20"/>
      <c r="FL27" s="20"/>
      <c r="FM27" s="20"/>
      <c r="FN27" s="20"/>
      <c r="FO27" s="20"/>
      <c r="FP27" s="20"/>
      <c r="FQ27" s="20"/>
      <c r="FR27" s="20"/>
      <c r="FS27" s="20"/>
      <c r="FT27" s="20"/>
      <c r="FU27" s="20"/>
      <c r="FV27" s="20"/>
      <c r="FW27" s="20"/>
      <c r="FX27" s="20"/>
      <c r="FY27" s="20"/>
      <c r="FZ27" s="20"/>
      <c r="GA27" s="20"/>
      <c r="GB27" s="20"/>
      <c r="GC27" s="20"/>
      <c r="GD27" s="20"/>
      <c r="GE27" s="20"/>
      <c r="GF27" s="20"/>
      <c r="GG27" s="20"/>
      <c r="GH27" s="20"/>
      <c r="GI27" s="20"/>
      <c r="GJ27" s="20"/>
      <c r="GK27" s="20"/>
      <c r="GL27" s="20"/>
      <c r="GM27" s="20"/>
      <c r="GN27" s="20"/>
      <c r="GO27" s="20"/>
      <c r="GP27" s="20"/>
      <c r="GQ27" s="20"/>
      <c r="GR27" s="20"/>
      <c r="GS27" s="20"/>
      <c r="GT27" s="20"/>
      <c r="GU27" s="20"/>
      <c r="GV27" s="20"/>
      <c r="GW27" s="20"/>
      <c r="GX27" s="20"/>
      <c r="GY27" s="20"/>
      <c r="GZ27" s="20"/>
      <c r="HA27" s="20"/>
      <c r="HB27" s="20"/>
      <c r="HC27" s="20"/>
      <c r="HD27" s="20"/>
    </row>
    <row r="28" customFormat="false" ht="15" hidden="false" customHeight="false" outlineLevel="0" collapsed="false">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c r="DV28" s="20"/>
      <c r="DW28" s="20"/>
      <c r="DX28" s="20"/>
      <c r="DY28" s="20"/>
      <c r="DZ28" s="20"/>
      <c r="EA28" s="20"/>
      <c r="EB28" s="20"/>
      <c r="EC28" s="20"/>
      <c r="ED28" s="20"/>
      <c r="EE28" s="20"/>
      <c r="EF28" s="20"/>
      <c r="EG28" s="20"/>
      <c r="EH28" s="20"/>
      <c r="EI28" s="20"/>
      <c r="EJ28" s="20"/>
      <c r="EK28" s="20"/>
      <c r="EL28" s="20"/>
      <c r="EM28" s="20"/>
      <c r="EN28" s="20"/>
      <c r="EO28" s="20"/>
      <c r="EP28" s="20"/>
      <c r="EQ28" s="20"/>
      <c r="ER28" s="20"/>
      <c r="ES28" s="20"/>
      <c r="ET28" s="20"/>
      <c r="EU28" s="20"/>
      <c r="EV28" s="20"/>
      <c r="EW28" s="20"/>
      <c r="EX28" s="20"/>
      <c r="EY28" s="20"/>
      <c r="EZ28" s="20"/>
      <c r="FA28" s="20"/>
      <c r="FB28" s="20"/>
      <c r="FC28" s="20"/>
      <c r="FD28" s="20"/>
      <c r="FE28" s="20"/>
      <c r="FF28" s="20"/>
      <c r="FG28" s="20"/>
      <c r="FH28" s="20"/>
      <c r="FI28" s="20"/>
      <c r="FJ28" s="20"/>
      <c r="FK28" s="20"/>
      <c r="FL28" s="20"/>
      <c r="FM28" s="20"/>
      <c r="FN28" s="20"/>
      <c r="FO28" s="20"/>
      <c r="FP28" s="20"/>
      <c r="FQ28" s="20"/>
      <c r="FR28" s="20"/>
      <c r="FS28" s="20"/>
      <c r="FT28" s="20"/>
      <c r="FU28" s="20"/>
      <c r="FV28" s="20"/>
      <c r="FW28" s="20"/>
      <c r="FX28" s="20"/>
      <c r="FY28" s="20"/>
      <c r="FZ28" s="20"/>
      <c r="GA28" s="20"/>
      <c r="GB28" s="20"/>
      <c r="GC28" s="20"/>
      <c r="GD28" s="20"/>
      <c r="GE28" s="20"/>
      <c r="GF28" s="20"/>
      <c r="GG28" s="20"/>
      <c r="GH28" s="20"/>
      <c r="GI28" s="20"/>
      <c r="GJ28" s="20"/>
      <c r="GK28" s="20"/>
      <c r="GL28" s="20"/>
      <c r="GM28" s="20"/>
      <c r="GN28" s="20"/>
      <c r="GO28" s="20"/>
      <c r="GP28" s="20"/>
      <c r="GQ28" s="20"/>
      <c r="GR28" s="20"/>
      <c r="GS28" s="20"/>
      <c r="GT28" s="20"/>
      <c r="GU28" s="20"/>
      <c r="GV28" s="20"/>
      <c r="GW28" s="20"/>
      <c r="GX28" s="20"/>
      <c r="GY28" s="20"/>
      <c r="GZ28" s="20"/>
      <c r="HA28" s="20"/>
      <c r="HB28" s="20"/>
      <c r="HC28" s="20"/>
      <c r="HD28" s="20"/>
    </row>
    <row r="29" customFormat="false" ht="15" hidden="false" customHeight="false" outlineLevel="0" collapsed="false">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c r="DI29" s="20"/>
      <c r="DJ29" s="20"/>
      <c r="DK29" s="20"/>
      <c r="DL29" s="20"/>
      <c r="DM29" s="20"/>
      <c r="DN29" s="20"/>
      <c r="DO29" s="20"/>
      <c r="DP29" s="20"/>
      <c r="DQ29" s="20"/>
      <c r="DR29" s="20"/>
      <c r="DS29" s="20"/>
      <c r="DT29" s="20"/>
      <c r="DU29" s="20"/>
      <c r="DV29" s="20"/>
      <c r="DW29" s="20"/>
      <c r="DX29" s="20"/>
      <c r="DY29" s="20"/>
      <c r="DZ29" s="20"/>
      <c r="EA29" s="20"/>
      <c r="EB29" s="20"/>
      <c r="EC29" s="20"/>
      <c r="ED29" s="20"/>
      <c r="EE29" s="20"/>
      <c r="EF29" s="20"/>
      <c r="EG29" s="20"/>
      <c r="EH29" s="20"/>
      <c r="EI29" s="20"/>
      <c r="EJ29" s="20"/>
      <c r="EK29" s="20"/>
      <c r="EL29" s="20"/>
      <c r="EM29" s="20"/>
      <c r="EN29" s="20"/>
      <c r="EO29" s="20"/>
      <c r="EP29" s="20"/>
      <c r="EQ29" s="20"/>
      <c r="ER29" s="20"/>
      <c r="ES29" s="20"/>
      <c r="ET29" s="20"/>
      <c r="EU29" s="20"/>
      <c r="EV29" s="20"/>
      <c r="EW29" s="20"/>
      <c r="EX29" s="20"/>
      <c r="EY29" s="20"/>
      <c r="EZ29" s="20"/>
      <c r="FA29" s="20"/>
      <c r="FB29" s="20"/>
      <c r="FC29" s="20"/>
      <c r="FD29" s="20"/>
      <c r="FE29" s="20"/>
      <c r="FF29" s="20"/>
      <c r="FG29" s="20"/>
      <c r="FH29" s="20"/>
      <c r="FI29" s="20"/>
      <c r="FJ29" s="20"/>
      <c r="FK29" s="20"/>
      <c r="FL29" s="20"/>
      <c r="FM29" s="20"/>
      <c r="FN29" s="20"/>
      <c r="FO29" s="20"/>
      <c r="FP29" s="20"/>
      <c r="FQ29" s="20"/>
      <c r="FR29" s="20"/>
      <c r="FS29" s="20"/>
      <c r="FT29" s="20"/>
      <c r="FU29" s="20"/>
      <c r="FV29" s="20"/>
      <c r="FW29" s="20"/>
      <c r="FX29" s="20"/>
      <c r="FY29" s="20"/>
      <c r="FZ29" s="20"/>
      <c r="GA29" s="20"/>
      <c r="GB29" s="20"/>
      <c r="GC29" s="20"/>
      <c r="GD29" s="20"/>
      <c r="GE29" s="20"/>
      <c r="GF29" s="20"/>
      <c r="GG29" s="20"/>
      <c r="GH29" s="20"/>
      <c r="GI29" s="20"/>
      <c r="GJ29" s="20"/>
      <c r="GK29" s="20"/>
      <c r="GL29" s="20"/>
      <c r="GM29" s="20"/>
      <c r="GN29" s="20"/>
      <c r="GO29" s="20"/>
      <c r="GP29" s="20"/>
      <c r="GQ29" s="20"/>
      <c r="GR29" s="20"/>
      <c r="GS29" s="20"/>
      <c r="GT29" s="20"/>
      <c r="GU29" s="20"/>
      <c r="GV29" s="20"/>
      <c r="GW29" s="20"/>
      <c r="GX29" s="20"/>
      <c r="GY29" s="20"/>
      <c r="GZ29" s="20"/>
      <c r="HA29" s="20"/>
      <c r="HB29" s="20"/>
      <c r="HC29" s="20"/>
      <c r="HD29" s="20"/>
    </row>
    <row r="30" customFormat="false" ht="15" hidden="false" customHeight="false" outlineLevel="0" collapsed="false">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c r="DI30" s="20"/>
      <c r="DJ30" s="20"/>
      <c r="DK30" s="20"/>
      <c r="DL30" s="20"/>
      <c r="DM30" s="20"/>
      <c r="DN30" s="20"/>
      <c r="DO30" s="20"/>
      <c r="DP30" s="20"/>
      <c r="DQ30" s="20"/>
      <c r="DR30" s="20"/>
      <c r="DS30" s="20"/>
      <c r="DT30" s="20"/>
      <c r="DU30" s="20"/>
      <c r="DV30" s="20"/>
      <c r="DW30" s="20"/>
      <c r="DX30" s="20"/>
      <c r="DY30" s="20"/>
      <c r="DZ30" s="20"/>
      <c r="EA30" s="20"/>
      <c r="EB30" s="20"/>
      <c r="EC30" s="20"/>
      <c r="ED30" s="20"/>
      <c r="EE30" s="20"/>
      <c r="EF30" s="20"/>
      <c r="EG30" s="20"/>
      <c r="EH30" s="20"/>
      <c r="EI30" s="20"/>
      <c r="EJ30" s="20"/>
      <c r="EK30" s="20"/>
      <c r="EL30" s="20"/>
      <c r="EM30" s="20"/>
      <c r="EN30" s="20"/>
      <c r="EO30" s="20"/>
      <c r="EP30" s="20"/>
      <c r="EQ30" s="20"/>
      <c r="ER30" s="20"/>
      <c r="ES30" s="20"/>
      <c r="ET30" s="20"/>
      <c r="EU30" s="20"/>
      <c r="EV30" s="20"/>
      <c r="EW30" s="20"/>
      <c r="EX30" s="20"/>
      <c r="EY30" s="20"/>
      <c r="EZ30" s="20"/>
      <c r="FA30" s="20"/>
      <c r="FB30" s="20"/>
      <c r="FC30" s="20"/>
      <c r="FD30" s="20"/>
      <c r="FE30" s="20"/>
      <c r="FF30" s="20"/>
      <c r="FG30" s="20"/>
      <c r="FH30" s="20"/>
      <c r="FI30" s="20"/>
      <c r="FJ30" s="20"/>
      <c r="FK30" s="20"/>
      <c r="FL30" s="20"/>
      <c r="FM30" s="20"/>
      <c r="FN30" s="20"/>
      <c r="FO30" s="20"/>
      <c r="FP30" s="20"/>
      <c r="FQ30" s="20"/>
      <c r="FR30" s="20"/>
      <c r="FS30" s="20"/>
      <c r="FT30" s="20"/>
      <c r="FU30" s="20"/>
      <c r="FV30" s="20"/>
      <c r="FW30" s="20"/>
      <c r="FX30" s="20"/>
      <c r="FY30" s="20"/>
      <c r="FZ30" s="20"/>
      <c r="GA30" s="20"/>
      <c r="GB30" s="20"/>
      <c r="GC30" s="20"/>
      <c r="GD30" s="20"/>
      <c r="GE30" s="20"/>
      <c r="GF30" s="20"/>
      <c r="GG30" s="20"/>
      <c r="GH30" s="20"/>
      <c r="GI30" s="20"/>
      <c r="GJ30" s="20"/>
      <c r="GK30" s="20"/>
      <c r="GL30" s="20"/>
      <c r="GM30" s="20"/>
      <c r="GN30" s="20"/>
      <c r="GO30" s="20"/>
      <c r="GP30" s="20"/>
      <c r="GQ30" s="20"/>
      <c r="GR30" s="20"/>
      <c r="GS30" s="20"/>
      <c r="GT30" s="20"/>
      <c r="GU30" s="20"/>
      <c r="GV30" s="20"/>
      <c r="GW30" s="20"/>
      <c r="GX30" s="20"/>
      <c r="GY30" s="20"/>
      <c r="GZ30" s="20"/>
      <c r="HA30" s="20"/>
      <c r="HB30" s="20"/>
      <c r="HC30" s="20"/>
      <c r="HD30" s="20"/>
    </row>
    <row r="31" customFormat="false" ht="15" hidden="false" customHeight="false" outlineLevel="0" collapsed="false">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20"/>
      <c r="DC31" s="20"/>
      <c r="DD31" s="20"/>
      <c r="DE31" s="20"/>
      <c r="DF31" s="20"/>
      <c r="DG31" s="20"/>
      <c r="DH31" s="20"/>
      <c r="DI31" s="20"/>
      <c r="DJ31" s="20"/>
      <c r="DK31" s="20"/>
      <c r="DL31" s="20"/>
      <c r="DM31" s="20"/>
      <c r="DN31" s="20"/>
      <c r="DO31" s="20"/>
      <c r="DP31" s="20"/>
      <c r="DQ31" s="20"/>
      <c r="DR31" s="20"/>
      <c r="DS31" s="20"/>
      <c r="DT31" s="20"/>
      <c r="DU31" s="20"/>
      <c r="DV31" s="20"/>
      <c r="DW31" s="20"/>
      <c r="DX31" s="20"/>
      <c r="DY31" s="20"/>
      <c r="DZ31" s="20"/>
      <c r="EA31" s="20"/>
      <c r="EB31" s="20"/>
      <c r="EC31" s="20"/>
      <c r="ED31" s="20"/>
      <c r="EE31" s="20"/>
      <c r="EF31" s="20"/>
      <c r="EG31" s="20"/>
      <c r="EH31" s="20"/>
      <c r="EI31" s="20"/>
      <c r="EJ31" s="20"/>
      <c r="EK31" s="20"/>
      <c r="EL31" s="20"/>
      <c r="EM31" s="20"/>
      <c r="EN31" s="20"/>
      <c r="EO31" s="20"/>
      <c r="EP31" s="20"/>
      <c r="EQ31" s="20"/>
      <c r="ER31" s="20"/>
      <c r="ES31" s="20"/>
      <c r="ET31" s="20"/>
      <c r="EU31" s="20"/>
      <c r="EV31" s="20"/>
      <c r="EW31" s="20"/>
      <c r="EX31" s="20"/>
      <c r="EY31" s="20"/>
      <c r="EZ31" s="20"/>
      <c r="FA31" s="20"/>
      <c r="FB31" s="20"/>
      <c r="FC31" s="20"/>
      <c r="FD31" s="20"/>
      <c r="FE31" s="20"/>
      <c r="FF31" s="20"/>
      <c r="FG31" s="20"/>
      <c r="FH31" s="20"/>
      <c r="FI31" s="20"/>
      <c r="FJ31" s="20"/>
      <c r="FK31" s="20"/>
      <c r="FL31" s="20"/>
      <c r="FM31" s="20"/>
      <c r="FN31" s="20"/>
      <c r="FO31" s="20"/>
      <c r="FP31" s="20"/>
      <c r="FQ31" s="20"/>
      <c r="FR31" s="20"/>
      <c r="FS31" s="20"/>
      <c r="FT31" s="20"/>
      <c r="FU31" s="20"/>
      <c r="FV31" s="20"/>
      <c r="FW31" s="20"/>
      <c r="FX31" s="20"/>
      <c r="FY31" s="20"/>
      <c r="FZ31" s="20"/>
      <c r="GA31" s="20"/>
      <c r="GB31" s="20"/>
      <c r="GC31" s="20"/>
      <c r="GD31" s="20"/>
      <c r="GE31" s="20"/>
      <c r="GF31" s="20"/>
      <c r="GG31" s="20"/>
      <c r="GH31" s="20"/>
      <c r="GI31" s="20"/>
      <c r="GJ31" s="20"/>
      <c r="GK31" s="20"/>
      <c r="GL31" s="20"/>
      <c r="GM31" s="20"/>
      <c r="GN31" s="20"/>
      <c r="GO31" s="20"/>
      <c r="GP31" s="20"/>
      <c r="GQ31" s="20"/>
      <c r="GR31" s="20"/>
      <c r="GS31" s="20"/>
      <c r="GT31" s="20"/>
      <c r="GU31" s="20"/>
      <c r="GV31" s="20"/>
      <c r="GW31" s="20"/>
      <c r="GX31" s="20"/>
      <c r="GY31" s="20"/>
      <c r="GZ31" s="20"/>
      <c r="HA31" s="20"/>
      <c r="HB31" s="20"/>
      <c r="HC31" s="20"/>
      <c r="HD31" s="20"/>
    </row>
    <row r="32" customFormat="false" ht="15" hidden="false" customHeight="false" outlineLevel="0" collapsed="false">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0"/>
      <c r="DE32" s="20"/>
      <c r="DF32" s="20"/>
      <c r="DG32" s="20"/>
      <c r="DH32" s="20"/>
      <c r="DI32" s="20"/>
      <c r="DJ32" s="20"/>
      <c r="DK32" s="20"/>
      <c r="DL32" s="20"/>
      <c r="DM32" s="20"/>
      <c r="DN32" s="20"/>
      <c r="DO32" s="20"/>
      <c r="DP32" s="20"/>
      <c r="DQ32" s="20"/>
      <c r="DR32" s="20"/>
      <c r="DS32" s="20"/>
      <c r="DT32" s="20"/>
      <c r="DU32" s="20"/>
      <c r="DV32" s="20"/>
      <c r="DW32" s="20"/>
      <c r="DX32" s="20"/>
      <c r="DY32" s="20"/>
      <c r="DZ32" s="20"/>
      <c r="EA32" s="20"/>
      <c r="EB32" s="20"/>
      <c r="EC32" s="20"/>
      <c r="ED32" s="20"/>
      <c r="EE32" s="20"/>
      <c r="EF32" s="20"/>
      <c r="EG32" s="20"/>
      <c r="EH32" s="20"/>
      <c r="EI32" s="20"/>
      <c r="EJ32" s="20"/>
      <c r="EK32" s="20"/>
      <c r="EL32" s="20"/>
      <c r="EM32" s="20"/>
      <c r="EN32" s="20"/>
      <c r="EO32" s="20"/>
      <c r="EP32" s="20"/>
      <c r="EQ32" s="20"/>
      <c r="ER32" s="20"/>
      <c r="ES32" s="20"/>
      <c r="ET32" s="20"/>
      <c r="EU32" s="20"/>
      <c r="EV32" s="20"/>
      <c r="EW32" s="20"/>
      <c r="EX32" s="20"/>
      <c r="EY32" s="20"/>
      <c r="EZ32" s="20"/>
      <c r="FA32" s="20"/>
      <c r="FB32" s="20"/>
      <c r="FC32" s="20"/>
      <c r="FD32" s="20"/>
      <c r="FE32" s="20"/>
      <c r="FF32" s="20"/>
      <c r="FG32" s="20"/>
      <c r="FH32" s="20"/>
      <c r="FI32" s="20"/>
      <c r="FJ32" s="20"/>
      <c r="FK32" s="20"/>
      <c r="FL32" s="20"/>
      <c r="FM32" s="20"/>
      <c r="FN32" s="20"/>
      <c r="FO32" s="20"/>
      <c r="FP32" s="20"/>
      <c r="FQ32" s="20"/>
      <c r="FR32" s="20"/>
      <c r="FS32" s="20"/>
      <c r="FT32" s="20"/>
      <c r="FU32" s="20"/>
      <c r="FV32" s="20"/>
      <c r="FW32" s="20"/>
      <c r="FX32" s="20"/>
      <c r="FY32" s="20"/>
      <c r="FZ32" s="20"/>
      <c r="GA32" s="20"/>
      <c r="GB32" s="20"/>
      <c r="GC32" s="20"/>
      <c r="GD32" s="20"/>
      <c r="GE32" s="20"/>
      <c r="GF32" s="20"/>
      <c r="GG32" s="20"/>
      <c r="GH32" s="20"/>
      <c r="GI32" s="20"/>
      <c r="GJ32" s="20"/>
      <c r="GK32" s="20"/>
      <c r="GL32" s="20"/>
      <c r="GM32" s="20"/>
      <c r="GN32" s="20"/>
      <c r="GO32" s="20"/>
      <c r="GP32" s="20"/>
      <c r="GQ32" s="20"/>
      <c r="GR32" s="20"/>
      <c r="GS32" s="20"/>
      <c r="GT32" s="20"/>
      <c r="GU32" s="20"/>
      <c r="GV32" s="20"/>
      <c r="GW32" s="20"/>
      <c r="GX32" s="20"/>
      <c r="GY32" s="20"/>
      <c r="GZ32" s="20"/>
      <c r="HA32" s="20"/>
      <c r="HB32" s="20"/>
      <c r="HC32" s="20"/>
      <c r="HD32" s="20"/>
    </row>
    <row r="33" customFormat="false" ht="15" hidden="false" customHeight="false" outlineLevel="0" collapsed="false">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c r="DB33" s="20"/>
      <c r="DC33" s="20"/>
      <c r="DD33" s="20"/>
      <c r="DE33" s="20"/>
      <c r="DF33" s="20"/>
      <c r="DG33" s="20"/>
      <c r="DH33" s="20"/>
      <c r="DI33" s="20"/>
      <c r="DJ33" s="20"/>
      <c r="DK33" s="20"/>
      <c r="DL33" s="20"/>
      <c r="DM33" s="20"/>
      <c r="DN33" s="20"/>
      <c r="DO33" s="20"/>
      <c r="DP33" s="20"/>
      <c r="DQ33" s="20"/>
      <c r="DR33" s="20"/>
      <c r="DS33" s="20"/>
      <c r="DT33" s="20"/>
      <c r="DU33" s="20"/>
      <c r="DV33" s="20"/>
      <c r="DW33" s="20"/>
      <c r="DX33" s="20"/>
      <c r="DY33" s="20"/>
      <c r="DZ33" s="20"/>
      <c r="EA33" s="20"/>
      <c r="EB33" s="20"/>
      <c r="EC33" s="20"/>
      <c r="ED33" s="20"/>
      <c r="EE33" s="20"/>
      <c r="EF33" s="20"/>
      <c r="EG33" s="20"/>
      <c r="EH33" s="20"/>
      <c r="EI33" s="20"/>
      <c r="EJ33" s="20"/>
      <c r="EK33" s="20"/>
      <c r="EL33" s="20"/>
      <c r="EM33" s="20"/>
      <c r="EN33" s="20"/>
      <c r="EO33" s="20"/>
      <c r="EP33" s="20"/>
      <c r="EQ33" s="20"/>
      <c r="ER33" s="20"/>
      <c r="ES33" s="20"/>
      <c r="ET33" s="20"/>
      <c r="EU33" s="20"/>
      <c r="EV33" s="20"/>
      <c r="EW33" s="20"/>
      <c r="EX33" s="20"/>
      <c r="EY33" s="20"/>
      <c r="EZ33" s="20"/>
      <c r="FA33" s="20"/>
      <c r="FB33" s="20"/>
      <c r="FC33" s="20"/>
      <c r="FD33" s="20"/>
      <c r="FE33" s="20"/>
      <c r="FF33" s="20"/>
      <c r="FG33" s="20"/>
      <c r="FH33" s="20"/>
      <c r="FI33" s="20"/>
      <c r="FJ33" s="20"/>
      <c r="FK33" s="20"/>
      <c r="FL33" s="20"/>
      <c r="FM33" s="20"/>
      <c r="FN33" s="20"/>
      <c r="FO33" s="20"/>
      <c r="FP33" s="20"/>
      <c r="FQ33" s="20"/>
      <c r="FR33" s="20"/>
      <c r="FS33" s="20"/>
      <c r="FT33" s="20"/>
      <c r="FU33" s="20"/>
      <c r="FV33" s="20"/>
      <c r="FW33" s="20"/>
      <c r="FX33" s="20"/>
      <c r="FY33" s="20"/>
      <c r="FZ33" s="20"/>
      <c r="GA33" s="20"/>
      <c r="GB33" s="20"/>
      <c r="GC33" s="20"/>
      <c r="GD33" s="20"/>
      <c r="GE33" s="20"/>
      <c r="GF33" s="20"/>
      <c r="GG33" s="20"/>
      <c r="GH33" s="20"/>
      <c r="GI33" s="20"/>
      <c r="GJ33" s="20"/>
      <c r="GK33" s="20"/>
      <c r="GL33" s="20"/>
      <c r="GM33" s="20"/>
      <c r="GN33" s="20"/>
      <c r="GO33" s="20"/>
      <c r="GP33" s="20"/>
      <c r="GQ33" s="20"/>
      <c r="GR33" s="20"/>
      <c r="GS33" s="20"/>
      <c r="GT33" s="20"/>
      <c r="GU33" s="20"/>
      <c r="GV33" s="20"/>
      <c r="GW33" s="20"/>
      <c r="GX33" s="20"/>
      <c r="GY33" s="20"/>
      <c r="GZ33" s="20"/>
      <c r="HA33" s="20"/>
      <c r="HB33" s="20"/>
      <c r="HC33" s="20"/>
      <c r="HD33" s="20"/>
    </row>
    <row r="34" customFormat="false" ht="15" hidden="false" customHeight="false" outlineLevel="0" collapsed="false">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20"/>
      <c r="DC34" s="20"/>
      <c r="DD34" s="20"/>
      <c r="DE34" s="20"/>
      <c r="DF34" s="20"/>
      <c r="DG34" s="20"/>
      <c r="DH34" s="20"/>
      <c r="DI34" s="20"/>
      <c r="DJ34" s="20"/>
      <c r="DK34" s="20"/>
      <c r="DL34" s="20"/>
      <c r="DM34" s="20"/>
      <c r="DN34" s="20"/>
      <c r="DO34" s="20"/>
      <c r="DP34" s="20"/>
      <c r="DQ34" s="20"/>
      <c r="DR34" s="20"/>
      <c r="DS34" s="20"/>
      <c r="DT34" s="20"/>
      <c r="DU34" s="20"/>
      <c r="DV34" s="20"/>
      <c r="DW34" s="20"/>
      <c r="DX34" s="20"/>
      <c r="DY34" s="20"/>
      <c r="DZ34" s="20"/>
      <c r="EA34" s="20"/>
      <c r="EB34" s="20"/>
      <c r="EC34" s="20"/>
      <c r="ED34" s="20"/>
      <c r="EE34" s="20"/>
      <c r="EF34" s="20"/>
      <c r="EG34" s="20"/>
      <c r="EH34" s="20"/>
      <c r="EI34" s="20"/>
      <c r="EJ34" s="20"/>
      <c r="EK34" s="20"/>
      <c r="EL34" s="20"/>
      <c r="EM34" s="20"/>
      <c r="EN34" s="20"/>
      <c r="EO34" s="20"/>
      <c r="EP34" s="20"/>
      <c r="EQ34" s="20"/>
      <c r="ER34" s="20"/>
      <c r="ES34" s="20"/>
      <c r="ET34" s="20"/>
      <c r="EU34" s="20"/>
      <c r="EV34" s="20"/>
      <c r="EW34" s="20"/>
      <c r="EX34" s="20"/>
      <c r="EY34" s="20"/>
      <c r="EZ34" s="20"/>
      <c r="FA34" s="20"/>
      <c r="FB34" s="20"/>
      <c r="FC34" s="20"/>
      <c r="FD34" s="20"/>
      <c r="FE34" s="20"/>
      <c r="FF34" s="20"/>
      <c r="FG34" s="20"/>
      <c r="FH34" s="20"/>
      <c r="FI34" s="20"/>
      <c r="FJ34" s="20"/>
      <c r="FK34" s="20"/>
      <c r="FL34" s="20"/>
      <c r="FM34" s="20"/>
      <c r="FN34" s="20"/>
      <c r="FO34" s="20"/>
      <c r="FP34" s="20"/>
      <c r="FQ34" s="20"/>
      <c r="FR34" s="20"/>
      <c r="FS34" s="20"/>
      <c r="FT34" s="20"/>
      <c r="FU34" s="20"/>
      <c r="FV34" s="20"/>
      <c r="FW34" s="20"/>
      <c r="FX34" s="20"/>
      <c r="FY34" s="20"/>
      <c r="FZ34" s="20"/>
      <c r="GA34" s="20"/>
      <c r="GB34" s="20"/>
      <c r="GC34" s="20"/>
      <c r="GD34" s="20"/>
      <c r="GE34" s="20"/>
      <c r="GF34" s="20"/>
      <c r="GG34" s="20"/>
      <c r="GH34" s="20"/>
      <c r="GI34" s="20"/>
      <c r="GJ34" s="20"/>
      <c r="GK34" s="20"/>
      <c r="GL34" s="20"/>
      <c r="GM34" s="20"/>
      <c r="GN34" s="20"/>
      <c r="GO34" s="20"/>
      <c r="GP34" s="20"/>
      <c r="GQ34" s="20"/>
      <c r="GR34" s="20"/>
      <c r="GS34" s="20"/>
      <c r="GT34" s="20"/>
      <c r="GU34" s="20"/>
      <c r="GV34" s="20"/>
      <c r="GW34" s="20"/>
      <c r="GX34" s="20"/>
      <c r="GY34" s="20"/>
      <c r="GZ34" s="20"/>
      <c r="HA34" s="20"/>
      <c r="HB34" s="20"/>
      <c r="HC34" s="20"/>
      <c r="HD34" s="20"/>
    </row>
    <row r="35" customFormat="false" ht="15" hidden="false" customHeight="false" outlineLevel="0" collapsed="false">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0"/>
      <c r="DC35" s="20"/>
      <c r="DD35" s="20"/>
      <c r="DE35" s="20"/>
      <c r="DF35" s="20"/>
      <c r="DG35" s="20"/>
      <c r="DH35" s="20"/>
      <c r="DI35" s="20"/>
      <c r="DJ35" s="20"/>
      <c r="DK35" s="20"/>
      <c r="DL35" s="20"/>
      <c r="DM35" s="20"/>
      <c r="DN35" s="20"/>
      <c r="DO35" s="20"/>
      <c r="DP35" s="20"/>
      <c r="DQ35" s="20"/>
      <c r="DR35" s="20"/>
      <c r="DS35" s="20"/>
      <c r="DT35" s="20"/>
      <c r="DU35" s="20"/>
      <c r="DV35" s="20"/>
      <c r="DW35" s="20"/>
      <c r="DX35" s="20"/>
      <c r="DY35" s="20"/>
      <c r="DZ35" s="20"/>
      <c r="EA35" s="20"/>
      <c r="EB35" s="20"/>
      <c r="EC35" s="20"/>
      <c r="ED35" s="20"/>
      <c r="EE35" s="20"/>
      <c r="EF35" s="20"/>
      <c r="EG35" s="20"/>
      <c r="EH35" s="20"/>
      <c r="EI35" s="20"/>
      <c r="EJ35" s="20"/>
      <c r="EK35" s="20"/>
      <c r="EL35" s="20"/>
      <c r="EM35" s="20"/>
      <c r="EN35" s="20"/>
      <c r="EO35" s="20"/>
      <c r="EP35" s="20"/>
      <c r="EQ35" s="20"/>
      <c r="ER35" s="20"/>
      <c r="ES35" s="20"/>
      <c r="ET35" s="20"/>
      <c r="EU35" s="20"/>
      <c r="EV35" s="20"/>
      <c r="EW35" s="20"/>
      <c r="EX35" s="20"/>
      <c r="EY35" s="20"/>
      <c r="EZ35" s="20"/>
      <c r="FA35" s="20"/>
      <c r="FB35" s="20"/>
      <c r="FC35" s="20"/>
      <c r="FD35" s="20"/>
      <c r="FE35" s="20"/>
      <c r="FF35" s="20"/>
      <c r="FG35" s="20"/>
      <c r="FH35" s="20"/>
      <c r="FI35" s="20"/>
      <c r="FJ35" s="20"/>
      <c r="FK35" s="20"/>
      <c r="FL35" s="20"/>
      <c r="FM35" s="20"/>
      <c r="FN35" s="20"/>
      <c r="FO35" s="20"/>
      <c r="FP35" s="20"/>
      <c r="FQ35" s="20"/>
      <c r="FR35" s="20"/>
      <c r="FS35" s="20"/>
      <c r="FT35" s="20"/>
      <c r="FU35" s="20"/>
      <c r="FV35" s="20"/>
      <c r="FW35" s="20"/>
      <c r="FX35" s="20"/>
      <c r="FY35" s="20"/>
      <c r="FZ35" s="20"/>
      <c r="GA35" s="20"/>
      <c r="GB35" s="20"/>
      <c r="GC35" s="20"/>
      <c r="GD35" s="20"/>
      <c r="GE35" s="20"/>
      <c r="GF35" s="20"/>
      <c r="GG35" s="20"/>
      <c r="GH35" s="20"/>
      <c r="GI35" s="20"/>
      <c r="GJ35" s="20"/>
      <c r="GK35" s="20"/>
      <c r="GL35" s="20"/>
      <c r="GM35" s="20"/>
      <c r="GN35" s="20"/>
      <c r="GO35" s="20"/>
      <c r="GP35" s="20"/>
      <c r="GQ35" s="20"/>
      <c r="GR35" s="20"/>
      <c r="GS35" s="20"/>
      <c r="GT35" s="20"/>
      <c r="GU35" s="20"/>
      <c r="GV35" s="20"/>
      <c r="GW35" s="20"/>
      <c r="GX35" s="20"/>
      <c r="GY35" s="20"/>
      <c r="GZ35" s="20"/>
      <c r="HA35" s="20"/>
      <c r="HB35" s="20"/>
      <c r="HC35" s="20"/>
      <c r="HD35" s="20"/>
    </row>
    <row r="36" customFormat="false" ht="15" hidden="false" customHeight="false" outlineLevel="0" collapsed="false">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c r="DI36" s="20"/>
      <c r="DJ36" s="20"/>
      <c r="DK36" s="20"/>
      <c r="DL36" s="20"/>
      <c r="DM36" s="20"/>
      <c r="DN36" s="20"/>
      <c r="DO36" s="20"/>
      <c r="DP36" s="20"/>
      <c r="DQ36" s="20"/>
      <c r="DR36" s="20"/>
      <c r="DS36" s="20"/>
      <c r="DT36" s="20"/>
      <c r="DU36" s="20"/>
      <c r="DV36" s="20"/>
      <c r="DW36" s="20"/>
      <c r="DX36" s="20"/>
      <c r="DY36" s="20"/>
      <c r="DZ36" s="20"/>
      <c r="EA36" s="20"/>
      <c r="EB36" s="20"/>
      <c r="EC36" s="20"/>
      <c r="ED36" s="20"/>
      <c r="EE36" s="20"/>
      <c r="EF36" s="20"/>
      <c r="EG36" s="20"/>
      <c r="EH36" s="20"/>
      <c r="EI36" s="20"/>
      <c r="EJ36" s="20"/>
      <c r="EK36" s="20"/>
      <c r="EL36" s="20"/>
      <c r="EM36" s="20"/>
      <c r="EN36" s="20"/>
      <c r="EO36" s="20"/>
      <c r="EP36" s="20"/>
      <c r="EQ36" s="20"/>
      <c r="ER36" s="20"/>
      <c r="ES36" s="20"/>
      <c r="ET36" s="20"/>
      <c r="EU36" s="20"/>
      <c r="EV36" s="20"/>
      <c r="EW36" s="20"/>
      <c r="EX36" s="20"/>
      <c r="EY36" s="20"/>
      <c r="EZ36" s="20"/>
      <c r="FA36" s="20"/>
      <c r="FB36" s="20"/>
      <c r="FC36" s="20"/>
      <c r="FD36" s="20"/>
      <c r="FE36" s="20"/>
      <c r="FF36" s="20"/>
      <c r="FG36" s="20"/>
      <c r="FH36" s="20"/>
      <c r="FI36" s="20"/>
      <c r="FJ36" s="20"/>
      <c r="FK36" s="20"/>
      <c r="FL36" s="20"/>
      <c r="FM36" s="20"/>
      <c r="FN36" s="20"/>
      <c r="FO36" s="20"/>
      <c r="FP36" s="20"/>
      <c r="FQ36" s="20"/>
      <c r="FR36" s="20"/>
      <c r="FS36" s="20"/>
      <c r="FT36" s="20"/>
      <c r="FU36" s="20"/>
      <c r="FV36" s="20"/>
      <c r="FW36" s="20"/>
      <c r="FX36" s="20"/>
      <c r="FY36" s="20"/>
      <c r="FZ36" s="20"/>
      <c r="GA36" s="20"/>
      <c r="GB36" s="20"/>
      <c r="GC36" s="20"/>
      <c r="GD36" s="20"/>
      <c r="GE36" s="20"/>
      <c r="GF36" s="20"/>
      <c r="GG36" s="20"/>
      <c r="GH36" s="20"/>
      <c r="GI36" s="20"/>
      <c r="GJ36" s="20"/>
      <c r="GK36" s="20"/>
      <c r="GL36" s="20"/>
      <c r="GM36" s="20"/>
      <c r="GN36" s="20"/>
      <c r="GO36" s="20"/>
      <c r="GP36" s="20"/>
      <c r="GQ36" s="20"/>
      <c r="GR36" s="20"/>
      <c r="GS36" s="20"/>
      <c r="GT36" s="20"/>
      <c r="GU36" s="20"/>
      <c r="GV36" s="20"/>
      <c r="GW36" s="20"/>
      <c r="GX36" s="20"/>
      <c r="GY36" s="20"/>
      <c r="GZ36" s="20"/>
      <c r="HA36" s="20"/>
      <c r="HB36" s="20"/>
      <c r="HC36" s="20"/>
      <c r="HD36" s="20"/>
    </row>
    <row r="37" customFormat="false" ht="15" hidden="false" customHeight="false" outlineLevel="0" collapsed="false">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c r="DB37" s="20"/>
      <c r="DC37" s="20"/>
      <c r="DD37" s="20"/>
      <c r="DE37" s="20"/>
      <c r="DF37" s="20"/>
      <c r="DG37" s="20"/>
      <c r="DH37" s="20"/>
      <c r="DI37" s="20"/>
      <c r="DJ37" s="20"/>
      <c r="DK37" s="20"/>
      <c r="DL37" s="20"/>
      <c r="DM37" s="20"/>
      <c r="DN37" s="20"/>
      <c r="DO37" s="20"/>
      <c r="DP37" s="20"/>
      <c r="DQ37" s="20"/>
      <c r="DR37" s="20"/>
      <c r="DS37" s="20"/>
      <c r="DT37" s="20"/>
      <c r="DU37" s="20"/>
      <c r="DV37" s="20"/>
      <c r="DW37" s="20"/>
      <c r="DX37" s="20"/>
      <c r="DY37" s="20"/>
      <c r="DZ37" s="20"/>
      <c r="EA37" s="20"/>
      <c r="EB37" s="20"/>
      <c r="EC37" s="20"/>
      <c r="ED37" s="20"/>
      <c r="EE37" s="20"/>
      <c r="EF37" s="20"/>
      <c r="EG37" s="20"/>
      <c r="EH37" s="20"/>
      <c r="EI37" s="20"/>
      <c r="EJ37" s="20"/>
      <c r="EK37" s="20"/>
      <c r="EL37" s="20"/>
      <c r="EM37" s="20"/>
      <c r="EN37" s="20"/>
      <c r="EO37" s="20"/>
      <c r="EP37" s="20"/>
      <c r="EQ37" s="20"/>
      <c r="ER37" s="20"/>
      <c r="ES37" s="20"/>
      <c r="ET37" s="20"/>
      <c r="EU37" s="20"/>
      <c r="EV37" s="20"/>
      <c r="EW37" s="20"/>
      <c r="EX37" s="20"/>
      <c r="EY37" s="20"/>
      <c r="EZ37" s="20"/>
      <c r="FA37" s="20"/>
      <c r="FB37" s="20"/>
      <c r="FC37" s="20"/>
      <c r="FD37" s="20"/>
      <c r="FE37" s="20"/>
      <c r="FF37" s="20"/>
      <c r="FG37" s="20"/>
      <c r="FH37" s="20"/>
      <c r="FI37" s="20"/>
      <c r="FJ37" s="20"/>
      <c r="FK37" s="20"/>
      <c r="FL37" s="20"/>
      <c r="FM37" s="20"/>
      <c r="FN37" s="20"/>
      <c r="FO37" s="20"/>
      <c r="FP37" s="20"/>
      <c r="FQ37" s="20"/>
      <c r="FR37" s="20"/>
      <c r="FS37" s="20"/>
      <c r="FT37" s="20"/>
      <c r="FU37" s="20"/>
      <c r="FV37" s="20"/>
      <c r="FW37" s="20"/>
      <c r="FX37" s="20"/>
      <c r="FY37" s="20"/>
      <c r="FZ37" s="20"/>
      <c r="GA37" s="20"/>
      <c r="GB37" s="20"/>
      <c r="GC37" s="20"/>
      <c r="GD37" s="20"/>
      <c r="GE37" s="20"/>
      <c r="GF37" s="20"/>
      <c r="GG37" s="20"/>
      <c r="GH37" s="20"/>
      <c r="GI37" s="20"/>
      <c r="GJ37" s="20"/>
      <c r="GK37" s="20"/>
      <c r="GL37" s="20"/>
      <c r="GM37" s="20"/>
      <c r="GN37" s="20"/>
      <c r="GO37" s="20"/>
      <c r="GP37" s="20"/>
      <c r="GQ37" s="20"/>
      <c r="GR37" s="20"/>
      <c r="GS37" s="20"/>
      <c r="GT37" s="20"/>
      <c r="GU37" s="20"/>
      <c r="GV37" s="20"/>
      <c r="GW37" s="20"/>
      <c r="GX37" s="20"/>
      <c r="GY37" s="20"/>
      <c r="GZ37" s="20"/>
      <c r="HA37" s="20"/>
      <c r="HB37" s="20"/>
      <c r="HC37" s="20"/>
      <c r="HD37" s="20"/>
    </row>
    <row r="38" customFormat="false" ht="15" hidden="false" customHeight="false" outlineLevel="0" collapsed="false">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c r="DB38" s="20"/>
      <c r="DC38" s="20"/>
      <c r="DD38" s="20"/>
      <c r="DE38" s="20"/>
      <c r="DF38" s="20"/>
      <c r="DG38" s="20"/>
      <c r="DH38" s="20"/>
      <c r="DI38" s="20"/>
      <c r="DJ38" s="20"/>
      <c r="DK38" s="20"/>
      <c r="DL38" s="20"/>
      <c r="DM38" s="20"/>
      <c r="DN38" s="20"/>
      <c r="DO38" s="20"/>
      <c r="DP38" s="20"/>
      <c r="DQ38" s="20"/>
      <c r="DR38" s="20"/>
      <c r="DS38" s="20"/>
      <c r="DT38" s="20"/>
      <c r="DU38" s="20"/>
      <c r="DV38" s="20"/>
      <c r="DW38" s="20"/>
      <c r="DX38" s="20"/>
      <c r="DY38" s="20"/>
      <c r="DZ38" s="20"/>
      <c r="EA38" s="20"/>
      <c r="EB38" s="20"/>
      <c r="EC38" s="20"/>
      <c r="ED38" s="20"/>
      <c r="EE38" s="20"/>
      <c r="EF38" s="20"/>
      <c r="EG38" s="20"/>
      <c r="EH38" s="20"/>
      <c r="EI38" s="20"/>
      <c r="EJ38" s="20"/>
      <c r="EK38" s="20"/>
      <c r="EL38" s="20"/>
      <c r="EM38" s="20"/>
      <c r="EN38" s="20"/>
      <c r="EO38" s="20"/>
      <c r="EP38" s="20"/>
      <c r="EQ38" s="20"/>
      <c r="ER38" s="20"/>
      <c r="ES38" s="20"/>
      <c r="ET38" s="20"/>
      <c r="EU38" s="20"/>
      <c r="EV38" s="20"/>
      <c r="EW38" s="20"/>
      <c r="EX38" s="20"/>
      <c r="EY38" s="20"/>
      <c r="EZ38" s="20"/>
      <c r="FA38" s="20"/>
      <c r="FB38" s="20"/>
      <c r="FC38" s="20"/>
      <c r="FD38" s="20"/>
      <c r="FE38" s="20"/>
      <c r="FF38" s="20"/>
      <c r="FG38" s="20"/>
      <c r="FH38" s="20"/>
      <c r="FI38" s="20"/>
      <c r="FJ38" s="20"/>
      <c r="FK38" s="20"/>
      <c r="FL38" s="20"/>
      <c r="FM38" s="20"/>
      <c r="FN38" s="20"/>
      <c r="FO38" s="20"/>
      <c r="FP38" s="20"/>
      <c r="FQ38" s="20"/>
      <c r="FR38" s="20"/>
      <c r="FS38" s="20"/>
      <c r="FT38" s="20"/>
      <c r="FU38" s="20"/>
      <c r="FV38" s="20"/>
      <c r="FW38" s="20"/>
      <c r="FX38" s="20"/>
      <c r="FY38" s="20"/>
      <c r="FZ38" s="20"/>
      <c r="GA38" s="20"/>
      <c r="GB38" s="20"/>
      <c r="GC38" s="20"/>
      <c r="GD38" s="20"/>
      <c r="GE38" s="20"/>
      <c r="GF38" s="20"/>
      <c r="GG38" s="20"/>
      <c r="GH38" s="20"/>
      <c r="GI38" s="20"/>
      <c r="GJ38" s="20"/>
      <c r="GK38" s="20"/>
      <c r="GL38" s="20"/>
      <c r="GM38" s="20"/>
      <c r="GN38" s="20"/>
      <c r="GO38" s="20"/>
      <c r="GP38" s="20"/>
      <c r="GQ38" s="20"/>
      <c r="GR38" s="20"/>
      <c r="GS38" s="20"/>
      <c r="GT38" s="20"/>
      <c r="GU38" s="20"/>
      <c r="GV38" s="20"/>
      <c r="GW38" s="20"/>
      <c r="GX38" s="20"/>
      <c r="GY38" s="20"/>
      <c r="GZ38" s="20"/>
      <c r="HA38" s="20"/>
      <c r="HB38" s="20"/>
      <c r="HC38" s="20"/>
      <c r="HD38" s="20"/>
    </row>
    <row r="39" customFormat="false" ht="15" hidden="false" customHeight="false" outlineLevel="0" collapsed="false">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20"/>
      <c r="DM39" s="20"/>
      <c r="DN39" s="20"/>
      <c r="DO39" s="20"/>
      <c r="DP39" s="20"/>
      <c r="DQ39" s="20"/>
      <c r="DR39" s="20"/>
      <c r="DS39" s="20"/>
      <c r="DT39" s="20"/>
      <c r="DU39" s="20"/>
      <c r="DV39" s="20"/>
      <c r="DW39" s="20"/>
      <c r="DX39" s="20"/>
      <c r="DY39" s="20"/>
      <c r="DZ39" s="20"/>
      <c r="EA39" s="20"/>
      <c r="EB39" s="20"/>
      <c r="EC39" s="20"/>
      <c r="ED39" s="20"/>
      <c r="EE39" s="20"/>
      <c r="EF39" s="20"/>
      <c r="EG39" s="20"/>
      <c r="EH39" s="20"/>
      <c r="EI39" s="20"/>
      <c r="EJ39" s="20"/>
      <c r="EK39" s="20"/>
      <c r="EL39" s="20"/>
      <c r="EM39" s="20"/>
      <c r="EN39" s="20"/>
      <c r="EO39" s="20"/>
      <c r="EP39" s="20"/>
      <c r="EQ39" s="20"/>
      <c r="ER39" s="20"/>
      <c r="ES39" s="20"/>
      <c r="ET39" s="20"/>
      <c r="EU39" s="20"/>
      <c r="EV39" s="20"/>
      <c r="EW39" s="20"/>
      <c r="EX39" s="20"/>
      <c r="EY39" s="20"/>
      <c r="EZ39" s="20"/>
      <c r="FA39" s="20"/>
      <c r="FB39" s="20"/>
      <c r="FC39" s="20"/>
      <c r="FD39" s="20"/>
      <c r="FE39" s="20"/>
      <c r="FF39" s="20"/>
      <c r="FG39" s="20"/>
      <c r="FH39" s="20"/>
      <c r="FI39" s="20"/>
      <c r="FJ39" s="20"/>
      <c r="FK39" s="20"/>
      <c r="FL39" s="20"/>
      <c r="FM39" s="20"/>
      <c r="FN39" s="20"/>
      <c r="FO39" s="20"/>
      <c r="FP39" s="20"/>
      <c r="FQ39" s="20"/>
      <c r="FR39" s="20"/>
      <c r="FS39" s="20"/>
      <c r="FT39" s="20"/>
      <c r="FU39" s="20"/>
      <c r="FV39" s="20"/>
      <c r="FW39" s="20"/>
      <c r="FX39" s="20"/>
      <c r="FY39" s="20"/>
      <c r="FZ39" s="20"/>
      <c r="GA39" s="20"/>
      <c r="GB39" s="20"/>
      <c r="GC39" s="20"/>
      <c r="GD39" s="20"/>
      <c r="GE39" s="20"/>
      <c r="GF39" s="20"/>
      <c r="GG39" s="20"/>
      <c r="GH39" s="20"/>
      <c r="GI39" s="20"/>
      <c r="GJ39" s="20"/>
      <c r="GK39" s="20"/>
      <c r="GL39" s="20"/>
      <c r="GM39" s="20"/>
      <c r="GN39" s="20"/>
      <c r="GO39" s="20"/>
      <c r="GP39" s="20"/>
      <c r="GQ39" s="20"/>
      <c r="GR39" s="20"/>
      <c r="GS39" s="20"/>
      <c r="GT39" s="20"/>
      <c r="GU39" s="20"/>
      <c r="GV39" s="20"/>
      <c r="GW39" s="20"/>
      <c r="GX39" s="20"/>
      <c r="GY39" s="20"/>
      <c r="GZ39" s="20"/>
      <c r="HA39" s="20"/>
      <c r="HB39" s="20"/>
      <c r="HC39" s="20"/>
      <c r="HD39" s="20"/>
    </row>
    <row r="40" customFormat="false" ht="15" hidden="false" customHeight="false" outlineLevel="0" collapsed="false">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c r="CL40" s="20"/>
      <c r="CM40" s="20"/>
      <c r="CN40" s="20"/>
      <c r="CO40" s="20"/>
      <c r="CP40" s="20"/>
      <c r="CQ40" s="20"/>
      <c r="CR40" s="20"/>
      <c r="CS40" s="20"/>
      <c r="CT40" s="20"/>
      <c r="CU40" s="20"/>
      <c r="CV40" s="20"/>
      <c r="CW40" s="20"/>
      <c r="CX40" s="20"/>
      <c r="CY40" s="20"/>
      <c r="CZ40" s="20"/>
      <c r="DA40" s="20"/>
      <c r="DB40" s="20"/>
      <c r="DC40" s="20"/>
      <c r="DD40" s="20"/>
      <c r="DE40" s="20"/>
      <c r="DF40" s="20"/>
      <c r="DG40" s="20"/>
      <c r="DH40" s="20"/>
      <c r="DI40" s="20"/>
      <c r="DJ40" s="20"/>
      <c r="DK40" s="20"/>
      <c r="DL40" s="20"/>
      <c r="DM40" s="20"/>
      <c r="DN40" s="20"/>
      <c r="DO40" s="20"/>
      <c r="DP40" s="20"/>
      <c r="DQ40" s="20"/>
      <c r="DR40" s="20"/>
      <c r="DS40" s="20"/>
      <c r="DT40" s="20"/>
      <c r="DU40" s="20"/>
      <c r="DV40" s="20"/>
      <c r="DW40" s="20"/>
      <c r="DX40" s="20"/>
      <c r="DY40" s="20"/>
      <c r="DZ40" s="20"/>
      <c r="EA40" s="20"/>
      <c r="EB40" s="20"/>
      <c r="EC40" s="20"/>
      <c r="ED40" s="20"/>
      <c r="EE40" s="20"/>
      <c r="EF40" s="20"/>
      <c r="EG40" s="20"/>
      <c r="EH40" s="20"/>
      <c r="EI40" s="20"/>
      <c r="EJ40" s="20"/>
      <c r="EK40" s="20"/>
      <c r="EL40" s="20"/>
      <c r="EM40" s="20"/>
      <c r="EN40" s="20"/>
      <c r="EO40" s="20"/>
      <c r="EP40" s="20"/>
      <c r="EQ40" s="20"/>
      <c r="ER40" s="20"/>
      <c r="ES40" s="20"/>
      <c r="ET40" s="20"/>
      <c r="EU40" s="20"/>
      <c r="EV40" s="20"/>
      <c r="EW40" s="20"/>
      <c r="EX40" s="20"/>
      <c r="EY40" s="20"/>
      <c r="EZ40" s="20"/>
      <c r="FA40" s="20"/>
      <c r="FB40" s="20"/>
      <c r="FC40" s="20"/>
      <c r="FD40" s="20"/>
      <c r="FE40" s="20"/>
      <c r="FF40" s="20"/>
      <c r="FG40" s="20"/>
      <c r="FH40" s="20"/>
      <c r="FI40" s="20"/>
      <c r="FJ40" s="20"/>
      <c r="FK40" s="20"/>
      <c r="FL40" s="20"/>
      <c r="FM40" s="20"/>
      <c r="FN40" s="20"/>
      <c r="FO40" s="20"/>
      <c r="FP40" s="20"/>
      <c r="FQ40" s="20"/>
      <c r="FR40" s="20"/>
      <c r="FS40" s="20"/>
      <c r="FT40" s="20"/>
      <c r="FU40" s="20"/>
      <c r="FV40" s="20"/>
      <c r="FW40" s="20"/>
      <c r="FX40" s="20"/>
      <c r="FY40" s="20"/>
      <c r="FZ40" s="20"/>
      <c r="GA40" s="20"/>
      <c r="GB40" s="20"/>
      <c r="GC40" s="20"/>
      <c r="GD40" s="20"/>
      <c r="GE40" s="20"/>
      <c r="GF40" s="20"/>
      <c r="GG40" s="20"/>
      <c r="GH40" s="20"/>
      <c r="GI40" s="20"/>
      <c r="GJ40" s="20"/>
      <c r="GK40" s="20"/>
      <c r="GL40" s="20"/>
      <c r="GM40" s="20"/>
      <c r="GN40" s="20"/>
      <c r="GO40" s="20"/>
      <c r="GP40" s="20"/>
      <c r="GQ40" s="20"/>
      <c r="GR40" s="20"/>
      <c r="GS40" s="20"/>
      <c r="GT40" s="20"/>
      <c r="GU40" s="20"/>
      <c r="GV40" s="20"/>
      <c r="GW40" s="20"/>
      <c r="GX40" s="20"/>
      <c r="GY40" s="20"/>
      <c r="GZ40" s="20"/>
      <c r="HA40" s="20"/>
      <c r="HB40" s="20"/>
      <c r="HC40" s="20"/>
      <c r="HD40" s="20"/>
    </row>
    <row r="41" customFormat="false" ht="15" hidden="false" customHeight="false" outlineLevel="0" collapsed="false">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c r="DB41" s="20"/>
      <c r="DC41" s="20"/>
      <c r="DD41" s="20"/>
      <c r="DE41" s="20"/>
      <c r="DF41" s="20"/>
      <c r="DG41" s="20"/>
      <c r="DH41" s="20"/>
      <c r="DI41" s="20"/>
      <c r="DJ41" s="20"/>
      <c r="DK41" s="20"/>
      <c r="DL41" s="20"/>
      <c r="DM41" s="20"/>
      <c r="DN41" s="20"/>
      <c r="DO41" s="20"/>
      <c r="DP41" s="20"/>
      <c r="DQ41" s="20"/>
      <c r="DR41" s="20"/>
      <c r="DS41" s="20"/>
      <c r="DT41" s="20"/>
      <c r="DU41" s="20"/>
      <c r="DV41" s="20"/>
      <c r="DW41" s="20"/>
      <c r="DX41" s="20"/>
      <c r="DY41" s="20"/>
      <c r="DZ41" s="20"/>
      <c r="EA41" s="20"/>
      <c r="EB41" s="20"/>
      <c r="EC41" s="20"/>
      <c r="ED41" s="20"/>
      <c r="EE41" s="20"/>
      <c r="EF41" s="20"/>
      <c r="EG41" s="20"/>
      <c r="EH41" s="20"/>
      <c r="EI41" s="20"/>
      <c r="EJ41" s="20"/>
      <c r="EK41" s="20"/>
      <c r="EL41" s="20"/>
      <c r="EM41" s="20"/>
      <c r="EN41" s="20"/>
      <c r="EO41" s="20"/>
      <c r="EP41" s="20"/>
      <c r="EQ41" s="20"/>
      <c r="ER41" s="20"/>
      <c r="ES41" s="20"/>
      <c r="ET41" s="20"/>
      <c r="EU41" s="20"/>
      <c r="EV41" s="20"/>
      <c r="EW41" s="20"/>
      <c r="EX41" s="20"/>
      <c r="EY41" s="20"/>
      <c r="EZ41" s="20"/>
      <c r="FA41" s="20"/>
      <c r="FB41" s="20"/>
      <c r="FC41" s="20"/>
      <c r="FD41" s="20"/>
      <c r="FE41" s="20"/>
      <c r="FF41" s="20"/>
      <c r="FG41" s="20"/>
      <c r="FH41" s="20"/>
      <c r="FI41" s="20"/>
      <c r="FJ41" s="20"/>
      <c r="FK41" s="20"/>
      <c r="FL41" s="20"/>
      <c r="FM41" s="20"/>
      <c r="FN41" s="20"/>
      <c r="FO41" s="20"/>
      <c r="FP41" s="20"/>
      <c r="FQ41" s="20"/>
      <c r="FR41" s="20"/>
      <c r="FS41" s="20"/>
      <c r="FT41" s="20"/>
      <c r="FU41" s="20"/>
      <c r="FV41" s="20"/>
      <c r="FW41" s="20"/>
      <c r="FX41" s="20"/>
      <c r="FY41" s="20"/>
      <c r="FZ41" s="20"/>
      <c r="GA41" s="20"/>
      <c r="GB41" s="20"/>
      <c r="GC41" s="20"/>
      <c r="GD41" s="20"/>
      <c r="GE41" s="20"/>
      <c r="GF41" s="20"/>
      <c r="GG41" s="20"/>
      <c r="GH41" s="20"/>
      <c r="GI41" s="20"/>
      <c r="GJ41" s="20"/>
      <c r="GK41" s="20"/>
      <c r="GL41" s="20"/>
      <c r="GM41" s="20"/>
      <c r="GN41" s="20"/>
      <c r="GO41" s="20"/>
      <c r="GP41" s="20"/>
      <c r="GQ41" s="20"/>
      <c r="GR41" s="20"/>
      <c r="GS41" s="20"/>
      <c r="GT41" s="20"/>
      <c r="GU41" s="20"/>
      <c r="GV41" s="20"/>
      <c r="GW41" s="20"/>
      <c r="GX41" s="20"/>
      <c r="GY41" s="20"/>
      <c r="GZ41" s="20"/>
      <c r="HA41" s="20"/>
      <c r="HB41" s="20"/>
      <c r="HC41" s="20"/>
      <c r="HD41" s="20"/>
    </row>
    <row r="42" customFormat="false" ht="15" hidden="false" customHeight="false" outlineLevel="0" collapsed="false">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c r="DB42" s="20"/>
      <c r="DC42" s="20"/>
      <c r="DD42" s="20"/>
      <c r="DE42" s="20"/>
      <c r="DF42" s="20"/>
      <c r="DG42" s="20"/>
      <c r="DH42" s="20"/>
      <c r="DI42" s="20"/>
      <c r="DJ42" s="20"/>
      <c r="DK42" s="20"/>
      <c r="DL42" s="20"/>
      <c r="DM42" s="20"/>
      <c r="DN42" s="20"/>
      <c r="DO42" s="20"/>
      <c r="DP42" s="20"/>
      <c r="DQ42" s="20"/>
      <c r="DR42" s="20"/>
      <c r="DS42" s="20"/>
      <c r="DT42" s="20"/>
      <c r="DU42" s="20"/>
      <c r="DV42" s="20"/>
      <c r="DW42" s="20"/>
      <c r="DX42" s="20"/>
      <c r="DY42" s="20"/>
      <c r="DZ42" s="20"/>
      <c r="EA42" s="20"/>
      <c r="EB42" s="20"/>
      <c r="EC42" s="20"/>
      <c r="ED42" s="20"/>
      <c r="EE42" s="20"/>
      <c r="EF42" s="20"/>
      <c r="EG42" s="20"/>
      <c r="EH42" s="20"/>
      <c r="EI42" s="20"/>
      <c r="EJ42" s="20"/>
      <c r="EK42" s="20"/>
      <c r="EL42" s="20"/>
      <c r="EM42" s="20"/>
      <c r="EN42" s="20"/>
      <c r="EO42" s="20"/>
      <c r="EP42" s="20"/>
      <c r="EQ42" s="20"/>
      <c r="ER42" s="20"/>
      <c r="ES42" s="20"/>
      <c r="ET42" s="20"/>
      <c r="EU42" s="20"/>
      <c r="EV42" s="20"/>
      <c r="EW42" s="20"/>
      <c r="EX42" s="20"/>
      <c r="EY42" s="20"/>
      <c r="EZ42" s="20"/>
      <c r="FA42" s="20"/>
      <c r="FB42" s="20"/>
      <c r="FC42" s="20"/>
      <c r="FD42" s="20"/>
      <c r="FE42" s="20"/>
      <c r="FF42" s="20"/>
      <c r="FG42" s="20"/>
      <c r="FH42" s="20"/>
      <c r="FI42" s="20"/>
      <c r="FJ42" s="20"/>
      <c r="FK42" s="20"/>
      <c r="FL42" s="20"/>
      <c r="FM42" s="20"/>
      <c r="FN42" s="20"/>
      <c r="FO42" s="20"/>
      <c r="FP42" s="20"/>
      <c r="FQ42" s="20"/>
      <c r="FR42" s="20"/>
      <c r="FS42" s="20"/>
      <c r="FT42" s="20"/>
      <c r="FU42" s="20"/>
      <c r="FV42" s="20"/>
      <c r="FW42" s="20"/>
      <c r="FX42" s="20"/>
      <c r="FY42" s="20"/>
      <c r="FZ42" s="20"/>
      <c r="GA42" s="20"/>
      <c r="GB42" s="20"/>
      <c r="GC42" s="20"/>
      <c r="GD42" s="20"/>
      <c r="GE42" s="20"/>
      <c r="GF42" s="20"/>
      <c r="GG42" s="20"/>
      <c r="GH42" s="20"/>
      <c r="GI42" s="20"/>
      <c r="GJ42" s="20"/>
      <c r="GK42" s="20"/>
      <c r="GL42" s="20"/>
      <c r="GM42" s="20"/>
      <c r="GN42" s="20"/>
      <c r="GO42" s="20"/>
      <c r="GP42" s="20"/>
      <c r="GQ42" s="20"/>
      <c r="GR42" s="20"/>
      <c r="GS42" s="20"/>
      <c r="GT42" s="20"/>
      <c r="GU42" s="20"/>
      <c r="GV42" s="20"/>
      <c r="GW42" s="20"/>
      <c r="GX42" s="20"/>
      <c r="GY42" s="20"/>
      <c r="GZ42" s="20"/>
      <c r="HA42" s="20"/>
      <c r="HB42" s="20"/>
      <c r="HC42" s="20"/>
      <c r="HD42" s="20"/>
    </row>
    <row r="43" customFormat="false" ht="15" hidden="false" customHeight="false" outlineLevel="0" collapsed="false">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c r="DB43" s="20"/>
      <c r="DC43" s="20"/>
      <c r="DD43" s="20"/>
      <c r="DE43" s="20"/>
      <c r="DF43" s="20"/>
      <c r="DG43" s="20"/>
      <c r="DH43" s="20"/>
      <c r="DI43" s="20"/>
      <c r="DJ43" s="20"/>
      <c r="DK43" s="20"/>
      <c r="DL43" s="20"/>
      <c r="DM43" s="20"/>
      <c r="DN43" s="20"/>
      <c r="DO43" s="20"/>
      <c r="DP43" s="20"/>
      <c r="DQ43" s="20"/>
      <c r="DR43" s="20"/>
      <c r="DS43" s="20"/>
      <c r="DT43" s="20"/>
      <c r="DU43" s="20"/>
      <c r="DV43" s="20"/>
      <c r="DW43" s="20"/>
      <c r="DX43" s="20"/>
      <c r="DY43" s="20"/>
      <c r="DZ43" s="20"/>
      <c r="EA43" s="20"/>
      <c r="EB43" s="20"/>
      <c r="EC43" s="20"/>
      <c r="ED43" s="20"/>
      <c r="EE43" s="20"/>
      <c r="EF43" s="20"/>
      <c r="EG43" s="20"/>
      <c r="EH43" s="20"/>
      <c r="EI43" s="20"/>
      <c r="EJ43" s="20"/>
      <c r="EK43" s="20"/>
      <c r="EL43" s="20"/>
      <c r="EM43" s="20"/>
      <c r="EN43" s="20"/>
      <c r="EO43" s="20"/>
      <c r="EP43" s="20"/>
      <c r="EQ43" s="20"/>
      <c r="ER43" s="20"/>
      <c r="ES43" s="20"/>
      <c r="ET43" s="20"/>
      <c r="EU43" s="20"/>
      <c r="EV43" s="20"/>
      <c r="EW43" s="20"/>
      <c r="EX43" s="20"/>
      <c r="EY43" s="20"/>
      <c r="EZ43" s="20"/>
      <c r="FA43" s="20"/>
      <c r="FB43" s="20"/>
      <c r="FC43" s="20"/>
      <c r="FD43" s="20"/>
      <c r="FE43" s="20"/>
      <c r="FF43" s="20"/>
      <c r="FG43" s="20"/>
      <c r="FH43" s="20"/>
      <c r="FI43" s="20"/>
      <c r="FJ43" s="20"/>
      <c r="FK43" s="20"/>
      <c r="FL43" s="20"/>
      <c r="FM43" s="20"/>
      <c r="FN43" s="20"/>
      <c r="FO43" s="20"/>
      <c r="FP43" s="20"/>
      <c r="FQ43" s="20"/>
      <c r="FR43" s="20"/>
      <c r="FS43" s="20"/>
      <c r="FT43" s="20"/>
      <c r="FU43" s="20"/>
      <c r="FV43" s="20"/>
      <c r="FW43" s="20"/>
      <c r="FX43" s="20"/>
      <c r="FY43" s="20"/>
      <c r="FZ43" s="20"/>
      <c r="GA43" s="20"/>
      <c r="GB43" s="20"/>
      <c r="GC43" s="20"/>
      <c r="GD43" s="20"/>
      <c r="GE43" s="20"/>
      <c r="GF43" s="20"/>
      <c r="GG43" s="20"/>
      <c r="GH43" s="20"/>
      <c r="GI43" s="20"/>
      <c r="GJ43" s="20"/>
      <c r="GK43" s="20"/>
      <c r="GL43" s="20"/>
      <c r="GM43" s="20"/>
      <c r="GN43" s="20"/>
      <c r="GO43" s="20"/>
      <c r="GP43" s="20"/>
      <c r="GQ43" s="20"/>
      <c r="GR43" s="20"/>
      <c r="GS43" s="20"/>
      <c r="GT43" s="20"/>
      <c r="GU43" s="20"/>
      <c r="GV43" s="20"/>
      <c r="GW43" s="20"/>
      <c r="GX43" s="20"/>
      <c r="GY43" s="20"/>
      <c r="GZ43" s="20"/>
      <c r="HA43" s="20"/>
      <c r="HB43" s="20"/>
      <c r="HC43" s="20"/>
      <c r="HD43" s="20"/>
    </row>
    <row r="44" customFormat="false" ht="15" hidden="false" customHeight="false" outlineLevel="0" collapsed="false">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c r="DB44" s="20"/>
      <c r="DC44" s="20"/>
      <c r="DD44" s="20"/>
      <c r="DE44" s="20"/>
      <c r="DF44" s="20"/>
      <c r="DG44" s="20"/>
      <c r="DH44" s="20"/>
      <c r="DI44" s="20"/>
      <c r="DJ44" s="20"/>
      <c r="DK44" s="20"/>
      <c r="DL44" s="20"/>
      <c r="DM44" s="20"/>
      <c r="DN44" s="20"/>
      <c r="DO44" s="20"/>
      <c r="DP44" s="20"/>
      <c r="DQ44" s="20"/>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20"/>
      <c r="EZ44" s="20"/>
      <c r="FA44" s="20"/>
      <c r="FB44" s="20"/>
      <c r="FC44" s="20"/>
      <c r="FD44" s="20"/>
      <c r="FE44" s="20"/>
      <c r="FF44" s="20"/>
      <c r="FG44" s="20"/>
      <c r="FH44" s="20"/>
      <c r="FI44" s="20"/>
      <c r="FJ44" s="20"/>
      <c r="FK44" s="20"/>
      <c r="FL44" s="20"/>
      <c r="FM44" s="20"/>
      <c r="FN44" s="20"/>
      <c r="FO44" s="20"/>
      <c r="FP44" s="20"/>
      <c r="FQ44" s="20"/>
      <c r="FR44" s="20"/>
      <c r="FS44" s="20"/>
      <c r="FT44" s="20"/>
      <c r="FU44" s="20"/>
      <c r="FV44" s="20"/>
      <c r="FW44" s="20"/>
      <c r="FX44" s="20"/>
      <c r="FY44" s="20"/>
      <c r="FZ44" s="20"/>
      <c r="GA44" s="20"/>
      <c r="GB44" s="20"/>
      <c r="GC44" s="20"/>
      <c r="GD44" s="20"/>
      <c r="GE44" s="20"/>
      <c r="GF44" s="20"/>
      <c r="GG44" s="20"/>
      <c r="GH44" s="20"/>
      <c r="GI44" s="20"/>
      <c r="GJ44" s="20"/>
      <c r="GK44" s="20"/>
      <c r="GL44" s="20"/>
      <c r="GM44" s="20"/>
      <c r="GN44" s="20"/>
      <c r="GO44" s="20"/>
      <c r="GP44" s="20"/>
      <c r="GQ44" s="20"/>
      <c r="GR44" s="20"/>
      <c r="GS44" s="20"/>
      <c r="GT44" s="20"/>
      <c r="GU44" s="20"/>
      <c r="GV44" s="20"/>
      <c r="GW44" s="20"/>
      <c r="GX44" s="20"/>
      <c r="GY44" s="20"/>
      <c r="GZ44" s="20"/>
      <c r="HA44" s="20"/>
      <c r="HB44" s="20"/>
      <c r="HC44" s="20"/>
      <c r="HD44" s="20"/>
    </row>
    <row r="45" customFormat="false" ht="15" hidden="false" customHeight="false" outlineLevel="0" collapsed="false">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c r="DB45" s="20"/>
      <c r="DC45" s="20"/>
      <c r="DD45" s="20"/>
      <c r="DE45" s="20"/>
      <c r="DF45" s="20"/>
      <c r="DG45" s="20"/>
      <c r="DH45" s="20"/>
      <c r="DI45" s="20"/>
      <c r="DJ45" s="20"/>
      <c r="DK45" s="20"/>
      <c r="DL45" s="20"/>
      <c r="DM45" s="20"/>
      <c r="DN45" s="20"/>
      <c r="DO45" s="20"/>
      <c r="DP45" s="20"/>
      <c r="DQ45" s="20"/>
      <c r="DR45" s="20"/>
      <c r="DS45" s="20"/>
      <c r="DT45" s="20"/>
      <c r="DU45" s="20"/>
      <c r="DV45" s="20"/>
      <c r="DW45" s="20"/>
      <c r="DX45" s="20"/>
      <c r="DY45" s="20"/>
      <c r="DZ45" s="20"/>
      <c r="EA45" s="20"/>
      <c r="EB45" s="20"/>
      <c r="EC45" s="20"/>
      <c r="ED45" s="20"/>
      <c r="EE45" s="20"/>
      <c r="EF45" s="20"/>
      <c r="EG45" s="20"/>
      <c r="EH45" s="20"/>
      <c r="EI45" s="20"/>
      <c r="EJ45" s="20"/>
      <c r="EK45" s="20"/>
      <c r="EL45" s="20"/>
      <c r="EM45" s="20"/>
      <c r="EN45" s="20"/>
      <c r="EO45" s="20"/>
      <c r="EP45" s="20"/>
      <c r="EQ45" s="20"/>
      <c r="ER45" s="20"/>
      <c r="ES45" s="20"/>
      <c r="ET45" s="20"/>
      <c r="EU45" s="20"/>
      <c r="EV45" s="20"/>
      <c r="EW45" s="20"/>
      <c r="EX45" s="20"/>
      <c r="EY45" s="20"/>
      <c r="EZ45" s="20"/>
      <c r="FA45" s="20"/>
      <c r="FB45" s="20"/>
      <c r="FC45" s="20"/>
      <c r="FD45" s="20"/>
      <c r="FE45" s="20"/>
      <c r="FF45" s="20"/>
      <c r="FG45" s="20"/>
      <c r="FH45" s="20"/>
      <c r="FI45" s="20"/>
      <c r="FJ45" s="20"/>
      <c r="FK45" s="20"/>
      <c r="FL45" s="20"/>
      <c r="FM45" s="20"/>
      <c r="FN45" s="20"/>
      <c r="FO45" s="20"/>
      <c r="FP45" s="20"/>
      <c r="FQ45" s="20"/>
      <c r="FR45" s="20"/>
      <c r="FS45" s="20"/>
      <c r="FT45" s="20"/>
      <c r="FU45" s="20"/>
      <c r="FV45" s="20"/>
      <c r="FW45" s="20"/>
      <c r="FX45" s="20"/>
      <c r="FY45" s="20"/>
      <c r="FZ45" s="20"/>
      <c r="GA45" s="20"/>
      <c r="GB45" s="20"/>
      <c r="GC45" s="20"/>
      <c r="GD45" s="20"/>
      <c r="GE45" s="20"/>
      <c r="GF45" s="20"/>
      <c r="GG45" s="20"/>
      <c r="GH45" s="20"/>
      <c r="GI45" s="20"/>
      <c r="GJ45" s="20"/>
      <c r="GK45" s="20"/>
      <c r="GL45" s="20"/>
      <c r="GM45" s="20"/>
      <c r="GN45" s="20"/>
      <c r="GO45" s="20"/>
      <c r="GP45" s="20"/>
      <c r="GQ45" s="20"/>
      <c r="GR45" s="20"/>
      <c r="GS45" s="20"/>
      <c r="GT45" s="20"/>
      <c r="GU45" s="20"/>
      <c r="GV45" s="20"/>
      <c r="GW45" s="20"/>
      <c r="GX45" s="20"/>
      <c r="GY45" s="20"/>
      <c r="GZ45" s="20"/>
      <c r="HA45" s="20"/>
      <c r="HB45" s="20"/>
      <c r="HC45" s="20"/>
      <c r="HD45" s="20"/>
    </row>
    <row r="46" customFormat="false" ht="15" hidden="false" customHeight="false" outlineLevel="0" collapsed="false">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20"/>
      <c r="EY46" s="20"/>
      <c r="EZ46" s="20"/>
      <c r="FA46" s="20"/>
      <c r="FB46" s="20"/>
      <c r="FC46" s="20"/>
      <c r="FD46" s="20"/>
      <c r="FE46" s="20"/>
      <c r="FF46" s="20"/>
      <c r="FG46" s="20"/>
      <c r="FH46" s="20"/>
      <c r="FI46" s="20"/>
      <c r="FJ46" s="20"/>
      <c r="FK46" s="20"/>
      <c r="FL46" s="20"/>
      <c r="FM46" s="20"/>
      <c r="FN46" s="20"/>
      <c r="FO46" s="20"/>
      <c r="FP46" s="20"/>
      <c r="FQ46" s="20"/>
      <c r="FR46" s="20"/>
      <c r="FS46" s="20"/>
      <c r="FT46" s="20"/>
      <c r="FU46" s="20"/>
      <c r="FV46" s="20"/>
      <c r="FW46" s="20"/>
      <c r="FX46" s="20"/>
      <c r="FY46" s="20"/>
      <c r="FZ46" s="20"/>
      <c r="GA46" s="20"/>
      <c r="GB46" s="20"/>
      <c r="GC46" s="20"/>
      <c r="GD46" s="20"/>
      <c r="GE46" s="20"/>
      <c r="GF46" s="20"/>
      <c r="GG46" s="20"/>
      <c r="GH46" s="20"/>
      <c r="GI46" s="20"/>
      <c r="GJ46" s="20"/>
      <c r="GK46" s="20"/>
      <c r="GL46" s="20"/>
      <c r="GM46" s="20"/>
      <c r="GN46" s="20"/>
      <c r="GO46" s="20"/>
      <c r="GP46" s="20"/>
      <c r="GQ46" s="20"/>
      <c r="GR46" s="20"/>
      <c r="GS46" s="20"/>
      <c r="GT46" s="20"/>
      <c r="GU46" s="20"/>
      <c r="GV46" s="20"/>
      <c r="GW46" s="20"/>
      <c r="GX46" s="20"/>
      <c r="GY46" s="20"/>
      <c r="GZ46" s="20"/>
      <c r="HA46" s="20"/>
      <c r="HB46" s="20"/>
      <c r="HC46" s="20"/>
      <c r="HD46" s="20"/>
    </row>
    <row r="47" customFormat="false" ht="15" hidden="false" customHeight="false" outlineLevel="0" collapsed="false">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T47" s="20"/>
      <c r="EU47" s="20"/>
      <c r="EV47" s="20"/>
      <c r="EW47" s="20"/>
      <c r="EX47" s="20"/>
      <c r="EY47" s="20"/>
      <c r="EZ47" s="20"/>
      <c r="FA47" s="20"/>
      <c r="FB47" s="20"/>
      <c r="FC47" s="20"/>
      <c r="FD47" s="20"/>
      <c r="FE47" s="20"/>
      <c r="FF47" s="20"/>
      <c r="FG47" s="20"/>
      <c r="FH47" s="20"/>
      <c r="FI47" s="20"/>
      <c r="FJ47" s="20"/>
      <c r="FK47" s="20"/>
      <c r="FL47" s="20"/>
      <c r="FM47" s="20"/>
      <c r="FN47" s="20"/>
      <c r="FO47" s="20"/>
      <c r="FP47" s="20"/>
      <c r="FQ47" s="20"/>
      <c r="FR47" s="20"/>
      <c r="FS47" s="20"/>
      <c r="FT47" s="20"/>
      <c r="FU47" s="20"/>
      <c r="FV47" s="20"/>
      <c r="FW47" s="20"/>
      <c r="FX47" s="20"/>
      <c r="FY47" s="20"/>
      <c r="FZ47" s="20"/>
      <c r="GA47" s="20"/>
      <c r="GB47" s="20"/>
      <c r="GC47" s="20"/>
      <c r="GD47" s="20"/>
      <c r="GE47" s="20"/>
      <c r="GF47" s="20"/>
      <c r="GG47" s="20"/>
      <c r="GH47" s="20"/>
      <c r="GI47" s="20"/>
      <c r="GJ47" s="20"/>
      <c r="GK47" s="20"/>
      <c r="GL47" s="20"/>
      <c r="GM47" s="20"/>
      <c r="GN47" s="20"/>
      <c r="GO47" s="20"/>
      <c r="GP47" s="20"/>
      <c r="GQ47" s="20"/>
      <c r="GR47" s="20"/>
      <c r="GS47" s="20"/>
      <c r="GT47" s="20"/>
      <c r="GU47" s="20"/>
      <c r="GV47" s="20"/>
      <c r="GW47" s="20"/>
      <c r="GX47" s="20"/>
      <c r="GY47" s="20"/>
      <c r="GZ47" s="20"/>
      <c r="HA47" s="20"/>
      <c r="HB47" s="20"/>
      <c r="HC47" s="20"/>
      <c r="HD47" s="20"/>
    </row>
    <row r="48" customFormat="false" ht="15" hidden="false" customHeight="false" outlineLevel="0" collapsed="false">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c r="DV48" s="20"/>
      <c r="DW48" s="20"/>
      <c r="DX48" s="20"/>
      <c r="DY48" s="20"/>
      <c r="DZ48" s="20"/>
      <c r="EA48" s="20"/>
      <c r="EB48" s="20"/>
      <c r="EC48" s="20"/>
      <c r="ED48" s="20"/>
      <c r="EE48" s="20"/>
      <c r="EF48" s="20"/>
      <c r="EG48" s="20"/>
      <c r="EH48" s="20"/>
      <c r="EI48" s="20"/>
      <c r="EJ48" s="20"/>
      <c r="EK48" s="20"/>
      <c r="EL48" s="20"/>
      <c r="EM48" s="20"/>
      <c r="EN48" s="20"/>
      <c r="EO48" s="20"/>
      <c r="EP48" s="20"/>
      <c r="EQ48" s="20"/>
      <c r="ER48" s="20"/>
      <c r="ES48" s="20"/>
      <c r="ET48" s="20"/>
      <c r="EU48" s="20"/>
      <c r="EV48" s="20"/>
      <c r="EW48" s="20"/>
      <c r="EX48" s="20"/>
      <c r="EY48" s="20"/>
      <c r="EZ48" s="20"/>
      <c r="FA48" s="20"/>
      <c r="FB48" s="20"/>
      <c r="FC48" s="20"/>
      <c r="FD48" s="20"/>
      <c r="FE48" s="20"/>
      <c r="FF48" s="20"/>
      <c r="FG48" s="20"/>
      <c r="FH48" s="20"/>
      <c r="FI48" s="20"/>
      <c r="FJ48" s="20"/>
      <c r="FK48" s="20"/>
      <c r="FL48" s="20"/>
      <c r="FM48" s="20"/>
      <c r="FN48" s="20"/>
      <c r="FO48" s="20"/>
      <c r="FP48" s="20"/>
      <c r="FQ48" s="20"/>
      <c r="FR48" s="20"/>
      <c r="FS48" s="20"/>
      <c r="FT48" s="20"/>
      <c r="FU48" s="20"/>
      <c r="FV48" s="20"/>
      <c r="FW48" s="20"/>
      <c r="FX48" s="20"/>
      <c r="FY48" s="20"/>
      <c r="FZ48" s="20"/>
      <c r="GA48" s="20"/>
      <c r="GB48" s="20"/>
      <c r="GC48" s="20"/>
      <c r="GD48" s="20"/>
      <c r="GE48" s="20"/>
      <c r="GF48" s="20"/>
      <c r="GG48" s="20"/>
      <c r="GH48" s="20"/>
      <c r="GI48" s="20"/>
      <c r="GJ48" s="20"/>
      <c r="GK48" s="20"/>
      <c r="GL48" s="20"/>
      <c r="GM48" s="20"/>
      <c r="GN48" s="20"/>
      <c r="GO48" s="20"/>
      <c r="GP48" s="20"/>
      <c r="GQ48" s="20"/>
      <c r="GR48" s="20"/>
      <c r="GS48" s="20"/>
      <c r="GT48" s="20"/>
      <c r="GU48" s="20"/>
      <c r="GV48" s="20"/>
      <c r="GW48" s="20"/>
      <c r="GX48" s="20"/>
      <c r="GY48" s="20"/>
      <c r="GZ48" s="20"/>
      <c r="HA48" s="20"/>
      <c r="HB48" s="20"/>
      <c r="HC48" s="20"/>
      <c r="HD48" s="20"/>
    </row>
    <row r="49" customFormat="false" ht="15" hidden="false" customHeight="false" outlineLevel="0" collapsed="false">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c r="DB49" s="20"/>
      <c r="DC49" s="20"/>
      <c r="DD49" s="20"/>
      <c r="DE49" s="20"/>
      <c r="DF49" s="20"/>
      <c r="DG49" s="20"/>
      <c r="DH49" s="20"/>
      <c r="DI49" s="20"/>
      <c r="DJ49" s="20"/>
      <c r="DK49" s="20"/>
      <c r="DL49" s="20"/>
      <c r="DM49" s="20"/>
      <c r="DN49" s="20"/>
      <c r="DO49" s="20"/>
      <c r="DP49" s="20"/>
      <c r="DQ49" s="20"/>
      <c r="DR49" s="20"/>
      <c r="DS49" s="20"/>
      <c r="DT49" s="20"/>
      <c r="DU49" s="20"/>
      <c r="DV49" s="20"/>
      <c r="DW49" s="20"/>
      <c r="DX49" s="20"/>
      <c r="DY49" s="20"/>
      <c r="DZ49" s="20"/>
      <c r="EA49" s="20"/>
      <c r="EB49" s="20"/>
      <c r="EC49" s="20"/>
      <c r="ED49" s="20"/>
      <c r="EE49" s="20"/>
      <c r="EF49" s="20"/>
      <c r="EG49" s="20"/>
      <c r="EH49" s="20"/>
      <c r="EI49" s="20"/>
      <c r="EJ49" s="20"/>
      <c r="EK49" s="20"/>
      <c r="EL49" s="20"/>
      <c r="EM49" s="20"/>
      <c r="EN49" s="20"/>
      <c r="EO49" s="20"/>
      <c r="EP49" s="20"/>
      <c r="EQ49" s="20"/>
      <c r="ER49" s="20"/>
      <c r="ES49" s="20"/>
      <c r="ET49" s="20"/>
      <c r="EU49" s="20"/>
      <c r="EV49" s="20"/>
      <c r="EW49" s="20"/>
      <c r="EX49" s="20"/>
      <c r="EY49" s="20"/>
      <c r="EZ49" s="20"/>
      <c r="FA49" s="20"/>
      <c r="FB49" s="20"/>
      <c r="FC49" s="20"/>
      <c r="FD49" s="20"/>
      <c r="FE49" s="20"/>
      <c r="FF49" s="20"/>
      <c r="FG49" s="20"/>
      <c r="FH49" s="20"/>
      <c r="FI49" s="20"/>
      <c r="FJ49" s="20"/>
      <c r="FK49" s="20"/>
      <c r="FL49" s="20"/>
      <c r="FM49" s="20"/>
      <c r="FN49" s="20"/>
      <c r="FO49" s="20"/>
      <c r="FP49" s="20"/>
      <c r="FQ49" s="20"/>
      <c r="FR49" s="20"/>
      <c r="FS49" s="20"/>
      <c r="FT49" s="20"/>
      <c r="FU49" s="20"/>
      <c r="FV49" s="20"/>
      <c r="FW49" s="20"/>
      <c r="FX49" s="20"/>
      <c r="FY49" s="20"/>
      <c r="FZ49" s="20"/>
      <c r="GA49" s="20"/>
      <c r="GB49" s="20"/>
      <c r="GC49" s="20"/>
      <c r="GD49" s="20"/>
      <c r="GE49" s="20"/>
      <c r="GF49" s="20"/>
      <c r="GG49" s="20"/>
      <c r="GH49" s="20"/>
      <c r="GI49" s="20"/>
      <c r="GJ49" s="20"/>
      <c r="GK49" s="20"/>
      <c r="GL49" s="20"/>
      <c r="GM49" s="20"/>
      <c r="GN49" s="20"/>
      <c r="GO49" s="20"/>
      <c r="GP49" s="20"/>
      <c r="GQ49" s="20"/>
      <c r="GR49" s="20"/>
      <c r="GS49" s="20"/>
      <c r="GT49" s="20"/>
      <c r="GU49" s="20"/>
      <c r="GV49" s="20"/>
      <c r="GW49" s="20"/>
      <c r="GX49" s="20"/>
      <c r="GY49" s="20"/>
      <c r="GZ49" s="20"/>
      <c r="HA49" s="20"/>
      <c r="HB49" s="20"/>
      <c r="HC49" s="20"/>
      <c r="HD49" s="20"/>
    </row>
    <row r="50" customFormat="false" ht="15" hidden="false" customHeight="false" outlineLevel="0" collapsed="false">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c r="FF50" s="20"/>
      <c r="FG50" s="20"/>
      <c r="FH50" s="20"/>
      <c r="FI50" s="20"/>
      <c r="FJ50" s="20"/>
      <c r="FK50" s="20"/>
      <c r="FL50" s="20"/>
      <c r="FM50" s="20"/>
      <c r="FN50" s="20"/>
      <c r="FO50" s="20"/>
      <c r="FP50" s="20"/>
      <c r="FQ50" s="20"/>
      <c r="FR50" s="20"/>
      <c r="FS50" s="20"/>
      <c r="FT50" s="20"/>
      <c r="FU50" s="20"/>
      <c r="FV50" s="20"/>
      <c r="FW50" s="20"/>
      <c r="FX50" s="20"/>
      <c r="FY50" s="20"/>
      <c r="FZ50" s="20"/>
      <c r="GA50" s="20"/>
      <c r="GB50" s="20"/>
      <c r="GC50" s="20"/>
      <c r="GD50" s="20"/>
      <c r="GE50" s="20"/>
      <c r="GF50" s="20"/>
      <c r="GG50" s="20"/>
      <c r="GH50" s="20"/>
      <c r="GI50" s="20"/>
      <c r="GJ50" s="20"/>
      <c r="GK50" s="20"/>
      <c r="GL50" s="20"/>
      <c r="GM50" s="20"/>
      <c r="GN50" s="20"/>
      <c r="GO50" s="20"/>
      <c r="GP50" s="20"/>
      <c r="GQ50" s="20"/>
      <c r="GR50" s="20"/>
      <c r="GS50" s="20"/>
      <c r="GT50" s="20"/>
      <c r="GU50" s="20"/>
      <c r="GV50" s="20"/>
      <c r="GW50" s="20"/>
      <c r="GX50" s="20"/>
      <c r="GY50" s="20"/>
      <c r="GZ50" s="20"/>
      <c r="HA50" s="20"/>
      <c r="HB50" s="20"/>
      <c r="HC50" s="20"/>
      <c r="HD50" s="20"/>
    </row>
    <row r="51" customFormat="false" ht="15" hidden="false" customHeight="false" outlineLevel="0" collapsed="false">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c r="DV51" s="20"/>
      <c r="DW51" s="20"/>
      <c r="DX51" s="20"/>
      <c r="DY51" s="20"/>
      <c r="DZ51" s="20"/>
      <c r="EA51" s="20"/>
      <c r="EB51" s="20"/>
      <c r="EC51" s="20"/>
      <c r="ED51" s="20"/>
      <c r="EE51" s="20"/>
      <c r="EF51" s="20"/>
      <c r="EG51" s="20"/>
      <c r="EH51" s="20"/>
      <c r="EI51" s="20"/>
      <c r="EJ51" s="20"/>
      <c r="EK51" s="20"/>
      <c r="EL51" s="20"/>
      <c r="EM51" s="20"/>
      <c r="EN51" s="20"/>
      <c r="EO51" s="20"/>
      <c r="EP51" s="20"/>
      <c r="EQ51" s="20"/>
      <c r="ER51" s="20"/>
      <c r="ES51" s="20"/>
      <c r="ET51" s="20"/>
      <c r="EU51" s="20"/>
      <c r="EV51" s="20"/>
      <c r="EW51" s="20"/>
      <c r="EX51" s="20"/>
      <c r="EY51" s="20"/>
      <c r="EZ51" s="20"/>
      <c r="FA51" s="20"/>
      <c r="FB51" s="20"/>
      <c r="FC51" s="20"/>
      <c r="FD51" s="20"/>
      <c r="FE51" s="20"/>
      <c r="FF51" s="20"/>
      <c r="FG51" s="20"/>
      <c r="FH51" s="20"/>
      <c r="FI51" s="20"/>
      <c r="FJ51" s="20"/>
      <c r="FK51" s="20"/>
      <c r="FL51" s="20"/>
      <c r="FM51" s="20"/>
      <c r="FN51" s="20"/>
      <c r="FO51" s="20"/>
      <c r="FP51" s="20"/>
      <c r="FQ51" s="20"/>
      <c r="FR51" s="20"/>
      <c r="FS51" s="20"/>
      <c r="FT51" s="20"/>
      <c r="FU51" s="20"/>
      <c r="FV51" s="20"/>
      <c r="FW51" s="20"/>
      <c r="FX51" s="20"/>
      <c r="FY51" s="20"/>
      <c r="FZ51" s="20"/>
      <c r="GA51" s="20"/>
      <c r="GB51" s="20"/>
      <c r="GC51" s="20"/>
      <c r="GD51" s="20"/>
      <c r="GE51" s="20"/>
      <c r="GF51" s="20"/>
      <c r="GG51" s="20"/>
      <c r="GH51" s="20"/>
      <c r="GI51" s="20"/>
      <c r="GJ51" s="20"/>
      <c r="GK51" s="20"/>
      <c r="GL51" s="20"/>
      <c r="GM51" s="20"/>
      <c r="GN51" s="20"/>
      <c r="GO51" s="20"/>
      <c r="GP51" s="20"/>
      <c r="GQ51" s="20"/>
      <c r="GR51" s="20"/>
      <c r="GS51" s="20"/>
      <c r="GT51" s="20"/>
      <c r="GU51" s="20"/>
      <c r="GV51" s="20"/>
      <c r="GW51" s="20"/>
      <c r="GX51" s="20"/>
      <c r="GY51" s="20"/>
      <c r="GZ51" s="20"/>
      <c r="HA51" s="20"/>
      <c r="HB51" s="20"/>
      <c r="HC51" s="20"/>
      <c r="HD51" s="20"/>
    </row>
    <row r="52" customFormat="false" ht="15" hidden="false" customHeight="false" outlineLevel="0" collapsed="false">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c r="EE52" s="20"/>
      <c r="EF52" s="20"/>
      <c r="EG52" s="20"/>
      <c r="EH52" s="20"/>
      <c r="EI52" s="20"/>
      <c r="EJ52" s="20"/>
      <c r="EK52" s="20"/>
      <c r="EL52" s="20"/>
      <c r="EM52" s="20"/>
      <c r="EN52" s="20"/>
      <c r="EO52" s="20"/>
      <c r="EP52" s="20"/>
      <c r="EQ52" s="20"/>
      <c r="ER52" s="20"/>
      <c r="ES52" s="20"/>
      <c r="ET52" s="20"/>
      <c r="EU52" s="20"/>
      <c r="EV52" s="20"/>
      <c r="EW52" s="20"/>
      <c r="EX52" s="20"/>
      <c r="EY52" s="20"/>
      <c r="EZ52" s="20"/>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c r="FY52" s="20"/>
      <c r="FZ52" s="20"/>
      <c r="GA52" s="20"/>
      <c r="GB52" s="20"/>
      <c r="GC52" s="20"/>
      <c r="GD52" s="20"/>
      <c r="GE52" s="20"/>
      <c r="GF52" s="20"/>
      <c r="GG52" s="20"/>
      <c r="GH52" s="20"/>
      <c r="GI52" s="20"/>
      <c r="GJ52" s="20"/>
      <c r="GK52" s="20"/>
      <c r="GL52" s="20"/>
      <c r="GM52" s="20"/>
      <c r="GN52" s="20"/>
      <c r="GO52" s="20"/>
      <c r="GP52" s="20"/>
      <c r="GQ52" s="20"/>
      <c r="GR52" s="20"/>
      <c r="GS52" s="20"/>
      <c r="GT52" s="20"/>
      <c r="GU52" s="20"/>
      <c r="GV52" s="20"/>
      <c r="GW52" s="20"/>
      <c r="GX52" s="20"/>
      <c r="GY52" s="20"/>
      <c r="GZ52" s="20"/>
      <c r="HA52" s="20"/>
      <c r="HB52" s="20"/>
      <c r="HC52" s="20"/>
      <c r="HD52" s="20"/>
    </row>
    <row r="53" customFormat="false" ht="15" hidden="false" customHeight="false" outlineLevel="0" collapsed="false">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c r="DV53" s="20"/>
      <c r="DW53" s="20"/>
      <c r="DX53" s="20"/>
      <c r="DY53" s="20"/>
      <c r="DZ53" s="20"/>
      <c r="EA53" s="20"/>
      <c r="EB53" s="20"/>
      <c r="EC53" s="20"/>
      <c r="ED53" s="20"/>
      <c r="EE53" s="20"/>
      <c r="EF53" s="20"/>
      <c r="EG53" s="20"/>
      <c r="EH53" s="20"/>
      <c r="EI53" s="20"/>
      <c r="EJ53" s="20"/>
      <c r="EK53" s="20"/>
      <c r="EL53" s="20"/>
      <c r="EM53" s="20"/>
      <c r="EN53" s="20"/>
      <c r="EO53" s="20"/>
      <c r="EP53" s="20"/>
      <c r="EQ53" s="20"/>
      <c r="ER53" s="20"/>
      <c r="ES53" s="20"/>
      <c r="ET53" s="20"/>
      <c r="EU53" s="20"/>
      <c r="EV53" s="20"/>
      <c r="EW53" s="20"/>
      <c r="EX53" s="20"/>
      <c r="EY53" s="20"/>
      <c r="EZ53" s="20"/>
      <c r="FA53" s="20"/>
      <c r="FB53" s="20"/>
      <c r="FC53" s="20"/>
      <c r="FD53" s="20"/>
      <c r="FE53" s="20"/>
      <c r="FF53" s="20"/>
      <c r="FG53" s="20"/>
      <c r="FH53" s="20"/>
      <c r="FI53" s="20"/>
      <c r="FJ53" s="20"/>
      <c r="FK53" s="20"/>
      <c r="FL53" s="20"/>
      <c r="FM53" s="20"/>
      <c r="FN53" s="20"/>
      <c r="FO53" s="20"/>
      <c r="FP53" s="20"/>
      <c r="FQ53" s="20"/>
      <c r="FR53" s="20"/>
      <c r="FS53" s="20"/>
      <c r="FT53" s="20"/>
      <c r="FU53" s="20"/>
      <c r="FV53" s="20"/>
      <c r="FW53" s="20"/>
      <c r="FX53" s="20"/>
      <c r="FY53" s="20"/>
      <c r="FZ53" s="20"/>
      <c r="GA53" s="20"/>
      <c r="GB53" s="20"/>
      <c r="GC53" s="20"/>
      <c r="GD53" s="20"/>
      <c r="GE53" s="20"/>
      <c r="GF53" s="20"/>
      <c r="GG53" s="20"/>
      <c r="GH53" s="20"/>
      <c r="GI53" s="20"/>
      <c r="GJ53" s="20"/>
      <c r="GK53" s="20"/>
      <c r="GL53" s="20"/>
      <c r="GM53" s="20"/>
      <c r="GN53" s="20"/>
      <c r="GO53" s="20"/>
      <c r="GP53" s="20"/>
      <c r="GQ53" s="20"/>
      <c r="GR53" s="20"/>
      <c r="GS53" s="20"/>
      <c r="GT53" s="20"/>
      <c r="GU53" s="20"/>
      <c r="GV53" s="20"/>
      <c r="GW53" s="20"/>
      <c r="GX53" s="20"/>
      <c r="GY53" s="20"/>
      <c r="GZ53" s="20"/>
      <c r="HA53" s="20"/>
      <c r="HB53" s="20"/>
      <c r="HC53" s="20"/>
      <c r="HD53" s="20"/>
    </row>
    <row r="54" customFormat="false" ht="15" hidden="false" customHeight="false" outlineLevel="0" collapsed="false">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20"/>
      <c r="DM54" s="20"/>
      <c r="DN54" s="20"/>
      <c r="DO54" s="20"/>
      <c r="DP54" s="20"/>
      <c r="DQ54" s="20"/>
      <c r="DR54" s="20"/>
      <c r="DS54" s="20"/>
      <c r="DT54" s="20"/>
      <c r="DU54" s="20"/>
      <c r="DV54" s="20"/>
      <c r="DW54" s="20"/>
      <c r="DX54" s="20"/>
      <c r="DY54" s="20"/>
      <c r="DZ54" s="20"/>
      <c r="EA54" s="20"/>
      <c r="EB54" s="20"/>
      <c r="EC54" s="20"/>
      <c r="ED54" s="20"/>
      <c r="EE54" s="20"/>
      <c r="EF54" s="20"/>
      <c r="EG54" s="20"/>
      <c r="EH54" s="20"/>
      <c r="EI54" s="20"/>
      <c r="EJ54" s="20"/>
      <c r="EK54" s="20"/>
      <c r="EL54" s="20"/>
      <c r="EM54" s="20"/>
      <c r="EN54" s="20"/>
      <c r="EO54" s="20"/>
      <c r="EP54" s="20"/>
      <c r="EQ54" s="20"/>
      <c r="ER54" s="20"/>
      <c r="ES54" s="20"/>
      <c r="ET54" s="20"/>
      <c r="EU54" s="20"/>
      <c r="EV54" s="20"/>
      <c r="EW54" s="20"/>
      <c r="EX54" s="20"/>
      <c r="EY54" s="20"/>
      <c r="EZ54" s="20"/>
      <c r="FA54" s="20"/>
      <c r="FB54" s="20"/>
      <c r="FC54" s="20"/>
      <c r="FD54" s="20"/>
      <c r="FE54" s="20"/>
      <c r="FF54" s="20"/>
      <c r="FG54" s="20"/>
      <c r="FH54" s="20"/>
      <c r="FI54" s="20"/>
      <c r="FJ54" s="20"/>
      <c r="FK54" s="20"/>
      <c r="FL54" s="20"/>
      <c r="FM54" s="20"/>
      <c r="FN54" s="20"/>
      <c r="FO54" s="20"/>
      <c r="FP54" s="20"/>
      <c r="FQ54" s="20"/>
      <c r="FR54" s="20"/>
      <c r="FS54" s="20"/>
      <c r="FT54" s="20"/>
      <c r="FU54" s="20"/>
      <c r="FV54" s="20"/>
      <c r="FW54" s="20"/>
      <c r="FX54" s="20"/>
      <c r="FY54" s="20"/>
      <c r="FZ54" s="20"/>
      <c r="GA54" s="20"/>
      <c r="GB54" s="20"/>
      <c r="GC54" s="20"/>
      <c r="GD54" s="20"/>
      <c r="GE54" s="20"/>
      <c r="GF54" s="20"/>
      <c r="GG54" s="20"/>
      <c r="GH54" s="20"/>
      <c r="GI54" s="20"/>
      <c r="GJ54" s="20"/>
      <c r="GK54" s="20"/>
      <c r="GL54" s="20"/>
      <c r="GM54" s="20"/>
      <c r="GN54" s="20"/>
      <c r="GO54" s="20"/>
      <c r="GP54" s="20"/>
      <c r="GQ54" s="20"/>
      <c r="GR54" s="20"/>
      <c r="GS54" s="20"/>
      <c r="GT54" s="20"/>
      <c r="GU54" s="20"/>
      <c r="GV54" s="20"/>
      <c r="GW54" s="20"/>
      <c r="GX54" s="20"/>
      <c r="GY54" s="20"/>
      <c r="GZ54" s="20"/>
      <c r="HA54" s="20"/>
      <c r="HB54" s="20"/>
      <c r="HC54" s="20"/>
      <c r="HD54" s="20"/>
    </row>
    <row r="55" customFormat="false" ht="15" hidden="false" customHeight="false" outlineLevel="0" collapsed="false">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c r="DB55" s="20"/>
      <c r="DC55" s="20"/>
      <c r="DD55" s="20"/>
      <c r="DE55" s="20"/>
      <c r="DF55" s="20"/>
      <c r="DG55" s="20"/>
      <c r="DH55" s="20"/>
      <c r="DI55" s="20"/>
      <c r="DJ55" s="20"/>
      <c r="DK55" s="20"/>
      <c r="DL55" s="20"/>
      <c r="DM55" s="20"/>
      <c r="DN55" s="20"/>
      <c r="DO55" s="20"/>
      <c r="DP55" s="20"/>
      <c r="DQ55" s="20"/>
      <c r="DR55" s="20"/>
      <c r="DS55" s="20"/>
      <c r="DT55" s="20"/>
      <c r="DU55" s="20"/>
      <c r="DV55" s="20"/>
      <c r="DW55" s="20"/>
      <c r="DX55" s="20"/>
      <c r="DY55" s="20"/>
      <c r="DZ55" s="20"/>
      <c r="EA55" s="20"/>
      <c r="EB55" s="20"/>
      <c r="EC55" s="20"/>
      <c r="ED55" s="20"/>
      <c r="EE55" s="20"/>
      <c r="EF55" s="20"/>
      <c r="EG55" s="20"/>
      <c r="EH55" s="20"/>
      <c r="EI55" s="20"/>
      <c r="EJ55" s="20"/>
      <c r="EK55" s="20"/>
      <c r="EL55" s="20"/>
      <c r="EM55" s="20"/>
      <c r="EN55" s="20"/>
      <c r="EO55" s="20"/>
      <c r="EP55" s="20"/>
      <c r="EQ55" s="20"/>
      <c r="ER55" s="20"/>
      <c r="ES55" s="20"/>
      <c r="ET55" s="20"/>
      <c r="EU55" s="20"/>
      <c r="EV55" s="20"/>
      <c r="EW55" s="20"/>
      <c r="EX55" s="20"/>
      <c r="EY55" s="20"/>
      <c r="EZ55" s="20"/>
      <c r="FA55" s="20"/>
      <c r="FB55" s="20"/>
      <c r="FC55" s="20"/>
      <c r="FD55" s="20"/>
      <c r="FE55" s="20"/>
      <c r="FF55" s="20"/>
      <c r="FG55" s="20"/>
      <c r="FH55" s="20"/>
      <c r="FI55" s="20"/>
      <c r="FJ55" s="20"/>
      <c r="FK55" s="20"/>
      <c r="FL55" s="20"/>
      <c r="FM55" s="20"/>
      <c r="FN55" s="20"/>
      <c r="FO55" s="20"/>
      <c r="FP55" s="20"/>
      <c r="FQ55" s="20"/>
      <c r="FR55" s="20"/>
      <c r="FS55" s="20"/>
      <c r="FT55" s="20"/>
      <c r="FU55" s="20"/>
      <c r="FV55" s="20"/>
      <c r="FW55" s="20"/>
      <c r="FX55" s="20"/>
      <c r="FY55" s="20"/>
      <c r="FZ55" s="20"/>
      <c r="GA55" s="20"/>
      <c r="GB55" s="20"/>
      <c r="GC55" s="20"/>
      <c r="GD55" s="20"/>
      <c r="GE55" s="20"/>
      <c r="GF55" s="20"/>
      <c r="GG55" s="20"/>
      <c r="GH55" s="20"/>
      <c r="GI55" s="20"/>
      <c r="GJ55" s="20"/>
      <c r="GK55" s="20"/>
      <c r="GL55" s="20"/>
      <c r="GM55" s="20"/>
      <c r="GN55" s="20"/>
      <c r="GO55" s="20"/>
      <c r="GP55" s="20"/>
      <c r="GQ55" s="20"/>
      <c r="GR55" s="20"/>
      <c r="GS55" s="20"/>
      <c r="GT55" s="20"/>
      <c r="GU55" s="20"/>
      <c r="GV55" s="20"/>
      <c r="GW55" s="20"/>
      <c r="GX55" s="20"/>
      <c r="GY55" s="20"/>
      <c r="GZ55" s="20"/>
      <c r="HA55" s="20"/>
      <c r="HB55" s="20"/>
      <c r="HC55" s="20"/>
      <c r="HD55" s="20"/>
    </row>
    <row r="56" customFormat="false" ht="15" hidden="false" customHeight="false" outlineLevel="0" collapsed="false">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c r="DB56" s="20"/>
      <c r="DC56" s="20"/>
      <c r="DD56" s="20"/>
      <c r="DE56" s="20"/>
      <c r="DF56" s="20"/>
      <c r="DG56" s="20"/>
      <c r="DH56" s="20"/>
      <c r="DI56" s="20"/>
      <c r="DJ56" s="20"/>
      <c r="DK56" s="20"/>
      <c r="DL56" s="20"/>
      <c r="DM56" s="20"/>
      <c r="DN56" s="20"/>
      <c r="DO56" s="20"/>
      <c r="DP56" s="20"/>
      <c r="DQ56" s="20"/>
      <c r="DR56" s="20"/>
      <c r="DS56" s="20"/>
      <c r="DT56" s="20"/>
      <c r="DU56" s="20"/>
      <c r="DV56" s="20"/>
      <c r="DW56" s="20"/>
      <c r="DX56" s="20"/>
      <c r="DY56" s="20"/>
      <c r="DZ56" s="20"/>
      <c r="EA56" s="20"/>
      <c r="EB56" s="20"/>
      <c r="EC56" s="20"/>
      <c r="ED56" s="20"/>
      <c r="EE56" s="20"/>
      <c r="EF56" s="20"/>
      <c r="EG56" s="20"/>
      <c r="EH56" s="20"/>
      <c r="EI56" s="20"/>
      <c r="EJ56" s="20"/>
      <c r="EK56" s="20"/>
      <c r="EL56" s="20"/>
      <c r="EM56" s="20"/>
      <c r="EN56" s="20"/>
      <c r="EO56" s="20"/>
      <c r="EP56" s="20"/>
      <c r="EQ56" s="20"/>
      <c r="ER56" s="20"/>
      <c r="ES56" s="20"/>
      <c r="ET56" s="20"/>
      <c r="EU56" s="20"/>
      <c r="EV56" s="20"/>
      <c r="EW56" s="20"/>
      <c r="EX56" s="20"/>
      <c r="EY56" s="20"/>
      <c r="EZ56" s="20"/>
      <c r="FA56" s="20"/>
      <c r="FB56" s="20"/>
      <c r="FC56" s="20"/>
      <c r="FD56" s="20"/>
      <c r="FE56" s="20"/>
      <c r="FF56" s="20"/>
      <c r="FG56" s="20"/>
      <c r="FH56" s="20"/>
      <c r="FI56" s="20"/>
      <c r="FJ56" s="20"/>
      <c r="FK56" s="20"/>
      <c r="FL56" s="20"/>
      <c r="FM56" s="20"/>
      <c r="FN56" s="20"/>
      <c r="FO56" s="20"/>
      <c r="FP56" s="20"/>
      <c r="FQ56" s="20"/>
      <c r="FR56" s="20"/>
      <c r="FS56" s="20"/>
      <c r="FT56" s="20"/>
      <c r="FU56" s="20"/>
      <c r="FV56" s="20"/>
      <c r="FW56" s="20"/>
      <c r="FX56" s="20"/>
      <c r="FY56" s="20"/>
      <c r="FZ56" s="20"/>
      <c r="GA56" s="20"/>
      <c r="GB56" s="20"/>
      <c r="GC56" s="20"/>
      <c r="GD56" s="20"/>
      <c r="GE56" s="20"/>
      <c r="GF56" s="20"/>
      <c r="GG56" s="20"/>
      <c r="GH56" s="20"/>
      <c r="GI56" s="20"/>
      <c r="GJ56" s="20"/>
      <c r="GK56" s="20"/>
      <c r="GL56" s="20"/>
      <c r="GM56" s="20"/>
      <c r="GN56" s="20"/>
      <c r="GO56" s="20"/>
      <c r="GP56" s="20"/>
      <c r="GQ56" s="20"/>
      <c r="GR56" s="20"/>
      <c r="GS56" s="20"/>
      <c r="GT56" s="20"/>
      <c r="GU56" s="20"/>
      <c r="GV56" s="20"/>
      <c r="GW56" s="20"/>
      <c r="GX56" s="20"/>
      <c r="GY56" s="20"/>
      <c r="GZ56" s="20"/>
      <c r="HA56" s="20"/>
      <c r="HB56" s="20"/>
      <c r="HC56" s="20"/>
      <c r="HD56" s="20"/>
    </row>
  </sheetData>
  <dataValidations count="2">
    <dataValidation allowBlank="true" error="1~5 또는 9" errorStyle="stop" operator="between" showDropDown="false" showErrorMessage="true" showInputMessage="false" sqref="AH7:HD56" type="list">
      <formula1>"1,2,3,4,5,9"</formula1>
      <formula2>0</formula2>
    </dataValidation>
    <dataValidation allowBlank="true" error="1~4" errorStyle="stop" operator="between" showDropDown="false" showErrorMessage="true" showInputMessage="false" sqref="L7:AG56" type="list">
      <formula1>"1,2,3,4"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2" min="2" style="0" width="7"/>
    <col collapsed="false" customWidth="true" hidden="false" outlineLevel="0" max="33" min="33" style="0" width="12"/>
  </cols>
  <sheetData>
    <row r="1" customFormat="false" ht="19.4" hidden="false" customHeight="false" outlineLevel="0" collapsed="false">
      <c r="A1" s="7" t="s">
        <v>1809</v>
      </c>
    </row>
    <row r="5" customFormat="false" ht="15" hidden="false" customHeight="false" outlineLevel="0" collapsed="false">
      <c r="A5" s="9" t="s">
        <v>1799</v>
      </c>
      <c r="B5" s="8" t="s">
        <v>653</v>
      </c>
      <c r="C5" s="8" t="s">
        <v>665</v>
      </c>
      <c r="D5" s="8" t="s">
        <v>373</v>
      </c>
      <c r="E5" s="8" t="s">
        <v>675</v>
      </c>
      <c r="F5" s="8" t="s">
        <v>680</v>
      </c>
      <c r="G5" s="8" t="s">
        <v>381</v>
      </c>
      <c r="H5" s="8" t="s">
        <v>385</v>
      </c>
      <c r="I5" s="8" t="s">
        <v>389</v>
      </c>
      <c r="J5" s="8" t="s">
        <v>393</v>
      </c>
      <c r="K5" s="8" t="s">
        <v>703</v>
      </c>
      <c r="L5" s="8" t="s">
        <v>573</v>
      </c>
      <c r="M5" s="8" t="s">
        <v>402</v>
      </c>
      <c r="N5" s="8" t="s">
        <v>725</v>
      </c>
      <c r="O5" s="8" t="s">
        <v>414</v>
      </c>
      <c r="P5" s="8" t="s">
        <v>737</v>
      </c>
      <c r="Q5" s="8" t="s">
        <v>743</v>
      </c>
      <c r="R5" s="8" t="s">
        <v>750</v>
      </c>
      <c r="S5" s="8" t="s">
        <v>758</v>
      </c>
      <c r="T5" s="8" t="s">
        <v>766</v>
      </c>
      <c r="U5" s="8" t="s">
        <v>770</v>
      </c>
      <c r="V5" s="8" t="s">
        <v>431</v>
      </c>
      <c r="W5" s="8" t="s">
        <v>440</v>
      </c>
      <c r="X5" s="8" t="s">
        <v>782</v>
      </c>
      <c r="Y5" s="8" t="s">
        <v>786</v>
      </c>
      <c r="Z5" s="8" t="s">
        <v>790</v>
      </c>
      <c r="AA5" s="8" t="s">
        <v>794</v>
      </c>
      <c r="AB5" s="8" t="s">
        <v>449</v>
      </c>
      <c r="AC5" s="8" t="s">
        <v>453</v>
      </c>
      <c r="AD5" s="8" t="s">
        <v>462</v>
      </c>
      <c r="AE5" s="8" t="s">
        <v>815</v>
      </c>
      <c r="AF5" s="8" t="s">
        <v>457</v>
      </c>
      <c r="AG5" s="9" t="s">
        <v>1810</v>
      </c>
    </row>
    <row r="6" customFormat="false" ht="15" hidden="false" customHeight="false" outlineLevel="0" collapsed="false">
      <c r="A6" s="27" t="str">
        <f aca="false">IF(응답입력!A7="","",응답입력!A7)</f>
        <v/>
      </c>
      <c r="B6" s="35" t="str">
        <f aca="false">IF(COUNTIFS(응답입력!$AH$3:$HD$3,"L01",응답입력!$AH7:$HD7,"&lt;9")&gt;=3,SUMIFS(응답입력!$AH7:$HD7,응답입력!$AH$3:$HD$3,"L01",응답입력!$AH7:$HD7,"&lt;9")/COUNTIFS(응답입력!$AH$3:$HD$3,"L01",응답입력!$AH7:$HD7,"&lt;9"),"")</f>
        <v/>
      </c>
      <c r="C6" s="35" t="str">
        <f aca="false">IF(COUNTIFS(응답입력!$AH$3:$HD$3,"L02",응답입력!$AH7:$HD7,"&lt;9")&gt;=3,SUMIFS(응답입력!$AH7:$HD7,응답입력!$AH$3:$HD$3,"L02",응답입력!$AH7:$HD7,"&lt;9")/COUNTIFS(응답입력!$AH$3:$HD$3,"L02",응답입력!$AH7:$HD7,"&lt;9"),"")</f>
        <v/>
      </c>
      <c r="D6" s="35" t="str">
        <f aca="false">IF(COUNTIFS(응답입력!$AH$3:$HD$3,"L03",응답입력!$AH7:$HD7,"&lt;9")&gt;=3,SUMIFS(응답입력!$AH7:$HD7,응답입력!$AH$3:$HD$3,"L03",응답입력!$AH7:$HD7,"&lt;9")/COUNTIFS(응답입력!$AH$3:$HD$3,"L03",응답입력!$AH7:$HD7,"&lt;9"),"")</f>
        <v/>
      </c>
      <c r="E6" s="35" t="str">
        <f aca="false">IF(COUNTIFS(응답입력!$AH$3:$HD$3,"L04",응답입력!$AH7:$HD7,"&lt;9")&gt;=3,SUMIFS(응답입력!$AH7:$HD7,응답입력!$AH$3:$HD$3,"L04",응답입력!$AH7:$HD7,"&lt;9")/COUNTIFS(응답입력!$AH$3:$HD$3,"L04",응답입력!$AH7:$HD7,"&lt;9"),"")</f>
        <v/>
      </c>
      <c r="F6" s="35" t="str">
        <f aca="false">IF(COUNTIFS(응답입력!$AH$3:$HD$3,"L05",응답입력!$AH7:$HD7,"&lt;9")&gt;=3,SUMIFS(응답입력!$AH7:$HD7,응답입력!$AH$3:$HD$3,"L05",응답입력!$AH7:$HD7,"&lt;9")/COUNTIFS(응답입력!$AH$3:$HD$3,"L05",응답입력!$AH7:$HD7,"&lt;9"),"")</f>
        <v/>
      </c>
      <c r="G6" s="35" t="str">
        <f aca="false">IF(COUNTIFS(응답입력!$AH$3:$HD$3,"L06",응답입력!$AH7:$HD7,"&lt;9")&gt;=3,SUMIFS(응답입력!$AH7:$HD7,응답입력!$AH$3:$HD$3,"L06",응답입력!$AH7:$HD7,"&lt;9")/COUNTIFS(응답입력!$AH$3:$HD$3,"L06",응답입력!$AH7:$HD7,"&lt;9"),"")</f>
        <v/>
      </c>
      <c r="H6" s="35" t="str">
        <f aca="false">IF(COUNTIFS(응답입력!$AH$3:$HD$3,"L07",응답입력!$AH7:$HD7,"&lt;9")&gt;=3,SUMIFS(응답입력!$AH7:$HD7,응답입력!$AH$3:$HD$3,"L07",응답입력!$AH7:$HD7,"&lt;9")/COUNTIFS(응답입력!$AH$3:$HD$3,"L07",응답입력!$AH7:$HD7,"&lt;9"),"")</f>
        <v/>
      </c>
      <c r="I6" s="35" t="str">
        <f aca="false">IF(COUNTIFS(응답입력!$AH$3:$HD$3,"L08",응답입력!$AH7:$HD7,"&lt;9")&gt;=3,SUMIFS(응답입력!$AH7:$HD7,응답입력!$AH$3:$HD$3,"L08",응답입력!$AH7:$HD7,"&lt;9")/COUNTIFS(응답입력!$AH$3:$HD$3,"L08",응답입력!$AH7:$HD7,"&lt;9"),"")</f>
        <v/>
      </c>
      <c r="J6" s="35" t="str">
        <f aca="false">IF(COUNTIFS(응답입력!$AH$3:$HD$3,"L09",응답입력!$AH7:$HD7,"&lt;9")&gt;=3,SUMIFS(응답입력!$AH7:$HD7,응답입력!$AH$3:$HD$3,"L09",응답입력!$AH7:$HD7,"&lt;9")/COUNTIFS(응답입력!$AH$3:$HD$3,"L09",응답입력!$AH7:$HD7,"&lt;9"),"")</f>
        <v/>
      </c>
      <c r="K6" s="35" t="str">
        <f aca="false">IF(COUNTIFS(응답입력!$AH$3:$HD$3,"L10",응답입력!$AH7:$HD7,"&lt;9")&gt;=3,SUMIFS(응답입력!$AH7:$HD7,응답입력!$AH$3:$HD$3,"L10",응답입력!$AH7:$HD7,"&lt;9")/COUNTIFS(응답입력!$AH$3:$HD$3,"L10",응답입력!$AH7:$HD7,"&lt;9"),"")</f>
        <v/>
      </c>
      <c r="L6" s="35" t="str">
        <f aca="false">IF(COUNTIFS(응답입력!$AH$3:$HD$3,"L11",응답입력!$AH7:$HD7,"&lt;9")&gt;=3,SUMIFS(응답입력!$AH7:$HD7,응답입력!$AH$3:$HD$3,"L11",응답입력!$AH7:$HD7,"&lt;9")/COUNTIFS(응답입력!$AH$3:$HD$3,"L11",응답입력!$AH7:$HD7,"&lt;9"),"")</f>
        <v/>
      </c>
      <c r="M6" s="35" t="str">
        <f aca="false">IF(COUNTIFS(응답입력!$AH$3:$HD$3,"L12",응답입력!$AH7:$HD7,"&lt;9")&gt;=3,SUMIFS(응답입력!$AH7:$HD7,응답입력!$AH$3:$HD$3,"L12",응답입력!$AH7:$HD7,"&lt;9")/COUNTIFS(응답입력!$AH$3:$HD$3,"L12",응답입력!$AH7:$HD7,"&lt;9"),"")</f>
        <v/>
      </c>
      <c r="N6" s="35" t="str">
        <f aca="false">IF(COUNTIFS(응답입력!$AH$3:$HD$3,"L13",응답입력!$AH7:$HD7,"&lt;9")&gt;=3,SUMIFS(응답입력!$AH7:$HD7,응답입력!$AH$3:$HD$3,"L13",응답입력!$AH7:$HD7,"&lt;9")/COUNTIFS(응답입력!$AH$3:$HD$3,"L13",응답입력!$AH7:$HD7,"&lt;9"),"")</f>
        <v/>
      </c>
      <c r="O6" s="35" t="str">
        <f aca="false">IF(COUNTIFS(응답입력!$AH$3:$HD$3,"L14",응답입력!$AH7:$HD7,"&lt;9")&gt;=3,SUMIFS(응답입력!$AH7:$HD7,응답입력!$AH$3:$HD$3,"L14",응답입력!$AH7:$HD7,"&lt;9")/COUNTIFS(응답입력!$AH$3:$HD$3,"L14",응답입력!$AH7:$HD7,"&lt;9"),"")</f>
        <v/>
      </c>
      <c r="P6" s="35" t="str">
        <f aca="false">IF(COUNTIFS(응답입력!$AH$3:$HD$3,"L15",응답입력!$AH7:$HD7,"&lt;9")&gt;=3,SUMIFS(응답입력!$AH7:$HD7,응답입력!$AH$3:$HD$3,"L15",응답입력!$AH7:$HD7,"&lt;9")/COUNTIFS(응답입력!$AH$3:$HD$3,"L15",응답입력!$AH7:$HD7,"&lt;9"),"")</f>
        <v/>
      </c>
      <c r="Q6" s="35" t="str">
        <f aca="false">IF(COUNTIFS(응답입력!$AH$3:$HD$3,"L16",응답입력!$AH7:$HD7,"&lt;9")&gt;=3,SUMIFS(응답입력!$AH7:$HD7,응답입력!$AH$3:$HD$3,"L16",응답입력!$AH7:$HD7,"&lt;9")/COUNTIFS(응답입력!$AH$3:$HD$3,"L16",응답입력!$AH7:$HD7,"&lt;9"),"")</f>
        <v/>
      </c>
      <c r="R6" s="35" t="str">
        <f aca="false">IF(COUNTIFS(응답입력!$AH$3:$HD$3,"L17",응답입력!$AH7:$HD7,"&lt;9")&gt;=3,SUMIFS(응답입력!$AH7:$HD7,응답입력!$AH$3:$HD$3,"L17",응답입력!$AH7:$HD7,"&lt;9")/COUNTIFS(응답입력!$AH$3:$HD$3,"L17",응답입력!$AH7:$HD7,"&lt;9"),"")</f>
        <v/>
      </c>
      <c r="S6" s="35" t="str">
        <f aca="false">IF(COUNTIFS(응답입력!$AH$3:$HD$3,"L18",응답입력!$AH7:$HD7,"&lt;9")&gt;=3,SUMIFS(응답입력!$AH7:$HD7,응답입력!$AH$3:$HD$3,"L18",응답입력!$AH7:$HD7,"&lt;9")/COUNTIFS(응답입력!$AH$3:$HD$3,"L18",응답입력!$AH7:$HD7,"&lt;9"),"")</f>
        <v/>
      </c>
      <c r="T6" s="35" t="str">
        <f aca="false">IF(COUNTIFS(응답입력!$AH$3:$HD$3,"L19",응답입력!$AH7:$HD7,"&lt;9")&gt;=3,SUMIFS(응답입력!$AH7:$HD7,응답입력!$AH$3:$HD$3,"L19",응답입력!$AH7:$HD7,"&lt;9")/COUNTIFS(응답입력!$AH$3:$HD$3,"L19",응답입력!$AH7:$HD7,"&lt;9"),"")</f>
        <v/>
      </c>
      <c r="U6" s="35" t="str">
        <f aca="false">IF(COUNTIFS(응답입력!$AH$3:$HD$3,"L20",응답입력!$AH7:$HD7,"&lt;9")&gt;=3,SUMIFS(응답입력!$AH7:$HD7,응답입력!$AH$3:$HD$3,"L20",응답입력!$AH7:$HD7,"&lt;9")/COUNTIFS(응답입력!$AH$3:$HD$3,"L20",응답입력!$AH7:$HD7,"&lt;9"),"")</f>
        <v/>
      </c>
      <c r="V6" s="35" t="str">
        <f aca="false">IF(COUNTIFS(응답입력!$AH$3:$HD$3,"L21",응답입력!$AH7:$HD7,"&lt;9")&gt;=3,SUMIFS(응답입력!$AH7:$HD7,응답입력!$AH$3:$HD$3,"L21",응답입력!$AH7:$HD7,"&lt;9")/COUNTIFS(응답입력!$AH$3:$HD$3,"L21",응답입력!$AH7:$HD7,"&lt;9"),"")</f>
        <v/>
      </c>
      <c r="W6" s="35" t="str">
        <f aca="false">IF(COUNTIFS(응답입력!$AH$3:$HD$3,"L22",응답입력!$AH7:$HD7,"&lt;9")&gt;=3,SUMIFS(응답입력!$AH7:$HD7,응답입력!$AH$3:$HD$3,"L22",응답입력!$AH7:$HD7,"&lt;9")/COUNTIFS(응답입력!$AH$3:$HD$3,"L22",응답입력!$AH7:$HD7,"&lt;9"),"")</f>
        <v/>
      </c>
      <c r="X6" s="35" t="str">
        <f aca="false">IF(COUNTIFS(응답입력!$AH$3:$HD$3,"L23",응답입력!$AH7:$HD7,"&lt;9")&gt;=3,SUMIFS(응답입력!$AH7:$HD7,응답입력!$AH$3:$HD$3,"L23",응답입력!$AH7:$HD7,"&lt;9")/COUNTIFS(응답입력!$AH$3:$HD$3,"L23",응답입력!$AH7:$HD7,"&lt;9"),"")</f>
        <v/>
      </c>
      <c r="Y6" s="35" t="str">
        <f aca="false">IF(COUNTIFS(응답입력!$AH$3:$HD$3,"L24",응답입력!$AH7:$HD7,"&lt;9")&gt;=3,SUMIFS(응답입력!$AH7:$HD7,응답입력!$AH$3:$HD$3,"L24",응답입력!$AH7:$HD7,"&lt;9")/COUNTIFS(응답입력!$AH$3:$HD$3,"L24",응답입력!$AH7:$HD7,"&lt;9"),"")</f>
        <v/>
      </c>
      <c r="Z6" s="35" t="str">
        <f aca="false">IF(COUNTIFS(응답입력!$AH$3:$HD$3,"L25",응답입력!$AH7:$HD7,"&lt;9")&gt;=3,SUMIFS(응답입력!$AH7:$HD7,응답입력!$AH$3:$HD$3,"L25",응답입력!$AH7:$HD7,"&lt;9")/COUNTIFS(응답입력!$AH$3:$HD$3,"L25",응답입력!$AH7:$HD7,"&lt;9"),"")</f>
        <v/>
      </c>
      <c r="AA6" s="35" t="str">
        <f aca="false">IF(COUNTIFS(응답입력!$AH$3:$HD$3,"L26",응답입력!$AH7:$HD7,"&lt;9")&gt;=3,SUMIFS(응답입력!$AH7:$HD7,응답입력!$AH$3:$HD$3,"L26",응답입력!$AH7:$HD7,"&lt;9")/COUNTIFS(응답입력!$AH$3:$HD$3,"L26",응답입력!$AH7:$HD7,"&lt;9"),"")</f>
        <v/>
      </c>
      <c r="AB6" s="35" t="str">
        <f aca="false">IF(COUNTIFS(응답입력!$AH$3:$HD$3,"L27",응답입력!$AH7:$HD7,"&lt;9")&gt;=3,SUMIFS(응답입력!$AH7:$HD7,응답입력!$AH$3:$HD$3,"L27",응답입력!$AH7:$HD7,"&lt;9")/COUNTIFS(응답입력!$AH$3:$HD$3,"L27",응답입력!$AH7:$HD7,"&lt;9"),"")</f>
        <v/>
      </c>
      <c r="AC6" s="35" t="str">
        <f aca="false">IF(COUNTIFS(응답입력!$AH$3:$HD$3,"L28",응답입력!$AH7:$HD7,"&lt;9")&gt;=3,SUMIFS(응답입력!$AH7:$HD7,응답입력!$AH$3:$HD$3,"L28",응답입력!$AH7:$HD7,"&lt;9")/COUNTIFS(응답입력!$AH$3:$HD$3,"L28",응답입력!$AH7:$HD7,"&lt;9"),"")</f>
        <v/>
      </c>
      <c r="AD6" s="35" t="str">
        <f aca="false">IF(COUNTIFS(응답입력!$AH$3:$HD$3,"L29",응답입력!$AH7:$HD7,"&lt;9")&gt;=3,SUMIFS(응답입력!$AH7:$HD7,응답입력!$AH$3:$HD$3,"L29",응답입력!$AH7:$HD7,"&lt;9")/COUNTIFS(응답입력!$AH$3:$HD$3,"L29",응답입력!$AH7:$HD7,"&lt;9"),"")</f>
        <v/>
      </c>
      <c r="AE6" s="35" t="str">
        <f aca="false">IF(COUNTIFS(응답입력!$AH$3:$HD$3,"L30",응답입력!$AH7:$HD7,"&lt;9")&gt;=3,SUMIFS(응답입력!$AH7:$HD7,응답입력!$AH$3:$HD$3,"L30",응답입력!$AH7:$HD7,"&lt;9")/COUNTIFS(응답입력!$AH$3:$HD$3,"L30",응답입력!$AH7:$HD7,"&lt;9"),"")</f>
        <v/>
      </c>
      <c r="AF6" s="35" t="str">
        <f aca="false">IF(COUNTIFS(응답입력!$AH$3:$HD$3,"L31",응답입력!$AH7:$HD7,"&lt;9")&gt;=3,SUMIFS(응답입력!$AH7:$HD7,응답입력!$AH$3:$HD$3,"L31",응답입력!$AH7:$HD7,"&lt;9")/COUNTIFS(응답입력!$AH$3:$HD$3,"L31",응답입력!$AH7:$HD7,"&lt;9"),"")</f>
        <v/>
      </c>
      <c r="AG6" s="41" t="str">
        <f aca="false">IFERROR(AVERAGE(B6:AF6),"")</f>
        <v/>
      </c>
    </row>
    <row r="7" customFormat="false" ht="15" hidden="false" customHeight="false" outlineLevel="0" collapsed="false">
      <c r="A7" s="27" t="str">
        <f aca="false">IF(응답입력!A8="","",응답입력!A8)</f>
        <v/>
      </c>
      <c r="B7" s="35" t="str">
        <f aca="false">IF(COUNTIFS(응답입력!$AH$3:$HD$3,"L01",응답입력!$AH8:$HD8,"&lt;9")&gt;=3,SUMIFS(응답입력!$AH8:$HD8,응답입력!$AH$3:$HD$3,"L01",응답입력!$AH8:$HD8,"&lt;9")/COUNTIFS(응답입력!$AH$3:$HD$3,"L01",응답입력!$AH8:$HD8,"&lt;9"),"")</f>
        <v/>
      </c>
      <c r="C7" s="35" t="str">
        <f aca="false">IF(COUNTIFS(응답입력!$AH$3:$HD$3,"L02",응답입력!$AH8:$HD8,"&lt;9")&gt;=3,SUMIFS(응답입력!$AH8:$HD8,응답입력!$AH$3:$HD$3,"L02",응답입력!$AH8:$HD8,"&lt;9")/COUNTIFS(응답입력!$AH$3:$HD$3,"L02",응답입력!$AH8:$HD8,"&lt;9"),"")</f>
        <v/>
      </c>
      <c r="D7" s="35" t="str">
        <f aca="false">IF(COUNTIFS(응답입력!$AH$3:$HD$3,"L03",응답입력!$AH8:$HD8,"&lt;9")&gt;=3,SUMIFS(응답입력!$AH8:$HD8,응답입력!$AH$3:$HD$3,"L03",응답입력!$AH8:$HD8,"&lt;9")/COUNTIFS(응답입력!$AH$3:$HD$3,"L03",응답입력!$AH8:$HD8,"&lt;9"),"")</f>
        <v/>
      </c>
      <c r="E7" s="35" t="str">
        <f aca="false">IF(COUNTIFS(응답입력!$AH$3:$HD$3,"L04",응답입력!$AH8:$HD8,"&lt;9")&gt;=3,SUMIFS(응답입력!$AH8:$HD8,응답입력!$AH$3:$HD$3,"L04",응답입력!$AH8:$HD8,"&lt;9")/COUNTIFS(응답입력!$AH$3:$HD$3,"L04",응답입력!$AH8:$HD8,"&lt;9"),"")</f>
        <v/>
      </c>
      <c r="F7" s="35" t="str">
        <f aca="false">IF(COUNTIFS(응답입력!$AH$3:$HD$3,"L05",응답입력!$AH8:$HD8,"&lt;9")&gt;=3,SUMIFS(응답입력!$AH8:$HD8,응답입력!$AH$3:$HD$3,"L05",응답입력!$AH8:$HD8,"&lt;9")/COUNTIFS(응답입력!$AH$3:$HD$3,"L05",응답입력!$AH8:$HD8,"&lt;9"),"")</f>
        <v/>
      </c>
      <c r="G7" s="35" t="str">
        <f aca="false">IF(COUNTIFS(응답입력!$AH$3:$HD$3,"L06",응답입력!$AH8:$HD8,"&lt;9")&gt;=3,SUMIFS(응답입력!$AH8:$HD8,응답입력!$AH$3:$HD$3,"L06",응답입력!$AH8:$HD8,"&lt;9")/COUNTIFS(응답입력!$AH$3:$HD$3,"L06",응답입력!$AH8:$HD8,"&lt;9"),"")</f>
        <v/>
      </c>
      <c r="H7" s="35" t="str">
        <f aca="false">IF(COUNTIFS(응답입력!$AH$3:$HD$3,"L07",응답입력!$AH8:$HD8,"&lt;9")&gt;=3,SUMIFS(응답입력!$AH8:$HD8,응답입력!$AH$3:$HD$3,"L07",응답입력!$AH8:$HD8,"&lt;9")/COUNTIFS(응답입력!$AH$3:$HD$3,"L07",응답입력!$AH8:$HD8,"&lt;9"),"")</f>
        <v/>
      </c>
      <c r="I7" s="35" t="str">
        <f aca="false">IF(COUNTIFS(응답입력!$AH$3:$HD$3,"L08",응답입력!$AH8:$HD8,"&lt;9")&gt;=3,SUMIFS(응답입력!$AH8:$HD8,응답입력!$AH$3:$HD$3,"L08",응답입력!$AH8:$HD8,"&lt;9")/COUNTIFS(응답입력!$AH$3:$HD$3,"L08",응답입력!$AH8:$HD8,"&lt;9"),"")</f>
        <v/>
      </c>
      <c r="J7" s="35" t="str">
        <f aca="false">IF(COUNTIFS(응답입력!$AH$3:$HD$3,"L09",응답입력!$AH8:$HD8,"&lt;9")&gt;=3,SUMIFS(응답입력!$AH8:$HD8,응답입력!$AH$3:$HD$3,"L09",응답입력!$AH8:$HD8,"&lt;9")/COUNTIFS(응답입력!$AH$3:$HD$3,"L09",응답입력!$AH8:$HD8,"&lt;9"),"")</f>
        <v/>
      </c>
      <c r="K7" s="35" t="str">
        <f aca="false">IF(COUNTIFS(응답입력!$AH$3:$HD$3,"L10",응답입력!$AH8:$HD8,"&lt;9")&gt;=3,SUMIFS(응답입력!$AH8:$HD8,응답입력!$AH$3:$HD$3,"L10",응답입력!$AH8:$HD8,"&lt;9")/COUNTIFS(응답입력!$AH$3:$HD$3,"L10",응답입력!$AH8:$HD8,"&lt;9"),"")</f>
        <v/>
      </c>
      <c r="L7" s="35" t="str">
        <f aca="false">IF(COUNTIFS(응답입력!$AH$3:$HD$3,"L11",응답입력!$AH8:$HD8,"&lt;9")&gt;=3,SUMIFS(응답입력!$AH8:$HD8,응답입력!$AH$3:$HD$3,"L11",응답입력!$AH8:$HD8,"&lt;9")/COUNTIFS(응답입력!$AH$3:$HD$3,"L11",응답입력!$AH8:$HD8,"&lt;9"),"")</f>
        <v/>
      </c>
      <c r="M7" s="35" t="str">
        <f aca="false">IF(COUNTIFS(응답입력!$AH$3:$HD$3,"L12",응답입력!$AH8:$HD8,"&lt;9")&gt;=3,SUMIFS(응답입력!$AH8:$HD8,응답입력!$AH$3:$HD$3,"L12",응답입력!$AH8:$HD8,"&lt;9")/COUNTIFS(응답입력!$AH$3:$HD$3,"L12",응답입력!$AH8:$HD8,"&lt;9"),"")</f>
        <v/>
      </c>
      <c r="N7" s="35" t="str">
        <f aca="false">IF(COUNTIFS(응답입력!$AH$3:$HD$3,"L13",응답입력!$AH8:$HD8,"&lt;9")&gt;=3,SUMIFS(응답입력!$AH8:$HD8,응답입력!$AH$3:$HD$3,"L13",응답입력!$AH8:$HD8,"&lt;9")/COUNTIFS(응답입력!$AH$3:$HD$3,"L13",응답입력!$AH8:$HD8,"&lt;9"),"")</f>
        <v/>
      </c>
      <c r="O7" s="35" t="str">
        <f aca="false">IF(COUNTIFS(응답입력!$AH$3:$HD$3,"L14",응답입력!$AH8:$HD8,"&lt;9")&gt;=3,SUMIFS(응답입력!$AH8:$HD8,응답입력!$AH$3:$HD$3,"L14",응답입력!$AH8:$HD8,"&lt;9")/COUNTIFS(응답입력!$AH$3:$HD$3,"L14",응답입력!$AH8:$HD8,"&lt;9"),"")</f>
        <v/>
      </c>
      <c r="P7" s="35" t="str">
        <f aca="false">IF(COUNTIFS(응답입력!$AH$3:$HD$3,"L15",응답입력!$AH8:$HD8,"&lt;9")&gt;=3,SUMIFS(응답입력!$AH8:$HD8,응답입력!$AH$3:$HD$3,"L15",응답입력!$AH8:$HD8,"&lt;9")/COUNTIFS(응답입력!$AH$3:$HD$3,"L15",응답입력!$AH8:$HD8,"&lt;9"),"")</f>
        <v/>
      </c>
      <c r="Q7" s="35" t="str">
        <f aca="false">IF(COUNTIFS(응답입력!$AH$3:$HD$3,"L16",응답입력!$AH8:$HD8,"&lt;9")&gt;=3,SUMIFS(응답입력!$AH8:$HD8,응답입력!$AH$3:$HD$3,"L16",응답입력!$AH8:$HD8,"&lt;9")/COUNTIFS(응답입력!$AH$3:$HD$3,"L16",응답입력!$AH8:$HD8,"&lt;9"),"")</f>
        <v/>
      </c>
      <c r="R7" s="35" t="str">
        <f aca="false">IF(COUNTIFS(응답입력!$AH$3:$HD$3,"L17",응답입력!$AH8:$HD8,"&lt;9")&gt;=3,SUMIFS(응답입력!$AH8:$HD8,응답입력!$AH$3:$HD$3,"L17",응답입력!$AH8:$HD8,"&lt;9")/COUNTIFS(응답입력!$AH$3:$HD$3,"L17",응답입력!$AH8:$HD8,"&lt;9"),"")</f>
        <v/>
      </c>
      <c r="S7" s="35" t="str">
        <f aca="false">IF(COUNTIFS(응답입력!$AH$3:$HD$3,"L18",응답입력!$AH8:$HD8,"&lt;9")&gt;=3,SUMIFS(응답입력!$AH8:$HD8,응답입력!$AH$3:$HD$3,"L18",응답입력!$AH8:$HD8,"&lt;9")/COUNTIFS(응답입력!$AH$3:$HD$3,"L18",응답입력!$AH8:$HD8,"&lt;9"),"")</f>
        <v/>
      </c>
      <c r="T7" s="35" t="str">
        <f aca="false">IF(COUNTIFS(응답입력!$AH$3:$HD$3,"L19",응답입력!$AH8:$HD8,"&lt;9")&gt;=3,SUMIFS(응답입력!$AH8:$HD8,응답입력!$AH$3:$HD$3,"L19",응답입력!$AH8:$HD8,"&lt;9")/COUNTIFS(응답입력!$AH$3:$HD$3,"L19",응답입력!$AH8:$HD8,"&lt;9"),"")</f>
        <v/>
      </c>
      <c r="U7" s="35" t="str">
        <f aca="false">IF(COUNTIFS(응답입력!$AH$3:$HD$3,"L20",응답입력!$AH8:$HD8,"&lt;9")&gt;=3,SUMIFS(응답입력!$AH8:$HD8,응답입력!$AH$3:$HD$3,"L20",응답입력!$AH8:$HD8,"&lt;9")/COUNTIFS(응답입력!$AH$3:$HD$3,"L20",응답입력!$AH8:$HD8,"&lt;9"),"")</f>
        <v/>
      </c>
      <c r="V7" s="35" t="str">
        <f aca="false">IF(COUNTIFS(응답입력!$AH$3:$HD$3,"L21",응답입력!$AH8:$HD8,"&lt;9")&gt;=3,SUMIFS(응답입력!$AH8:$HD8,응답입력!$AH$3:$HD$3,"L21",응답입력!$AH8:$HD8,"&lt;9")/COUNTIFS(응답입력!$AH$3:$HD$3,"L21",응답입력!$AH8:$HD8,"&lt;9"),"")</f>
        <v/>
      </c>
      <c r="W7" s="35" t="str">
        <f aca="false">IF(COUNTIFS(응답입력!$AH$3:$HD$3,"L22",응답입력!$AH8:$HD8,"&lt;9")&gt;=3,SUMIFS(응답입력!$AH8:$HD8,응답입력!$AH$3:$HD$3,"L22",응답입력!$AH8:$HD8,"&lt;9")/COUNTIFS(응답입력!$AH$3:$HD$3,"L22",응답입력!$AH8:$HD8,"&lt;9"),"")</f>
        <v/>
      </c>
      <c r="X7" s="35" t="str">
        <f aca="false">IF(COUNTIFS(응답입력!$AH$3:$HD$3,"L23",응답입력!$AH8:$HD8,"&lt;9")&gt;=3,SUMIFS(응답입력!$AH8:$HD8,응답입력!$AH$3:$HD$3,"L23",응답입력!$AH8:$HD8,"&lt;9")/COUNTIFS(응답입력!$AH$3:$HD$3,"L23",응답입력!$AH8:$HD8,"&lt;9"),"")</f>
        <v/>
      </c>
      <c r="Y7" s="35" t="str">
        <f aca="false">IF(COUNTIFS(응답입력!$AH$3:$HD$3,"L24",응답입력!$AH8:$HD8,"&lt;9")&gt;=3,SUMIFS(응답입력!$AH8:$HD8,응답입력!$AH$3:$HD$3,"L24",응답입력!$AH8:$HD8,"&lt;9")/COUNTIFS(응답입력!$AH$3:$HD$3,"L24",응답입력!$AH8:$HD8,"&lt;9"),"")</f>
        <v/>
      </c>
      <c r="Z7" s="35" t="str">
        <f aca="false">IF(COUNTIFS(응답입력!$AH$3:$HD$3,"L25",응답입력!$AH8:$HD8,"&lt;9")&gt;=3,SUMIFS(응답입력!$AH8:$HD8,응답입력!$AH$3:$HD$3,"L25",응답입력!$AH8:$HD8,"&lt;9")/COUNTIFS(응답입력!$AH$3:$HD$3,"L25",응답입력!$AH8:$HD8,"&lt;9"),"")</f>
        <v/>
      </c>
      <c r="AA7" s="35" t="str">
        <f aca="false">IF(COUNTIFS(응답입력!$AH$3:$HD$3,"L26",응답입력!$AH8:$HD8,"&lt;9")&gt;=3,SUMIFS(응답입력!$AH8:$HD8,응답입력!$AH$3:$HD$3,"L26",응답입력!$AH8:$HD8,"&lt;9")/COUNTIFS(응답입력!$AH$3:$HD$3,"L26",응답입력!$AH8:$HD8,"&lt;9"),"")</f>
        <v/>
      </c>
      <c r="AB7" s="35" t="str">
        <f aca="false">IF(COUNTIFS(응답입력!$AH$3:$HD$3,"L27",응답입력!$AH8:$HD8,"&lt;9")&gt;=3,SUMIFS(응답입력!$AH8:$HD8,응답입력!$AH$3:$HD$3,"L27",응답입력!$AH8:$HD8,"&lt;9")/COUNTIFS(응답입력!$AH$3:$HD$3,"L27",응답입력!$AH8:$HD8,"&lt;9"),"")</f>
        <v/>
      </c>
      <c r="AC7" s="35" t="str">
        <f aca="false">IF(COUNTIFS(응답입력!$AH$3:$HD$3,"L28",응답입력!$AH8:$HD8,"&lt;9")&gt;=3,SUMIFS(응답입력!$AH8:$HD8,응답입력!$AH$3:$HD$3,"L28",응답입력!$AH8:$HD8,"&lt;9")/COUNTIFS(응답입력!$AH$3:$HD$3,"L28",응답입력!$AH8:$HD8,"&lt;9"),"")</f>
        <v/>
      </c>
      <c r="AD7" s="35" t="str">
        <f aca="false">IF(COUNTIFS(응답입력!$AH$3:$HD$3,"L29",응답입력!$AH8:$HD8,"&lt;9")&gt;=3,SUMIFS(응답입력!$AH8:$HD8,응답입력!$AH$3:$HD$3,"L29",응답입력!$AH8:$HD8,"&lt;9")/COUNTIFS(응답입력!$AH$3:$HD$3,"L29",응답입력!$AH8:$HD8,"&lt;9"),"")</f>
        <v/>
      </c>
      <c r="AE7" s="35" t="str">
        <f aca="false">IF(COUNTIFS(응답입력!$AH$3:$HD$3,"L30",응답입력!$AH8:$HD8,"&lt;9")&gt;=3,SUMIFS(응답입력!$AH8:$HD8,응답입력!$AH$3:$HD$3,"L30",응답입력!$AH8:$HD8,"&lt;9")/COUNTIFS(응답입력!$AH$3:$HD$3,"L30",응답입력!$AH8:$HD8,"&lt;9"),"")</f>
        <v/>
      </c>
      <c r="AF7" s="35" t="str">
        <f aca="false">IF(COUNTIFS(응답입력!$AH$3:$HD$3,"L31",응답입력!$AH8:$HD8,"&lt;9")&gt;=3,SUMIFS(응답입력!$AH8:$HD8,응답입력!$AH$3:$HD$3,"L31",응답입력!$AH8:$HD8,"&lt;9")/COUNTIFS(응답입력!$AH$3:$HD$3,"L31",응답입력!$AH8:$HD8,"&lt;9"),"")</f>
        <v/>
      </c>
      <c r="AG7" s="41" t="str">
        <f aca="false">IFERROR(AVERAGE(B7:AF7),"")</f>
        <v/>
      </c>
    </row>
    <row r="8" customFormat="false" ht="15" hidden="false" customHeight="false" outlineLevel="0" collapsed="false">
      <c r="A8" s="27" t="str">
        <f aca="false">IF(응답입력!A9="","",응답입력!A9)</f>
        <v/>
      </c>
      <c r="B8" s="35" t="str">
        <f aca="false">IF(COUNTIFS(응답입력!$AH$3:$HD$3,"L01",응답입력!$AH9:$HD9,"&lt;9")&gt;=3,SUMIFS(응답입력!$AH9:$HD9,응답입력!$AH$3:$HD$3,"L01",응답입력!$AH9:$HD9,"&lt;9")/COUNTIFS(응답입력!$AH$3:$HD$3,"L01",응답입력!$AH9:$HD9,"&lt;9"),"")</f>
        <v/>
      </c>
      <c r="C8" s="35" t="str">
        <f aca="false">IF(COUNTIFS(응답입력!$AH$3:$HD$3,"L02",응답입력!$AH9:$HD9,"&lt;9")&gt;=3,SUMIFS(응답입력!$AH9:$HD9,응답입력!$AH$3:$HD$3,"L02",응답입력!$AH9:$HD9,"&lt;9")/COUNTIFS(응답입력!$AH$3:$HD$3,"L02",응답입력!$AH9:$HD9,"&lt;9"),"")</f>
        <v/>
      </c>
      <c r="D8" s="35" t="str">
        <f aca="false">IF(COUNTIFS(응답입력!$AH$3:$HD$3,"L03",응답입력!$AH9:$HD9,"&lt;9")&gt;=3,SUMIFS(응답입력!$AH9:$HD9,응답입력!$AH$3:$HD$3,"L03",응답입력!$AH9:$HD9,"&lt;9")/COUNTIFS(응답입력!$AH$3:$HD$3,"L03",응답입력!$AH9:$HD9,"&lt;9"),"")</f>
        <v/>
      </c>
      <c r="E8" s="35" t="str">
        <f aca="false">IF(COUNTIFS(응답입력!$AH$3:$HD$3,"L04",응답입력!$AH9:$HD9,"&lt;9")&gt;=3,SUMIFS(응답입력!$AH9:$HD9,응답입력!$AH$3:$HD$3,"L04",응답입력!$AH9:$HD9,"&lt;9")/COUNTIFS(응답입력!$AH$3:$HD$3,"L04",응답입력!$AH9:$HD9,"&lt;9"),"")</f>
        <v/>
      </c>
      <c r="F8" s="35" t="str">
        <f aca="false">IF(COUNTIFS(응답입력!$AH$3:$HD$3,"L05",응답입력!$AH9:$HD9,"&lt;9")&gt;=3,SUMIFS(응답입력!$AH9:$HD9,응답입력!$AH$3:$HD$3,"L05",응답입력!$AH9:$HD9,"&lt;9")/COUNTIFS(응답입력!$AH$3:$HD$3,"L05",응답입력!$AH9:$HD9,"&lt;9"),"")</f>
        <v/>
      </c>
      <c r="G8" s="35" t="str">
        <f aca="false">IF(COUNTIFS(응답입력!$AH$3:$HD$3,"L06",응답입력!$AH9:$HD9,"&lt;9")&gt;=3,SUMIFS(응답입력!$AH9:$HD9,응답입력!$AH$3:$HD$3,"L06",응답입력!$AH9:$HD9,"&lt;9")/COUNTIFS(응답입력!$AH$3:$HD$3,"L06",응답입력!$AH9:$HD9,"&lt;9"),"")</f>
        <v/>
      </c>
      <c r="H8" s="35" t="str">
        <f aca="false">IF(COUNTIFS(응답입력!$AH$3:$HD$3,"L07",응답입력!$AH9:$HD9,"&lt;9")&gt;=3,SUMIFS(응답입력!$AH9:$HD9,응답입력!$AH$3:$HD$3,"L07",응답입력!$AH9:$HD9,"&lt;9")/COUNTIFS(응답입력!$AH$3:$HD$3,"L07",응답입력!$AH9:$HD9,"&lt;9"),"")</f>
        <v/>
      </c>
      <c r="I8" s="35" t="str">
        <f aca="false">IF(COUNTIFS(응답입력!$AH$3:$HD$3,"L08",응답입력!$AH9:$HD9,"&lt;9")&gt;=3,SUMIFS(응답입력!$AH9:$HD9,응답입력!$AH$3:$HD$3,"L08",응답입력!$AH9:$HD9,"&lt;9")/COUNTIFS(응답입력!$AH$3:$HD$3,"L08",응답입력!$AH9:$HD9,"&lt;9"),"")</f>
        <v/>
      </c>
      <c r="J8" s="35" t="str">
        <f aca="false">IF(COUNTIFS(응답입력!$AH$3:$HD$3,"L09",응답입력!$AH9:$HD9,"&lt;9")&gt;=3,SUMIFS(응답입력!$AH9:$HD9,응답입력!$AH$3:$HD$3,"L09",응답입력!$AH9:$HD9,"&lt;9")/COUNTIFS(응답입력!$AH$3:$HD$3,"L09",응답입력!$AH9:$HD9,"&lt;9"),"")</f>
        <v/>
      </c>
      <c r="K8" s="35" t="str">
        <f aca="false">IF(COUNTIFS(응답입력!$AH$3:$HD$3,"L10",응답입력!$AH9:$HD9,"&lt;9")&gt;=3,SUMIFS(응답입력!$AH9:$HD9,응답입력!$AH$3:$HD$3,"L10",응답입력!$AH9:$HD9,"&lt;9")/COUNTIFS(응답입력!$AH$3:$HD$3,"L10",응답입력!$AH9:$HD9,"&lt;9"),"")</f>
        <v/>
      </c>
      <c r="L8" s="35" t="str">
        <f aca="false">IF(COUNTIFS(응답입력!$AH$3:$HD$3,"L11",응답입력!$AH9:$HD9,"&lt;9")&gt;=3,SUMIFS(응답입력!$AH9:$HD9,응답입력!$AH$3:$HD$3,"L11",응답입력!$AH9:$HD9,"&lt;9")/COUNTIFS(응답입력!$AH$3:$HD$3,"L11",응답입력!$AH9:$HD9,"&lt;9"),"")</f>
        <v/>
      </c>
      <c r="M8" s="35" t="str">
        <f aca="false">IF(COUNTIFS(응답입력!$AH$3:$HD$3,"L12",응답입력!$AH9:$HD9,"&lt;9")&gt;=3,SUMIFS(응답입력!$AH9:$HD9,응답입력!$AH$3:$HD$3,"L12",응답입력!$AH9:$HD9,"&lt;9")/COUNTIFS(응답입력!$AH$3:$HD$3,"L12",응답입력!$AH9:$HD9,"&lt;9"),"")</f>
        <v/>
      </c>
      <c r="N8" s="35" t="str">
        <f aca="false">IF(COUNTIFS(응답입력!$AH$3:$HD$3,"L13",응답입력!$AH9:$HD9,"&lt;9")&gt;=3,SUMIFS(응답입력!$AH9:$HD9,응답입력!$AH$3:$HD$3,"L13",응답입력!$AH9:$HD9,"&lt;9")/COUNTIFS(응답입력!$AH$3:$HD$3,"L13",응답입력!$AH9:$HD9,"&lt;9"),"")</f>
        <v/>
      </c>
      <c r="O8" s="35" t="str">
        <f aca="false">IF(COUNTIFS(응답입력!$AH$3:$HD$3,"L14",응답입력!$AH9:$HD9,"&lt;9")&gt;=3,SUMIFS(응답입력!$AH9:$HD9,응답입력!$AH$3:$HD$3,"L14",응답입력!$AH9:$HD9,"&lt;9")/COUNTIFS(응답입력!$AH$3:$HD$3,"L14",응답입력!$AH9:$HD9,"&lt;9"),"")</f>
        <v/>
      </c>
      <c r="P8" s="35" t="str">
        <f aca="false">IF(COUNTIFS(응답입력!$AH$3:$HD$3,"L15",응답입력!$AH9:$HD9,"&lt;9")&gt;=3,SUMIFS(응답입력!$AH9:$HD9,응답입력!$AH$3:$HD$3,"L15",응답입력!$AH9:$HD9,"&lt;9")/COUNTIFS(응답입력!$AH$3:$HD$3,"L15",응답입력!$AH9:$HD9,"&lt;9"),"")</f>
        <v/>
      </c>
      <c r="Q8" s="35" t="str">
        <f aca="false">IF(COUNTIFS(응답입력!$AH$3:$HD$3,"L16",응답입력!$AH9:$HD9,"&lt;9")&gt;=3,SUMIFS(응답입력!$AH9:$HD9,응답입력!$AH$3:$HD$3,"L16",응답입력!$AH9:$HD9,"&lt;9")/COUNTIFS(응답입력!$AH$3:$HD$3,"L16",응답입력!$AH9:$HD9,"&lt;9"),"")</f>
        <v/>
      </c>
      <c r="R8" s="35" t="str">
        <f aca="false">IF(COUNTIFS(응답입력!$AH$3:$HD$3,"L17",응답입력!$AH9:$HD9,"&lt;9")&gt;=3,SUMIFS(응답입력!$AH9:$HD9,응답입력!$AH$3:$HD$3,"L17",응답입력!$AH9:$HD9,"&lt;9")/COUNTIFS(응답입력!$AH$3:$HD$3,"L17",응답입력!$AH9:$HD9,"&lt;9"),"")</f>
        <v/>
      </c>
      <c r="S8" s="35" t="str">
        <f aca="false">IF(COUNTIFS(응답입력!$AH$3:$HD$3,"L18",응답입력!$AH9:$HD9,"&lt;9")&gt;=3,SUMIFS(응답입력!$AH9:$HD9,응답입력!$AH$3:$HD$3,"L18",응답입력!$AH9:$HD9,"&lt;9")/COUNTIFS(응답입력!$AH$3:$HD$3,"L18",응답입력!$AH9:$HD9,"&lt;9"),"")</f>
        <v/>
      </c>
      <c r="T8" s="35" t="str">
        <f aca="false">IF(COUNTIFS(응답입력!$AH$3:$HD$3,"L19",응답입력!$AH9:$HD9,"&lt;9")&gt;=3,SUMIFS(응답입력!$AH9:$HD9,응답입력!$AH$3:$HD$3,"L19",응답입력!$AH9:$HD9,"&lt;9")/COUNTIFS(응답입력!$AH$3:$HD$3,"L19",응답입력!$AH9:$HD9,"&lt;9"),"")</f>
        <v/>
      </c>
      <c r="U8" s="35" t="str">
        <f aca="false">IF(COUNTIFS(응답입력!$AH$3:$HD$3,"L20",응답입력!$AH9:$HD9,"&lt;9")&gt;=3,SUMIFS(응답입력!$AH9:$HD9,응답입력!$AH$3:$HD$3,"L20",응답입력!$AH9:$HD9,"&lt;9")/COUNTIFS(응답입력!$AH$3:$HD$3,"L20",응답입력!$AH9:$HD9,"&lt;9"),"")</f>
        <v/>
      </c>
      <c r="V8" s="35" t="str">
        <f aca="false">IF(COUNTIFS(응답입력!$AH$3:$HD$3,"L21",응답입력!$AH9:$HD9,"&lt;9")&gt;=3,SUMIFS(응답입력!$AH9:$HD9,응답입력!$AH$3:$HD$3,"L21",응답입력!$AH9:$HD9,"&lt;9")/COUNTIFS(응답입력!$AH$3:$HD$3,"L21",응답입력!$AH9:$HD9,"&lt;9"),"")</f>
        <v/>
      </c>
      <c r="W8" s="35" t="str">
        <f aca="false">IF(COUNTIFS(응답입력!$AH$3:$HD$3,"L22",응답입력!$AH9:$HD9,"&lt;9")&gt;=3,SUMIFS(응답입력!$AH9:$HD9,응답입력!$AH$3:$HD$3,"L22",응답입력!$AH9:$HD9,"&lt;9")/COUNTIFS(응답입력!$AH$3:$HD$3,"L22",응답입력!$AH9:$HD9,"&lt;9"),"")</f>
        <v/>
      </c>
      <c r="X8" s="35" t="str">
        <f aca="false">IF(COUNTIFS(응답입력!$AH$3:$HD$3,"L23",응답입력!$AH9:$HD9,"&lt;9")&gt;=3,SUMIFS(응답입력!$AH9:$HD9,응답입력!$AH$3:$HD$3,"L23",응답입력!$AH9:$HD9,"&lt;9")/COUNTIFS(응답입력!$AH$3:$HD$3,"L23",응답입력!$AH9:$HD9,"&lt;9"),"")</f>
        <v/>
      </c>
      <c r="Y8" s="35" t="str">
        <f aca="false">IF(COUNTIFS(응답입력!$AH$3:$HD$3,"L24",응답입력!$AH9:$HD9,"&lt;9")&gt;=3,SUMIFS(응답입력!$AH9:$HD9,응답입력!$AH$3:$HD$3,"L24",응답입력!$AH9:$HD9,"&lt;9")/COUNTIFS(응답입력!$AH$3:$HD$3,"L24",응답입력!$AH9:$HD9,"&lt;9"),"")</f>
        <v/>
      </c>
      <c r="Z8" s="35" t="str">
        <f aca="false">IF(COUNTIFS(응답입력!$AH$3:$HD$3,"L25",응답입력!$AH9:$HD9,"&lt;9")&gt;=3,SUMIFS(응답입력!$AH9:$HD9,응답입력!$AH$3:$HD$3,"L25",응답입력!$AH9:$HD9,"&lt;9")/COUNTIFS(응답입력!$AH$3:$HD$3,"L25",응답입력!$AH9:$HD9,"&lt;9"),"")</f>
        <v/>
      </c>
      <c r="AA8" s="35" t="str">
        <f aca="false">IF(COUNTIFS(응답입력!$AH$3:$HD$3,"L26",응답입력!$AH9:$HD9,"&lt;9")&gt;=3,SUMIFS(응답입력!$AH9:$HD9,응답입력!$AH$3:$HD$3,"L26",응답입력!$AH9:$HD9,"&lt;9")/COUNTIFS(응답입력!$AH$3:$HD$3,"L26",응답입력!$AH9:$HD9,"&lt;9"),"")</f>
        <v/>
      </c>
      <c r="AB8" s="35" t="str">
        <f aca="false">IF(COUNTIFS(응답입력!$AH$3:$HD$3,"L27",응답입력!$AH9:$HD9,"&lt;9")&gt;=3,SUMIFS(응답입력!$AH9:$HD9,응답입력!$AH$3:$HD$3,"L27",응답입력!$AH9:$HD9,"&lt;9")/COUNTIFS(응답입력!$AH$3:$HD$3,"L27",응답입력!$AH9:$HD9,"&lt;9"),"")</f>
        <v/>
      </c>
      <c r="AC8" s="35" t="str">
        <f aca="false">IF(COUNTIFS(응답입력!$AH$3:$HD$3,"L28",응답입력!$AH9:$HD9,"&lt;9")&gt;=3,SUMIFS(응답입력!$AH9:$HD9,응답입력!$AH$3:$HD$3,"L28",응답입력!$AH9:$HD9,"&lt;9")/COUNTIFS(응답입력!$AH$3:$HD$3,"L28",응답입력!$AH9:$HD9,"&lt;9"),"")</f>
        <v/>
      </c>
      <c r="AD8" s="35" t="str">
        <f aca="false">IF(COUNTIFS(응답입력!$AH$3:$HD$3,"L29",응답입력!$AH9:$HD9,"&lt;9")&gt;=3,SUMIFS(응답입력!$AH9:$HD9,응답입력!$AH$3:$HD$3,"L29",응답입력!$AH9:$HD9,"&lt;9")/COUNTIFS(응답입력!$AH$3:$HD$3,"L29",응답입력!$AH9:$HD9,"&lt;9"),"")</f>
        <v/>
      </c>
      <c r="AE8" s="35" t="str">
        <f aca="false">IF(COUNTIFS(응답입력!$AH$3:$HD$3,"L30",응답입력!$AH9:$HD9,"&lt;9")&gt;=3,SUMIFS(응답입력!$AH9:$HD9,응답입력!$AH$3:$HD$3,"L30",응답입력!$AH9:$HD9,"&lt;9")/COUNTIFS(응답입력!$AH$3:$HD$3,"L30",응답입력!$AH9:$HD9,"&lt;9"),"")</f>
        <v/>
      </c>
      <c r="AF8" s="35" t="str">
        <f aca="false">IF(COUNTIFS(응답입력!$AH$3:$HD$3,"L31",응답입력!$AH9:$HD9,"&lt;9")&gt;=3,SUMIFS(응답입력!$AH9:$HD9,응답입력!$AH$3:$HD$3,"L31",응답입력!$AH9:$HD9,"&lt;9")/COUNTIFS(응답입력!$AH$3:$HD$3,"L31",응답입력!$AH9:$HD9,"&lt;9"),"")</f>
        <v/>
      </c>
      <c r="AG8" s="41" t="str">
        <f aca="false">IFERROR(AVERAGE(B8:AF8),"")</f>
        <v/>
      </c>
    </row>
    <row r="9" customFormat="false" ht="15" hidden="false" customHeight="false" outlineLevel="0" collapsed="false">
      <c r="A9" s="27" t="str">
        <f aca="false">IF(응답입력!A10="","",응답입력!A10)</f>
        <v/>
      </c>
      <c r="B9" s="35" t="str">
        <f aca="false">IF(COUNTIFS(응답입력!$AH$3:$HD$3,"L01",응답입력!$AH10:$HD10,"&lt;9")&gt;=3,SUMIFS(응답입력!$AH10:$HD10,응답입력!$AH$3:$HD$3,"L01",응답입력!$AH10:$HD10,"&lt;9")/COUNTIFS(응답입력!$AH$3:$HD$3,"L01",응답입력!$AH10:$HD10,"&lt;9"),"")</f>
        <v/>
      </c>
      <c r="C9" s="35" t="str">
        <f aca="false">IF(COUNTIFS(응답입력!$AH$3:$HD$3,"L02",응답입력!$AH10:$HD10,"&lt;9")&gt;=3,SUMIFS(응답입력!$AH10:$HD10,응답입력!$AH$3:$HD$3,"L02",응답입력!$AH10:$HD10,"&lt;9")/COUNTIFS(응답입력!$AH$3:$HD$3,"L02",응답입력!$AH10:$HD10,"&lt;9"),"")</f>
        <v/>
      </c>
      <c r="D9" s="35" t="str">
        <f aca="false">IF(COUNTIFS(응답입력!$AH$3:$HD$3,"L03",응답입력!$AH10:$HD10,"&lt;9")&gt;=3,SUMIFS(응답입력!$AH10:$HD10,응답입력!$AH$3:$HD$3,"L03",응답입력!$AH10:$HD10,"&lt;9")/COUNTIFS(응답입력!$AH$3:$HD$3,"L03",응답입력!$AH10:$HD10,"&lt;9"),"")</f>
        <v/>
      </c>
      <c r="E9" s="35" t="str">
        <f aca="false">IF(COUNTIFS(응답입력!$AH$3:$HD$3,"L04",응답입력!$AH10:$HD10,"&lt;9")&gt;=3,SUMIFS(응답입력!$AH10:$HD10,응답입력!$AH$3:$HD$3,"L04",응답입력!$AH10:$HD10,"&lt;9")/COUNTIFS(응답입력!$AH$3:$HD$3,"L04",응답입력!$AH10:$HD10,"&lt;9"),"")</f>
        <v/>
      </c>
      <c r="F9" s="35" t="str">
        <f aca="false">IF(COUNTIFS(응답입력!$AH$3:$HD$3,"L05",응답입력!$AH10:$HD10,"&lt;9")&gt;=3,SUMIFS(응답입력!$AH10:$HD10,응답입력!$AH$3:$HD$3,"L05",응답입력!$AH10:$HD10,"&lt;9")/COUNTIFS(응답입력!$AH$3:$HD$3,"L05",응답입력!$AH10:$HD10,"&lt;9"),"")</f>
        <v/>
      </c>
      <c r="G9" s="35" t="str">
        <f aca="false">IF(COUNTIFS(응답입력!$AH$3:$HD$3,"L06",응답입력!$AH10:$HD10,"&lt;9")&gt;=3,SUMIFS(응답입력!$AH10:$HD10,응답입력!$AH$3:$HD$3,"L06",응답입력!$AH10:$HD10,"&lt;9")/COUNTIFS(응답입력!$AH$3:$HD$3,"L06",응답입력!$AH10:$HD10,"&lt;9"),"")</f>
        <v/>
      </c>
      <c r="H9" s="35" t="str">
        <f aca="false">IF(COUNTIFS(응답입력!$AH$3:$HD$3,"L07",응답입력!$AH10:$HD10,"&lt;9")&gt;=3,SUMIFS(응답입력!$AH10:$HD10,응답입력!$AH$3:$HD$3,"L07",응답입력!$AH10:$HD10,"&lt;9")/COUNTIFS(응답입력!$AH$3:$HD$3,"L07",응답입력!$AH10:$HD10,"&lt;9"),"")</f>
        <v/>
      </c>
      <c r="I9" s="35" t="str">
        <f aca="false">IF(COUNTIFS(응답입력!$AH$3:$HD$3,"L08",응답입력!$AH10:$HD10,"&lt;9")&gt;=3,SUMIFS(응답입력!$AH10:$HD10,응답입력!$AH$3:$HD$3,"L08",응답입력!$AH10:$HD10,"&lt;9")/COUNTIFS(응답입력!$AH$3:$HD$3,"L08",응답입력!$AH10:$HD10,"&lt;9"),"")</f>
        <v/>
      </c>
      <c r="J9" s="35" t="str">
        <f aca="false">IF(COUNTIFS(응답입력!$AH$3:$HD$3,"L09",응답입력!$AH10:$HD10,"&lt;9")&gt;=3,SUMIFS(응답입력!$AH10:$HD10,응답입력!$AH$3:$HD$3,"L09",응답입력!$AH10:$HD10,"&lt;9")/COUNTIFS(응답입력!$AH$3:$HD$3,"L09",응답입력!$AH10:$HD10,"&lt;9"),"")</f>
        <v/>
      </c>
      <c r="K9" s="35" t="str">
        <f aca="false">IF(COUNTIFS(응답입력!$AH$3:$HD$3,"L10",응답입력!$AH10:$HD10,"&lt;9")&gt;=3,SUMIFS(응답입력!$AH10:$HD10,응답입력!$AH$3:$HD$3,"L10",응답입력!$AH10:$HD10,"&lt;9")/COUNTIFS(응답입력!$AH$3:$HD$3,"L10",응답입력!$AH10:$HD10,"&lt;9"),"")</f>
        <v/>
      </c>
      <c r="L9" s="35" t="str">
        <f aca="false">IF(COUNTIFS(응답입력!$AH$3:$HD$3,"L11",응답입력!$AH10:$HD10,"&lt;9")&gt;=3,SUMIFS(응답입력!$AH10:$HD10,응답입력!$AH$3:$HD$3,"L11",응답입력!$AH10:$HD10,"&lt;9")/COUNTIFS(응답입력!$AH$3:$HD$3,"L11",응답입력!$AH10:$HD10,"&lt;9"),"")</f>
        <v/>
      </c>
      <c r="M9" s="35" t="str">
        <f aca="false">IF(COUNTIFS(응답입력!$AH$3:$HD$3,"L12",응답입력!$AH10:$HD10,"&lt;9")&gt;=3,SUMIFS(응답입력!$AH10:$HD10,응답입력!$AH$3:$HD$3,"L12",응답입력!$AH10:$HD10,"&lt;9")/COUNTIFS(응답입력!$AH$3:$HD$3,"L12",응답입력!$AH10:$HD10,"&lt;9"),"")</f>
        <v/>
      </c>
      <c r="N9" s="35" t="str">
        <f aca="false">IF(COUNTIFS(응답입력!$AH$3:$HD$3,"L13",응답입력!$AH10:$HD10,"&lt;9")&gt;=3,SUMIFS(응답입력!$AH10:$HD10,응답입력!$AH$3:$HD$3,"L13",응답입력!$AH10:$HD10,"&lt;9")/COUNTIFS(응답입력!$AH$3:$HD$3,"L13",응답입력!$AH10:$HD10,"&lt;9"),"")</f>
        <v/>
      </c>
      <c r="O9" s="35" t="str">
        <f aca="false">IF(COUNTIFS(응답입력!$AH$3:$HD$3,"L14",응답입력!$AH10:$HD10,"&lt;9")&gt;=3,SUMIFS(응답입력!$AH10:$HD10,응답입력!$AH$3:$HD$3,"L14",응답입력!$AH10:$HD10,"&lt;9")/COUNTIFS(응답입력!$AH$3:$HD$3,"L14",응답입력!$AH10:$HD10,"&lt;9"),"")</f>
        <v/>
      </c>
      <c r="P9" s="35" t="str">
        <f aca="false">IF(COUNTIFS(응답입력!$AH$3:$HD$3,"L15",응답입력!$AH10:$HD10,"&lt;9")&gt;=3,SUMIFS(응답입력!$AH10:$HD10,응답입력!$AH$3:$HD$3,"L15",응답입력!$AH10:$HD10,"&lt;9")/COUNTIFS(응답입력!$AH$3:$HD$3,"L15",응답입력!$AH10:$HD10,"&lt;9"),"")</f>
        <v/>
      </c>
      <c r="Q9" s="35" t="str">
        <f aca="false">IF(COUNTIFS(응답입력!$AH$3:$HD$3,"L16",응답입력!$AH10:$HD10,"&lt;9")&gt;=3,SUMIFS(응답입력!$AH10:$HD10,응답입력!$AH$3:$HD$3,"L16",응답입력!$AH10:$HD10,"&lt;9")/COUNTIFS(응답입력!$AH$3:$HD$3,"L16",응답입력!$AH10:$HD10,"&lt;9"),"")</f>
        <v/>
      </c>
      <c r="R9" s="35" t="str">
        <f aca="false">IF(COUNTIFS(응답입력!$AH$3:$HD$3,"L17",응답입력!$AH10:$HD10,"&lt;9")&gt;=3,SUMIFS(응답입력!$AH10:$HD10,응답입력!$AH$3:$HD$3,"L17",응답입력!$AH10:$HD10,"&lt;9")/COUNTIFS(응답입력!$AH$3:$HD$3,"L17",응답입력!$AH10:$HD10,"&lt;9"),"")</f>
        <v/>
      </c>
      <c r="S9" s="35" t="str">
        <f aca="false">IF(COUNTIFS(응답입력!$AH$3:$HD$3,"L18",응답입력!$AH10:$HD10,"&lt;9")&gt;=3,SUMIFS(응답입력!$AH10:$HD10,응답입력!$AH$3:$HD$3,"L18",응답입력!$AH10:$HD10,"&lt;9")/COUNTIFS(응답입력!$AH$3:$HD$3,"L18",응답입력!$AH10:$HD10,"&lt;9"),"")</f>
        <v/>
      </c>
      <c r="T9" s="35" t="str">
        <f aca="false">IF(COUNTIFS(응답입력!$AH$3:$HD$3,"L19",응답입력!$AH10:$HD10,"&lt;9")&gt;=3,SUMIFS(응답입력!$AH10:$HD10,응답입력!$AH$3:$HD$3,"L19",응답입력!$AH10:$HD10,"&lt;9")/COUNTIFS(응답입력!$AH$3:$HD$3,"L19",응답입력!$AH10:$HD10,"&lt;9"),"")</f>
        <v/>
      </c>
      <c r="U9" s="35" t="str">
        <f aca="false">IF(COUNTIFS(응답입력!$AH$3:$HD$3,"L20",응답입력!$AH10:$HD10,"&lt;9")&gt;=3,SUMIFS(응답입력!$AH10:$HD10,응답입력!$AH$3:$HD$3,"L20",응답입력!$AH10:$HD10,"&lt;9")/COUNTIFS(응답입력!$AH$3:$HD$3,"L20",응답입력!$AH10:$HD10,"&lt;9"),"")</f>
        <v/>
      </c>
      <c r="V9" s="35" t="str">
        <f aca="false">IF(COUNTIFS(응답입력!$AH$3:$HD$3,"L21",응답입력!$AH10:$HD10,"&lt;9")&gt;=3,SUMIFS(응답입력!$AH10:$HD10,응답입력!$AH$3:$HD$3,"L21",응답입력!$AH10:$HD10,"&lt;9")/COUNTIFS(응답입력!$AH$3:$HD$3,"L21",응답입력!$AH10:$HD10,"&lt;9"),"")</f>
        <v/>
      </c>
      <c r="W9" s="35" t="str">
        <f aca="false">IF(COUNTIFS(응답입력!$AH$3:$HD$3,"L22",응답입력!$AH10:$HD10,"&lt;9")&gt;=3,SUMIFS(응답입력!$AH10:$HD10,응답입력!$AH$3:$HD$3,"L22",응답입력!$AH10:$HD10,"&lt;9")/COUNTIFS(응답입력!$AH$3:$HD$3,"L22",응답입력!$AH10:$HD10,"&lt;9"),"")</f>
        <v/>
      </c>
      <c r="X9" s="35" t="str">
        <f aca="false">IF(COUNTIFS(응답입력!$AH$3:$HD$3,"L23",응답입력!$AH10:$HD10,"&lt;9")&gt;=3,SUMIFS(응답입력!$AH10:$HD10,응답입력!$AH$3:$HD$3,"L23",응답입력!$AH10:$HD10,"&lt;9")/COUNTIFS(응답입력!$AH$3:$HD$3,"L23",응답입력!$AH10:$HD10,"&lt;9"),"")</f>
        <v/>
      </c>
      <c r="Y9" s="35" t="str">
        <f aca="false">IF(COUNTIFS(응답입력!$AH$3:$HD$3,"L24",응답입력!$AH10:$HD10,"&lt;9")&gt;=3,SUMIFS(응답입력!$AH10:$HD10,응답입력!$AH$3:$HD$3,"L24",응답입력!$AH10:$HD10,"&lt;9")/COUNTIFS(응답입력!$AH$3:$HD$3,"L24",응답입력!$AH10:$HD10,"&lt;9"),"")</f>
        <v/>
      </c>
      <c r="Z9" s="35" t="str">
        <f aca="false">IF(COUNTIFS(응답입력!$AH$3:$HD$3,"L25",응답입력!$AH10:$HD10,"&lt;9")&gt;=3,SUMIFS(응답입력!$AH10:$HD10,응답입력!$AH$3:$HD$3,"L25",응답입력!$AH10:$HD10,"&lt;9")/COUNTIFS(응답입력!$AH$3:$HD$3,"L25",응답입력!$AH10:$HD10,"&lt;9"),"")</f>
        <v/>
      </c>
      <c r="AA9" s="35" t="str">
        <f aca="false">IF(COUNTIFS(응답입력!$AH$3:$HD$3,"L26",응답입력!$AH10:$HD10,"&lt;9")&gt;=3,SUMIFS(응답입력!$AH10:$HD10,응답입력!$AH$3:$HD$3,"L26",응답입력!$AH10:$HD10,"&lt;9")/COUNTIFS(응답입력!$AH$3:$HD$3,"L26",응답입력!$AH10:$HD10,"&lt;9"),"")</f>
        <v/>
      </c>
      <c r="AB9" s="35" t="str">
        <f aca="false">IF(COUNTIFS(응답입력!$AH$3:$HD$3,"L27",응답입력!$AH10:$HD10,"&lt;9")&gt;=3,SUMIFS(응답입력!$AH10:$HD10,응답입력!$AH$3:$HD$3,"L27",응답입력!$AH10:$HD10,"&lt;9")/COUNTIFS(응답입력!$AH$3:$HD$3,"L27",응답입력!$AH10:$HD10,"&lt;9"),"")</f>
        <v/>
      </c>
      <c r="AC9" s="35" t="str">
        <f aca="false">IF(COUNTIFS(응답입력!$AH$3:$HD$3,"L28",응답입력!$AH10:$HD10,"&lt;9")&gt;=3,SUMIFS(응답입력!$AH10:$HD10,응답입력!$AH$3:$HD$3,"L28",응답입력!$AH10:$HD10,"&lt;9")/COUNTIFS(응답입력!$AH$3:$HD$3,"L28",응답입력!$AH10:$HD10,"&lt;9"),"")</f>
        <v/>
      </c>
      <c r="AD9" s="35" t="str">
        <f aca="false">IF(COUNTIFS(응답입력!$AH$3:$HD$3,"L29",응답입력!$AH10:$HD10,"&lt;9")&gt;=3,SUMIFS(응답입력!$AH10:$HD10,응답입력!$AH$3:$HD$3,"L29",응답입력!$AH10:$HD10,"&lt;9")/COUNTIFS(응답입력!$AH$3:$HD$3,"L29",응답입력!$AH10:$HD10,"&lt;9"),"")</f>
        <v/>
      </c>
      <c r="AE9" s="35" t="str">
        <f aca="false">IF(COUNTIFS(응답입력!$AH$3:$HD$3,"L30",응답입력!$AH10:$HD10,"&lt;9")&gt;=3,SUMIFS(응답입력!$AH10:$HD10,응답입력!$AH$3:$HD$3,"L30",응답입력!$AH10:$HD10,"&lt;9")/COUNTIFS(응답입력!$AH$3:$HD$3,"L30",응답입력!$AH10:$HD10,"&lt;9"),"")</f>
        <v/>
      </c>
      <c r="AF9" s="35" t="str">
        <f aca="false">IF(COUNTIFS(응답입력!$AH$3:$HD$3,"L31",응답입력!$AH10:$HD10,"&lt;9")&gt;=3,SUMIFS(응답입력!$AH10:$HD10,응답입력!$AH$3:$HD$3,"L31",응답입력!$AH10:$HD10,"&lt;9")/COUNTIFS(응답입력!$AH$3:$HD$3,"L31",응답입력!$AH10:$HD10,"&lt;9"),"")</f>
        <v/>
      </c>
      <c r="AG9" s="41" t="str">
        <f aca="false">IFERROR(AVERAGE(B9:AF9),"")</f>
        <v/>
      </c>
    </row>
    <row r="10" customFormat="false" ht="15" hidden="false" customHeight="false" outlineLevel="0" collapsed="false">
      <c r="A10" s="27" t="str">
        <f aca="false">IF(응답입력!A11="","",응답입력!A11)</f>
        <v/>
      </c>
      <c r="B10" s="35" t="str">
        <f aca="false">IF(COUNTIFS(응답입력!$AH$3:$HD$3,"L01",응답입력!$AH11:$HD11,"&lt;9")&gt;=3,SUMIFS(응답입력!$AH11:$HD11,응답입력!$AH$3:$HD$3,"L01",응답입력!$AH11:$HD11,"&lt;9")/COUNTIFS(응답입력!$AH$3:$HD$3,"L01",응답입력!$AH11:$HD11,"&lt;9"),"")</f>
        <v/>
      </c>
      <c r="C10" s="35" t="str">
        <f aca="false">IF(COUNTIFS(응답입력!$AH$3:$HD$3,"L02",응답입력!$AH11:$HD11,"&lt;9")&gt;=3,SUMIFS(응답입력!$AH11:$HD11,응답입력!$AH$3:$HD$3,"L02",응답입력!$AH11:$HD11,"&lt;9")/COUNTIFS(응답입력!$AH$3:$HD$3,"L02",응답입력!$AH11:$HD11,"&lt;9"),"")</f>
        <v/>
      </c>
      <c r="D10" s="35" t="str">
        <f aca="false">IF(COUNTIFS(응답입력!$AH$3:$HD$3,"L03",응답입력!$AH11:$HD11,"&lt;9")&gt;=3,SUMIFS(응답입력!$AH11:$HD11,응답입력!$AH$3:$HD$3,"L03",응답입력!$AH11:$HD11,"&lt;9")/COUNTIFS(응답입력!$AH$3:$HD$3,"L03",응답입력!$AH11:$HD11,"&lt;9"),"")</f>
        <v/>
      </c>
      <c r="E10" s="35" t="str">
        <f aca="false">IF(COUNTIFS(응답입력!$AH$3:$HD$3,"L04",응답입력!$AH11:$HD11,"&lt;9")&gt;=3,SUMIFS(응답입력!$AH11:$HD11,응답입력!$AH$3:$HD$3,"L04",응답입력!$AH11:$HD11,"&lt;9")/COUNTIFS(응답입력!$AH$3:$HD$3,"L04",응답입력!$AH11:$HD11,"&lt;9"),"")</f>
        <v/>
      </c>
      <c r="F10" s="35" t="str">
        <f aca="false">IF(COUNTIFS(응답입력!$AH$3:$HD$3,"L05",응답입력!$AH11:$HD11,"&lt;9")&gt;=3,SUMIFS(응답입력!$AH11:$HD11,응답입력!$AH$3:$HD$3,"L05",응답입력!$AH11:$HD11,"&lt;9")/COUNTIFS(응답입력!$AH$3:$HD$3,"L05",응답입력!$AH11:$HD11,"&lt;9"),"")</f>
        <v/>
      </c>
      <c r="G10" s="35" t="str">
        <f aca="false">IF(COUNTIFS(응답입력!$AH$3:$HD$3,"L06",응답입력!$AH11:$HD11,"&lt;9")&gt;=3,SUMIFS(응답입력!$AH11:$HD11,응답입력!$AH$3:$HD$3,"L06",응답입력!$AH11:$HD11,"&lt;9")/COUNTIFS(응답입력!$AH$3:$HD$3,"L06",응답입력!$AH11:$HD11,"&lt;9"),"")</f>
        <v/>
      </c>
      <c r="H10" s="35" t="str">
        <f aca="false">IF(COUNTIFS(응답입력!$AH$3:$HD$3,"L07",응답입력!$AH11:$HD11,"&lt;9")&gt;=3,SUMIFS(응답입력!$AH11:$HD11,응답입력!$AH$3:$HD$3,"L07",응답입력!$AH11:$HD11,"&lt;9")/COUNTIFS(응답입력!$AH$3:$HD$3,"L07",응답입력!$AH11:$HD11,"&lt;9"),"")</f>
        <v/>
      </c>
      <c r="I10" s="35" t="str">
        <f aca="false">IF(COUNTIFS(응답입력!$AH$3:$HD$3,"L08",응답입력!$AH11:$HD11,"&lt;9")&gt;=3,SUMIFS(응답입력!$AH11:$HD11,응답입력!$AH$3:$HD$3,"L08",응답입력!$AH11:$HD11,"&lt;9")/COUNTIFS(응답입력!$AH$3:$HD$3,"L08",응답입력!$AH11:$HD11,"&lt;9"),"")</f>
        <v/>
      </c>
      <c r="J10" s="35" t="str">
        <f aca="false">IF(COUNTIFS(응답입력!$AH$3:$HD$3,"L09",응답입력!$AH11:$HD11,"&lt;9")&gt;=3,SUMIFS(응답입력!$AH11:$HD11,응답입력!$AH$3:$HD$3,"L09",응답입력!$AH11:$HD11,"&lt;9")/COUNTIFS(응답입력!$AH$3:$HD$3,"L09",응답입력!$AH11:$HD11,"&lt;9"),"")</f>
        <v/>
      </c>
      <c r="K10" s="35" t="str">
        <f aca="false">IF(COUNTIFS(응답입력!$AH$3:$HD$3,"L10",응답입력!$AH11:$HD11,"&lt;9")&gt;=3,SUMIFS(응답입력!$AH11:$HD11,응답입력!$AH$3:$HD$3,"L10",응답입력!$AH11:$HD11,"&lt;9")/COUNTIFS(응답입력!$AH$3:$HD$3,"L10",응답입력!$AH11:$HD11,"&lt;9"),"")</f>
        <v/>
      </c>
      <c r="L10" s="35" t="str">
        <f aca="false">IF(COUNTIFS(응답입력!$AH$3:$HD$3,"L11",응답입력!$AH11:$HD11,"&lt;9")&gt;=3,SUMIFS(응답입력!$AH11:$HD11,응답입력!$AH$3:$HD$3,"L11",응답입력!$AH11:$HD11,"&lt;9")/COUNTIFS(응답입력!$AH$3:$HD$3,"L11",응답입력!$AH11:$HD11,"&lt;9"),"")</f>
        <v/>
      </c>
      <c r="M10" s="35" t="str">
        <f aca="false">IF(COUNTIFS(응답입력!$AH$3:$HD$3,"L12",응답입력!$AH11:$HD11,"&lt;9")&gt;=3,SUMIFS(응답입력!$AH11:$HD11,응답입력!$AH$3:$HD$3,"L12",응답입력!$AH11:$HD11,"&lt;9")/COUNTIFS(응답입력!$AH$3:$HD$3,"L12",응답입력!$AH11:$HD11,"&lt;9"),"")</f>
        <v/>
      </c>
      <c r="N10" s="35" t="str">
        <f aca="false">IF(COUNTIFS(응답입력!$AH$3:$HD$3,"L13",응답입력!$AH11:$HD11,"&lt;9")&gt;=3,SUMIFS(응답입력!$AH11:$HD11,응답입력!$AH$3:$HD$3,"L13",응답입력!$AH11:$HD11,"&lt;9")/COUNTIFS(응답입력!$AH$3:$HD$3,"L13",응답입력!$AH11:$HD11,"&lt;9"),"")</f>
        <v/>
      </c>
      <c r="O10" s="35" t="str">
        <f aca="false">IF(COUNTIFS(응답입력!$AH$3:$HD$3,"L14",응답입력!$AH11:$HD11,"&lt;9")&gt;=3,SUMIFS(응답입력!$AH11:$HD11,응답입력!$AH$3:$HD$3,"L14",응답입력!$AH11:$HD11,"&lt;9")/COUNTIFS(응답입력!$AH$3:$HD$3,"L14",응답입력!$AH11:$HD11,"&lt;9"),"")</f>
        <v/>
      </c>
      <c r="P10" s="35" t="str">
        <f aca="false">IF(COUNTIFS(응답입력!$AH$3:$HD$3,"L15",응답입력!$AH11:$HD11,"&lt;9")&gt;=3,SUMIFS(응답입력!$AH11:$HD11,응답입력!$AH$3:$HD$3,"L15",응답입력!$AH11:$HD11,"&lt;9")/COUNTIFS(응답입력!$AH$3:$HD$3,"L15",응답입력!$AH11:$HD11,"&lt;9"),"")</f>
        <v/>
      </c>
      <c r="Q10" s="35" t="str">
        <f aca="false">IF(COUNTIFS(응답입력!$AH$3:$HD$3,"L16",응답입력!$AH11:$HD11,"&lt;9")&gt;=3,SUMIFS(응답입력!$AH11:$HD11,응답입력!$AH$3:$HD$3,"L16",응답입력!$AH11:$HD11,"&lt;9")/COUNTIFS(응답입력!$AH$3:$HD$3,"L16",응답입력!$AH11:$HD11,"&lt;9"),"")</f>
        <v/>
      </c>
      <c r="R10" s="35" t="str">
        <f aca="false">IF(COUNTIFS(응답입력!$AH$3:$HD$3,"L17",응답입력!$AH11:$HD11,"&lt;9")&gt;=3,SUMIFS(응답입력!$AH11:$HD11,응답입력!$AH$3:$HD$3,"L17",응답입력!$AH11:$HD11,"&lt;9")/COUNTIFS(응답입력!$AH$3:$HD$3,"L17",응답입력!$AH11:$HD11,"&lt;9"),"")</f>
        <v/>
      </c>
      <c r="S10" s="35" t="str">
        <f aca="false">IF(COUNTIFS(응답입력!$AH$3:$HD$3,"L18",응답입력!$AH11:$HD11,"&lt;9")&gt;=3,SUMIFS(응답입력!$AH11:$HD11,응답입력!$AH$3:$HD$3,"L18",응답입력!$AH11:$HD11,"&lt;9")/COUNTIFS(응답입력!$AH$3:$HD$3,"L18",응답입력!$AH11:$HD11,"&lt;9"),"")</f>
        <v/>
      </c>
      <c r="T10" s="35" t="str">
        <f aca="false">IF(COUNTIFS(응답입력!$AH$3:$HD$3,"L19",응답입력!$AH11:$HD11,"&lt;9")&gt;=3,SUMIFS(응답입력!$AH11:$HD11,응답입력!$AH$3:$HD$3,"L19",응답입력!$AH11:$HD11,"&lt;9")/COUNTIFS(응답입력!$AH$3:$HD$3,"L19",응답입력!$AH11:$HD11,"&lt;9"),"")</f>
        <v/>
      </c>
      <c r="U10" s="35" t="str">
        <f aca="false">IF(COUNTIFS(응답입력!$AH$3:$HD$3,"L20",응답입력!$AH11:$HD11,"&lt;9")&gt;=3,SUMIFS(응답입력!$AH11:$HD11,응답입력!$AH$3:$HD$3,"L20",응답입력!$AH11:$HD11,"&lt;9")/COUNTIFS(응답입력!$AH$3:$HD$3,"L20",응답입력!$AH11:$HD11,"&lt;9"),"")</f>
        <v/>
      </c>
      <c r="V10" s="35" t="str">
        <f aca="false">IF(COUNTIFS(응답입력!$AH$3:$HD$3,"L21",응답입력!$AH11:$HD11,"&lt;9")&gt;=3,SUMIFS(응답입력!$AH11:$HD11,응답입력!$AH$3:$HD$3,"L21",응답입력!$AH11:$HD11,"&lt;9")/COUNTIFS(응답입력!$AH$3:$HD$3,"L21",응답입력!$AH11:$HD11,"&lt;9"),"")</f>
        <v/>
      </c>
      <c r="W10" s="35" t="str">
        <f aca="false">IF(COUNTIFS(응답입력!$AH$3:$HD$3,"L22",응답입력!$AH11:$HD11,"&lt;9")&gt;=3,SUMIFS(응답입력!$AH11:$HD11,응답입력!$AH$3:$HD$3,"L22",응답입력!$AH11:$HD11,"&lt;9")/COUNTIFS(응답입력!$AH$3:$HD$3,"L22",응답입력!$AH11:$HD11,"&lt;9"),"")</f>
        <v/>
      </c>
      <c r="X10" s="35" t="str">
        <f aca="false">IF(COUNTIFS(응답입력!$AH$3:$HD$3,"L23",응답입력!$AH11:$HD11,"&lt;9")&gt;=3,SUMIFS(응답입력!$AH11:$HD11,응답입력!$AH$3:$HD$3,"L23",응답입력!$AH11:$HD11,"&lt;9")/COUNTIFS(응답입력!$AH$3:$HD$3,"L23",응답입력!$AH11:$HD11,"&lt;9"),"")</f>
        <v/>
      </c>
      <c r="Y10" s="35" t="str">
        <f aca="false">IF(COUNTIFS(응답입력!$AH$3:$HD$3,"L24",응답입력!$AH11:$HD11,"&lt;9")&gt;=3,SUMIFS(응답입력!$AH11:$HD11,응답입력!$AH$3:$HD$3,"L24",응답입력!$AH11:$HD11,"&lt;9")/COUNTIFS(응답입력!$AH$3:$HD$3,"L24",응답입력!$AH11:$HD11,"&lt;9"),"")</f>
        <v/>
      </c>
      <c r="Z10" s="35" t="str">
        <f aca="false">IF(COUNTIFS(응답입력!$AH$3:$HD$3,"L25",응답입력!$AH11:$HD11,"&lt;9")&gt;=3,SUMIFS(응답입력!$AH11:$HD11,응답입력!$AH$3:$HD$3,"L25",응답입력!$AH11:$HD11,"&lt;9")/COUNTIFS(응답입력!$AH$3:$HD$3,"L25",응답입력!$AH11:$HD11,"&lt;9"),"")</f>
        <v/>
      </c>
      <c r="AA10" s="35" t="str">
        <f aca="false">IF(COUNTIFS(응답입력!$AH$3:$HD$3,"L26",응답입력!$AH11:$HD11,"&lt;9")&gt;=3,SUMIFS(응답입력!$AH11:$HD11,응답입력!$AH$3:$HD$3,"L26",응답입력!$AH11:$HD11,"&lt;9")/COUNTIFS(응답입력!$AH$3:$HD$3,"L26",응답입력!$AH11:$HD11,"&lt;9"),"")</f>
        <v/>
      </c>
      <c r="AB10" s="35" t="str">
        <f aca="false">IF(COUNTIFS(응답입력!$AH$3:$HD$3,"L27",응답입력!$AH11:$HD11,"&lt;9")&gt;=3,SUMIFS(응답입력!$AH11:$HD11,응답입력!$AH$3:$HD$3,"L27",응답입력!$AH11:$HD11,"&lt;9")/COUNTIFS(응답입력!$AH$3:$HD$3,"L27",응답입력!$AH11:$HD11,"&lt;9"),"")</f>
        <v/>
      </c>
      <c r="AC10" s="35" t="str">
        <f aca="false">IF(COUNTIFS(응답입력!$AH$3:$HD$3,"L28",응답입력!$AH11:$HD11,"&lt;9")&gt;=3,SUMIFS(응답입력!$AH11:$HD11,응답입력!$AH$3:$HD$3,"L28",응답입력!$AH11:$HD11,"&lt;9")/COUNTIFS(응답입력!$AH$3:$HD$3,"L28",응답입력!$AH11:$HD11,"&lt;9"),"")</f>
        <v/>
      </c>
      <c r="AD10" s="35" t="str">
        <f aca="false">IF(COUNTIFS(응답입력!$AH$3:$HD$3,"L29",응답입력!$AH11:$HD11,"&lt;9")&gt;=3,SUMIFS(응답입력!$AH11:$HD11,응답입력!$AH$3:$HD$3,"L29",응답입력!$AH11:$HD11,"&lt;9")/COUNTIFS(응답입력!$AH$3:$HD$3,"L29",응답입력!$AH11:$HD11,"&lt;9"),"")</f>
        <v/>
      </c>
      <c r="AE10" s="35" t="str">
        <f aca="false">IF(COUNTIFS(응답입력!$AH$3:$HD$3,"L30",응답입력!$AH11:$HD11,"&lt;9")&gt;=3,SUMIFS(응답입력!$AH11:$HD11,응답입력!$AH$3:$HD$3,"L30",응답입력!$AH11:$HD11,"&lt;9")/COUNTIFS(응답입력!$AH$3:$HD$3,"L30",응답입력!$AH11:$HD11,"&lt;9"),"")</f>
        <v/>
      </c>
      <c r="AF10" s="35" t="str">
        <f aca="false">IF(COUNTIFS(응답입력!$AH$3:$HD$3,"L31",응답입력!$AH11:$HD11,"&lt;9")&gt;=3,SUMIFS(응답입력!$AH11:$HD11,응답입력!$AH$3:$HD$3,"L31",응답입력!$AH11:$HD11,"&lt;9")/COUNTIFS(응답입력!$AH$3:$HD$3,"L31",응답입력!$AH11:$HD11,"&lt;9"),"")</f>
        <v/>
      </c>
      <c r="AG10" s="41" t="str">
        <f aca="false">IFERROR(AVERAGE(B10:AF10),"")</f>
        <v/>
      </c>
    </row>
    <row r="11" customFormat="false" ht="15" hidden="false" customHeight="false" outlineLevel="0" collapsed="false">
      <c r="A11" s="27" t="str">
        <f aca="false">IF(응답입력!A12="","",응답입력!A12)</f>
        <v/>
      </c>
      <c r="B11" s="35" t="str">
        <f aca="false">IF(COUNTIFS(응답입력!$AH$3:$HD$3,"L01",응답입력!$AH12:$HD12,"&lt;9")&gt;=3,SUMIFS(응답입력!$AH12:$HD12,응답입력!$AH$3:$HD$3,"L01",응답입력!$AH12:$HD12,"&lt;9")/COUNTIFS(응답입력!$AH$3:$HD$3,"L01",응답입력!$AH12:$HD12,"&lt;9"),"")</f>
        <v/>
      </c>
      <c r="C11" s="35" t="str">
        <f aca="false">IF(COUNTIFS(응답입력!$AH$3:$HD$3,"L02",응답입력!$AH12:$HD12,"&lt;9")&gt;=3,SUMIFS(응답입력!$AH12:$HD12,응답입력!$AH$3:$HD$3,"L02",응답입력!$AH12:$HD12,"&lt;9")/COUNTIFS(응답입력!$AH$3:$HD$3,"L02",응답입력!$AH12:$HD12,"&lt;9"),"")</f>
        <v/>
      </c>
      <c r="D11" s="35" t="str">
        <f aca="false">IF(COUNTIFS(응답입력!$AH$3:$HD$3,"L03",응답입력!$AH12:$HD12,"&lt;9")&gt;=3,SUMIFS(응답입력!$AH12:$HD12,응답입력!$AH$3:$HD$3,"L03",응답입력!$AH12:$HD12,"&lt;9")/COUNTIFS(응답입력!$AH$3:$HD$3,"L03",응답입력!$AH12:$HD12,"&lt;9"),"")</f>
        <v/>
      </c>
      <c r="E11" s="35" t="str">
        <f aca="false">IF(COUNTIFS(응답입력!$AH$3:$HD$3,"L04",응답입력!$AH12:$HD12,"&lt;9")&gt;=3,SUMIFS(응답입력!$AH12:$HD12,응답입력!$AH$3:$HD$3,"L04",응답입력!$AH12:$HD12,"&lt;9")/COUNTIFS(응답입력!$AH$3:$HD$3,"L04",응답입력!$AH12:$HD12,"&lt;9"),"")</f>
        <v/>
      </c>
      <c r="F11" s="35" t="str">
        <f aca="false">IF(COUNTIFS(응답입력!$AH$3:$HD$3,"L05",응답입력!$AH12:$HD12,"&lt;9")&gt;=3,SUMIFS(응답입력!$AH12:$HD12,응답입력!$AH$3:$HD$3,"L05",응답입력!$AH12:$HD12,"&lt;9")/COUNTIFS(응답입력!$AH$3:$HD$3,"L05",응답입력!$AH12:$HD12,"&lt;9"),"")</f>
        <v/>
      </c>
      <c r="G11" s="35" t="str">
        <f aca="false">IF(COUNTIFS(응답입력!$AH$3:$HD$3,"L06",응답입력!$AH12:$HD12,"&lt;9")&gt;=3,SUMIFS(응답입력!$AH12:$HD12,응답입력!$AH$3:$HD$3,"L06",응답입력!$AH12:$HD12,"&lt;9")/COUNTIFS(응답입력!$AH$3:$HD$3,"L06",응답입력!$AH12:$HD12,"&lt;9"),"")</f>
        <v/>
      </c>
      <c r="H11" s="35" t="str">
        <f aca="false">IF(COUNTIFS(응답입력!$AH$3:$HD$3,"L07",응답입력!$AH12:$HD12,"&lt;9")&gt;=3,SUMIFS(응답입력!$AH12:$HD12,응답입력!$AH$3:$HD$3,"L07",응답입력!$AH12:$HD12,"&lt;9")/COUNTIFS(응답입력!$AH$3:$HD$3,"L07",응답입력!$AH12:$HD12,"&lt;9"),"")</f>
        <v/>
      </c>
      <c r="I11" s="35" t="str">
        <f aca="false">IF(COUNTIFS(응답입력!$AH$3:$HD$3,"L08",응답입력!$AH12:$HD12,"&lt;9")&gt;=3,SUMIFS(응답입력!$AH12:$HD12,응답입력!$AH$3:$HD$3,"L08",응답입력!$AH12:$HD12,"&lt;9")/COUNTIFS(응답입력!$AH$3:$HD$3,"L08",응답입력!$AH12:$HD12,"&lt;9"),"")</f>
        <v/>
      </c>
      <c r="J11" s="35" t="str">
        <f aca="false">IF(COUNTIFS(응답입력!$AH$3:$HD$3,"L09",응답입력!$AH12:$HD12,"&lt;9")&gt;=3,SUMIFS(응답입력!$AH12:$HD12,응답입력!$AH$3:$HD$3,"L09",응답입력!$AH12:$HD12,"&lt;9")/COUNTIFS(응답입력!$AH$3:$HD$3,"L09",응답입력!$AH12:$HD12,"&lt;9"),"")</f>
        <v/>
      </c>
      <c r="K11" s="35" t="str">
        <f aca="false">IF(COUNTIFS(응답입력!$AH$3:$HD$3,"L10",응답입력!$AH12:$HD12,"&lt;9")&gt;=3,SUMIFS(응답입력!$AH12:$HD12,응답입력!$AH$3:$HD$3,"L10",응답입력!$AH12:$HD12,"&lt;9")/COUNTIFS(응답입력!$AH$3:$HD$3,"L10",응답입력!$AH12:$HD12,"&lt;9"),"")</f>
        <v/>
      </c>
      <c r="L11" s="35" t="str">
        <f aca="false">IF(COUNTIFS(응답입력!$AH$3:$HD$3,"L11",응답입력!$AH12:$HD12,"&lt;9")&gt;=3,SUMIFS(응답입력!$AH12:$HD12,응답입력!$AH$3:$HD$3,"L11",응답입력!$AH12:$HD12,"&lt;9")/COUNTIFS(응답입력!$AH$3:$HD$3,"L11",응답입력!$AH12:$HD12,"&lt;9"),"")</f>
        <v/>
      </c>
      <c r="M11" s="35" t="str">
        <f aca="false">IF(COUNTIFS(응답입력!$AH$3:$HD$3,"L12",응답입력!$AH12:$HD12,"&lt;9")&gt;=3,SUMIFS(응답입력!$AH12:$HD12,응답입력!$AH$3:$HD$3,"L12",응답입력!$AH12:$HD12,"&lt;9")/COUNTIFS(응답입력!$AH$3:$HD$3,"L12",응답입력!$AH12:$HD12,"&lt;9"),"")</f>
        <v/>
      </c>
      <c r="N11" s="35" t="str">
        <f aca="false">IF(COUNTIFS(응답입력!$AH$3:$HD$3,"L13",응답입력!$AH12:$HD12,"&lt;9")&gt;=3,SUMIFS(응답입력!$AH12:$HD12,응답입력!$AH$3:$HD$3,"L13",응답입력!$AH12:$HD12,"&lt;9")/COUNTIFS(응답입력!$AH$3:$HD$3,"L13",응답입력!$AH12:$HD12,"&lt;9"),"")</f>
        <v/>
      </c>
      <c r="O11" s="35" t="str">
        <f aca="false">IF(COUNTIFS(응답입력!$AH$3:$HD$3,"L14",응답입력!$AH12:$HD12,"&lt;9")&gt;=3,SUMIFS(응답입력!$AH12:$HD12,응답입력!$AH$3:$HD$3,"L14",응답입력!$AH12:$HD12,"&lt;9")/COUNTIFS(응답입력!$AH$3:$HD$3,"L14",응답입력!$AH12:$HD12,"&lt;9"),"")</f>
        <v/>
      </c>
      <c r="P11" s="35" t="str">
        <f aca="false">IF(COUNTIFS(응답입력!$AH$3:$HD$3,"L15",응답입력!$AH12:$HD12,"&lt;9")&gt;=3,SUMIFS(응답입력!$AH12:$HD12,응답입력!$AH$3:$HD$3,"L15",응답입력!$AH12:$HD12,"&lt;9")/COUNTIFS(응답입력!$AH$3:$HD$3,"L15",응답입력!$AH12:$HD12,"&lt;9"),"")</f>
        <v/>
      </c>
      <c r="Q11" s="35" t="str">
        <f aca="false">IF(COUNTIFS(응답입력!$AH$3:$HD$3,"L16",응답입력!$AH12:$HD12,"&lt;9")&gt;=3,SUMIFS(응답입력!$AH12:$HD12,응답입력!$AH$3:$HD$3,"L16",응답입력!$AH12:$HD12,"&lt;9")/COUNTIFS(응답입력!$AH$3:$HD$3,"L16",응답입력!$AH12:$HD12,"&lt;9"),"")</f>
        <v/>
      </c>
      <c r="R11" s="35" t="str">
        <f aca="false">IF(COUNTIFS(응답입력!$AH$3:$HD$3,"L17",응답입력!$AH12:$HD12,"&lt;9")&gt;=3,SUMIFS(응답입력!$AH12:$HD12,응답입력!$AH$3:$HD$3,"L17",응답입력!$AH12:$HD12,"&lt;9")/COUNTIFS(응답입력!$AH$3:$HD$3,"L17",응답입력!$AH12:$HD12,"&lt;9"),"")</f>
        <v/>
      </c>
      <c r="S11" s="35" t="str">
        <f aca="false">IF(COUNTIFS(응답입력!$AH$3:$HD$3,"L18",응답입력!$AH12:$HD12,"&lt;9")&gt;=3,SUMIFS(응답입력!$AH12:$HD12,응답입력!$AH$3:$HD$3,"L18",응답입력!$AH12:$HD12,"&lt;9")/COUNTIFS(응답입력!$AH$3:$HD$3,"L18",응답입력!$AH12:$HD12,"&lt;9"),"")</f>
        <v/>
      </c>
      <c r="T11" s="35" t="str">
        <f aca="false">IF(COUNTIFS(응답입력!$AH$3:$HD$3,"L19",응답입력!$AH12:$HD12,"&lt;9")&gt;=3,SUMIFS(응답입력!$AH12:$HD12,응답입력!$AH$3:$HD$3,"L19",응답입력!$AH12:$HD12,"&lt;9")/COUNTIFS(응답입력!$AH$3:$HD$3,"L19",응답입력!$AH12:$HD12,"&lt;9"),"")</f>
        <v/>
      </c>
      <c r="U11" s="35" t="str">
        <f aca="false">IF(COUNTIFS(응답입력!$AH$3:$HD$3,"L20",응답입력!$AH12:$HD12,"&lt;9")&gt;=3,SUMIFS(응답입력!$AH12:$HD12,응답입력!$AH$3:$HD$3,"L20",응답입력!$AH12:$HD12,"&lt;9")/COUNTIFS(응답입력!$AH$3:$HD$3,"L20",응답입력!$AH12:$HD12,"&lt;9"),"")</f>
        <v/>
      </c>
      <c r="V11" s="35" t="str">
        <f aca="false">IF(COUNTIFS(응답입력!$AH$3:$HD$3,"L21",응답입력!$AH12:$HD12,"&lt;9")&gt;=3,SUMIFS(응답입력!$AH12:$HD12,응답입력!$AH$3:$HD$3,"L21",응답입력!$AH12:$HD12,"&lt;9")/COUNTIFS(응답입력!$AH$3:$HD$3,"L21",응답입력!$AH12:$HD12,"&lt;9"),"")</f>
        <v/>
      </c>
      <c r="W11" s="35" t="str">
        <f aca="false">IF(COUNTIFS(응답입력!$AH$3:$HD$3,"L22",응답입력!$AH12:$HD12,"&lt;9")&gt;=3,SUMIFS(응답입력!$AH12:$HD12,응답입력!$AH$3:$HD$3,"L22",응답입력!$AH12:$HD12,"&lt;9")/COUNTIFS(응답입력!$AH$3:$HD$3,"L22",응답입력!$AH12:$HD12,"&lt;9"),"")</f>
        <v/>
      </c>
      <c r="X11" s="35" t="str">
        <f aca="false">IF(COUNTIFS(응답입력!$AH$3:$HD$3,"L23",응답입력!$AH12:$HD12,"&lt;9")&gt;=3,SUMIFS(응답입력!$AH12:$HD12,응답입력!$AH$3:$HD$3,"L23",응답입력!$AH12:$HD12,"&lt;9")/COUNTIFS(응답입력!$AH$3:$HD$3,"L23",응답입력!$AH12:$HD12,"&lt;9"),"")</f>
        <v/>
      </c>
      <c r="Y11" s="35" t="str">
        <f aca="false">IF(COUNTIFS(응답입력!$AH$3:$HD$3,"L24",응답입력!$AH12:$HD12,"&lt;9")&gt;=3,SUMIFS(응답입력!$AH12:$HD12,응답입력!$AH$3:$HD$3,"L24",응답입력!$AH12:$HD12,"&lt;9")/COUNTIFS(응답입력!$AH$3:$HD$3,"L24",응답입력!$AH12:$HD12,"&lt;9"),"")</f>
        <v/>
      </c>
      <c r="Z11" s="35" t="str">
        <f aca="false">IF(COUNTIFS(응답입력!$AH$3:$HD$3,"L25",응답입력!$AH12:$HD12,"&lt;9")&gt;=3,SUMIFS(응답입력!$AH12:$HD12,응답입력!$AH$3:$HD$3,"L25",응답입력!$AH12:$HD12,"&lt;9")/COUNTIFS(응답입력!$AH$3:$HD$3,"L25",응답입력!$AH12:$HD12,"&lt;9"),"")</f>
        <v/>
      </c>
      <c r="AA11" s="35" t="str">
        <f aca="false">IF(COUNTIFS(응답입력!$AH$3:$HD$3,"L26",응답입력!$AH12:$HD12,"&lt;9")&gt;=3,SUMIFS(응답입력!$AH12:$HD12,응답입력!$AH$3:$HD$3,"L26",응답입력!$AH12:$HD12,"&lt;9")/COUNTIFS(응답입력!$AH$3:$HD$3,"L26",응답입력!$AH12:$HD12,"&lt;9"),"")</f>
        <v/>
      </c>
      <c r="AB11" s="35" t="str">
        <f aca="false">IF(COUNTIFS(응답입력!$AH$3:$HD$3,"L27",응답입력!$AH12:$HD12,"&lt;9")&gt;=3,SUMIFS(응답입력!$AH12:$HD12,응답입력!$AH$3:$HD$3,"L27",응답입력!$AH12:$HD12,"&lt;9")/COUNTIFS(응답입력!$AH$3:$HD$3,"L27",응답입력!$AH12:$HD12,"&lt;9"),"")</f>
        <v/>
      </c>
      <c r="AC11" s="35" t="str">
        <f aca="false">IF(COUNTIFS(응답입력!$AH$3:$HD$3,"L28",응답입력!$AH12:$HD12,"&lt;9")&gt;=3,SUMIFS(응답입력!$AH12:$HD12,응답입력!$AH$3:$HD$3,"L28",응답입력!$AH12:$HD12,"&lt;9")/COUNTIFS(응답입력!$AH$3:$HD$3,"L28",응답입력!$AH12:$HD12,"&lt;9"),"")</f>
        <v/>
      </c>
      <c r="AD11" s="35" t="str">
        <f aca="false">IF(COUNTIFS(응답입력!$AH$3:$HD$3,"L29",응답입력!$AH12:$HD12,"&lt;9")&gt;=3,SUMIFS(응답입력!$AH12:$HD12,응답입력!$AH$3:$HD$3,"L29",응답입력!$AH12:$HD12,"&lt;9")/COUNTIFS(응답입력!$AH$3:$HD$3,"L29",응답입력!$AH12:$HD12,"&lt;9"),"")</f>
        <v/>
      </c>
      <c r="AE11" s="35" t="str">
        <f aca="false">IF(COUNTIFS(응답입력!$AH$3:$HD$3,"L30",응답입력!$AH12:$HD12,"&lt;9")&gt;=3,SUMIFS(응답입력!$AH12:$HD12,응답입력!$AH$3:$HD$3,"L30",응답입력!$AH12:$HD12,"&lt;9")/COUNTIFS(응답입력!$AH$3:$HD$3,"L30",응답입력!$AH12:$HD12,"&lt;9"),"")</f>
        <v/>
      </c>
      <c r="AF11" s="35" t="str">
        <f aca="false">IF(COUNTIFS(응답입력!$AH$3:$HD$3,"L31",응답입력!$AH12:$HD12,"&lt;9")&gt;=3,SUMIFS(응답입력!$AH12:$HD12,응답입력!$AH$3:$HD$3,"L31",응답입력!$AH12:$HD12,"&lt;9")/COUNTIFS(응답입력!$AH$3:$HD$3,"L31",응답입력!$AH12:$HD12,"&lt;9"),"")</f>
        <v/>
      </c>
      <c r="AG11" s="41" t="str">
        <f aca="false">IFERROR(AVERAGE(B11:AF11),"")</f>
        <v/>
      </c>
    </row>
    <row r="12" customFormat="false" ht="15" hidden="false" customHeight="false" outlineLevel="0" collapsed="false">
      <c r="A12" s="27" t="str">
        <f aca="false">IF(응답입력!A13="","",응답입력!A13)</f>
        <v/>
      </c>
      <c r="B12" s="35" t="str">
        <f aca="false">IF(COUNTIFS(응답입력!$AH$3:$HD$3,"L01",응답입력!$AH13:$HD13,"&lt;9")&gt;=3,SUMIFS(응답입력!$AH13:$HD13,응답입력!$AH$3:$HD$3,"L01",응답입력!$AH13:$HD13,"&lt;9")/COUNTIFS(응답입력!$AH$3:$HD$3,"L01",응답입력!$AH13:$HD13,"&lt;9"),"")</f>
        <v/>
      </c>
      <c r="C12" s="35" t="str">
        <f aca="false">IF(COUNTIFS(응답입력!$AH$3:$HD$3,"L02",응답입력!$AH13:$HD13,"&lt;9")&gt;=3,SUMIFS(응답입력!$AH13:$HD13,응답입력!$AH$3:$HD$3,"L02",응답입력!$AH13:$HD13,"&lt;9")/COUNTIFS(응답입력!$AH$3:$HD$3,"L02",응답입력!$AH13:$HD13,"&lt;9"),"")</f>
        <v/>
      </c>
      <c r="D12" s="35" t="str">
        <f aca="false">IF(COUNTIFS(응답입력!$AH$3:$HD$3,"L03",응답입력!$AH13:$HD13,"&lt;9")&gt;=3,SUMIFS(응답입력!$AH13:$HD13,응답입력!$AH$3:$HD$3,"L03",응답입력!$AH13:$HD13,"&lt;9")/COUNTIFS(응답입력!$AH$3:$HD$3,"L03",응답입력!$AH13:$HD13,"&lt;9"),"")</f>
        <v/>
      </c>
      <c r="E12" s="35" t="str">
        <f aca="false">IF(COUNTIFS(응답입력!$AH$3:$HD$3,"L04",응답입력!$AH13:$HD13,"&lt;9")&gt;=3,SUMIFS(응답입력!$AH13:$HD13,응답입력!$AH$3:$HD$3,"L04",응답입력!$AH13:$HD13,"&lt;9")/COUNTIFS(응답입력!$AH$3:$HD$3,"L04",응답입력!$AH13:$HD13,"&lt;9"),"")</f>
        <v/>
      </c>
      <c r="F12" s="35" t="str">
        <f aca="false">IF(COUNTIFS(응답입력!$AH$3:$HD$3,"L05",응답입력!$AH13:$HD13,"&lt;9")&gt;=3,SUMIFS(응답입력!$AH13:$HD13,응답입력!$AH$3:$HD$3,"L05",응답입력!$AH13:$HD13,"&lt;9")/COUNTIFS(응답입력!$AH$3:$HD$3,"L05",응답입력!$AH13:$HD13,"&lt;9"),"")</f>
        <v/>
      </c>
      <c r="G12" s="35" t="str">
        <f aca="false">IF(COUNTIFS(응답입력!$AH$3:$HD$3,"L06",응답입력!$AH13:$HD13,"&lt;9")&gt;=3,SUMIFS(응답입력!$AH13:$HD13,응답입력!$AH$3:$HD$3,"L06",응답입력!$AH13:$HD13,"&lt;9")/COUNTIFS(응답입력!$AH$3:$HD$3,"L06",응답입력!$AH13:$HD13,"&lt;9"),"")</f>
        <v/>
      </c>
      <c r="H12" s="35" t="str">
        <f aca="false">IF(COUNTIFS(응답입력!$AH$3:$HD$3,"L07",응답입력!$AH13:$HD13,"&lt;9")&gt;=3,SUMIFS(응답입력!$AH13:$HD13,응답입력!$AH$3:$HD$3,"L07",응답입력!$AH13:$HD13,"&lt;9")/COUNTIFS(응답입력!$AH$3:$HD$3,"L07",응답입력!$AH13:$HD13,"&lt;9"),"")</f>
        <v/>
      </c>
      <c r="I12" s="35" t="str">
        <f aca="false">IF(COUNTIFS(응답입력!$AH$3:$HD$3,"L08",응답입력!$AH13:$HD13,"&lt;9")&gt;=3,SUMIFS(응답입력!$AH13:$HD13,응답입력!$AH$3:$HD$3,"L08",응답입력!$AH13:$HD13,"&lt;9")/COUNTIFS(응답입력!$AH$3:$HD$3,"L08",응답입력!$AH13:$HD13,"&lt;9"),"")</f>
        <v/>
      </c>
      <c r="J12" s="35" t="str">
        <f aca="false">IF(COUNTIFS(응답입력!$AH$3:$HD$3,"L09",응답입력!$AH13:$HD13,"&lt;9")&gt;=3,SUMIFS(응답입력!$AH13:$HD13,응답입력!$AH$3:$HD$3,"L09",응답입력!$AH13:$HD13,"&lt;9")/COUNTIFS(응답입력!$AH$3:$HD$3,"L09",응답입력!$AH13:$HD13,"&lt;9"),"")</f>
        <v/>
      </c>
      <c r="K12" s="35" t="str">
        <f aca="false">IF(COUNTIFS(응답입력!$AH$3:$HD$3,"L10",응답입력!$AH13:$HD13,"&lt;9")&gt;=3,SUMIFS(응답입력!$AH13:$HD13,응답입력!$AH$3:$HD$3,"L10",응답입력!$AH13:$HD13,"&lt;9")/COUNTIFS(응답입력!$AH$3:$HD$3,"L10",응답입력!$AH13:$HD13,"&lt;9"),"")</f>
        <v/>
      </c>
      <c r="L12" s="35" t="str">
        <f aca="false">IF(COUNTIFS(응답입력!$AH$3:$HD$3,"L11",응답입력!$AH13:$HD13,"&lt;9")&gt;=3,SUMIFS(응답입력!$AH13:$HD13,응답입력!$AH$3:$HD$3,"L11",응답입력!$AH13:$HD13,"&lt;9")/COUNTIFS(응답입력!$AH$3:$HD$3,"L11",응답입력!$AH13:$HD13,"&lt;9"),"")</f>
        <v/>
      </c>
      <c r="M12" s="35" t="str">
        <f aca="false">IF(COUNTIFS(응답입력!$AH$3:$HD$3,"L12",응답입력!$AH13:$HD13,"&lt;9")&gt;=3,SUMIFS(응답입력!$AH13:$HD13,응답입력!$AH$3:$HD$3,"L12",응답입력!$AH13:$HD13,"&lt;9")/COUNTIFS(응답입력!$AH$3:$HD$3,"L12",응답입력!$AH13:$HD13,"&lt;9"),"")</f>
        <v/>
      </c>
      <c r="N12" s="35" t="str">
        <f aca="false">IF(COUNTIFS(응답입력!$AH$3:$HD$3,"L13",응답입력!$AH13:$HD13,"&lt;9")&gt;=3,SUMIFS(응답입력!$AH13:$HD13,응답입력!$AH$3:$HD$3,"L13",응답입력!$AH13:$HD13,"&lt;9")/COUNTIFS(응답입력!$AH$3:$HD$3,"L13",응답입력!$AH13:$HD13,"&lt;9"),"")</f>
        <v/>
      </c>
      <c r="O12" s="35" t="str">
        <f aca="false">IF(COUNTIFS(응답입력!$AH$3:$HD$3,"L14",응답입력!$AH13:$HD13,"&lt;9")&gt;=3,SUMIFS(응답입력!$AH13:$HD13,응답입력!$AH$3:$HD$3,"L14",응답입력!$AH13:$HD13,"&lt;9")/COUNTIFS(응답입력!$AH$3:$HD$3,"L14",응답입력!$AH13:$HD13,"&lt;9"),"")</f>
        <v/>
      </c>
      <c r="P12" s="35" t="str">
        <f aca="false">IF(COUNTIFS(응답입력!$AH$3:$HD$3,"L15",응답입력!$AH13:$HD13,"&lt;9")&gt;=3,SUMIFS(응답입력!$AH13:$HD13,응답입력!$AH$3:$HD$3,"L15",응답입력!$AH13:$HD13,"&lt;9")/COUNTIFS(응답입력!$AH$3:$HD$3,"L15",응답입력!$AH13:$HD13,"&lt;9"),"")</f>
        <v/>
      </c>
      <c r="Q12" s="35" t="str">
        <f aca="false">IF(COUNTIFS(응답입력!$AH$3:$HD$3,"L16",응답입력!$AH13:$HD13,"&lt;9")&gt;=3,SUMIFS(응답입력!$AH13:$HD13,응답입력!$AH$3:$HD$3,"L16",응답입력!$AH13:$HD13,"&lt;9")/COUNTIFS(응답입력!$AH$3:$HD$3,"L16",응답입력!$AH13:$HD13,"&lt;9"),"")</f>
        <v/>
      </c>
      <c r="R12" s="35" t="str">
        <f aca="false">IF(COUNTIFS(응답입력!$AH$3:$HD$3,"L17",응답입력!$AH13:$HD13,"&lt;9")&gt;=3,SUMIFS(응답입력!$AH13:$HD13,응답입력!$AH$3:$HD$3,"L17",응답입력!$AH13:$HD13,"&lt;9")/COUNTIFS(응답입력!$AH$3:$HD$3,"L17",응답입력!$AH13:$HD13,"&lt;9"),"")</f>
        <v/>
      </c>
      <c r="S12" s="35" t="str">
        <f aca="false">IF(COUNTIFS(응답입력!$AH$3:$HD$3,"L18",응답입력!$AH13:$HD13,"&lt;9")&gt;=3,SUMIFS(응답입력!$AH13:$HD13,응답입력!$AH$3:$HD$3,"L18",응답입력!$AH13:$HD13,"&lt;9")/COUNTIFS(응답입력!$AH$3:$HD$3,"L18",응답입력!$AH13:$HD13,"&lt;9"),"")</f>
        <v/>
      </c>
      <c r="T12" s="35" t="str">
        <f aca="false">IF(COUNTIFS(응답입력!$AH$3:$HD$3,"L19",응답입력!$AH13:$HD13,"&lt;9")&gt;=3,SUMIFS(응답입력!$AH13:$HD13,응답입력!$AH$3:$HD$3,"L19",응답입력!$AH13:$HD13,"&lt;9")/COUNTIFS(응답입력!$AH$3:$HD$3,"L19",응답입력!$AH13:$HD13,"&lt;9"),"")</f>
        <v/>
      </c>
      <c r="U12" s="35" t="str">
        <f aca="false">IF(COUNTIFS(응답입력!$AH$3:$HD$3,"L20",응답입력!$AH13:$HD13,"&lt;9")&gt;=3,SUMIFS(응답입력!$AH13:$HD13,응답입력!$AH$3:$HD$3,"L20",응답입력!$AH13:$HD13,"&lt;9")/COUNTIFS(응답입력!$AH$3:$HD$3,"L20",응답입력!$AH13:$HD13,"&lt;9"),"")</f>
        <v/>
      </c>
      <c r="V12" s="35" t="str">
        <f aca="false">IF(COUNTIFS(응답입력!$AH$3:$HD$3,"L21",응답입력!$AH13:$HD13,"&lt;9")&gt;=3,SUMIFS(응답입력!$AH13:$HD13,응답입력!$AH$3:$HD$3,"L21",응답입력!$AH13:$HD13,"&lt;9")/COUNTIFS(응답입력!$AH$3:$HD$3,"L21",응답입력!$AH13:$HD13,"&lt;9"),"")</f>
        <v/>
      </c>
      <c r="W12" s="35" t="str">
        <f aca="false">IF(COUNTIFS(응답입력!$AH$3:$HD$3,"L22",응답입력!$AH13:$HD13,"&lt;9")&gt;=3,SUMIFS(응답입력!$AH13:$HD13,응답입력!$AH$3:$HD$3,"L22",응답입력!$AH13:$HD13,"&lt;9")/COUNTIFS(응답입력!$AH$3:$HD$3,"L22",응답입력!$AH13:$HD13,"&lt;9"),"")</f>
        <v/>
      </c>
      <c r="X12" s="35" t="str">
        <f aca="false">IF(COUNTIFS(응답입력!$AH$3:$HD$3,"L23",응답입력!$AH13:$HD13,"&lt;9")&gt;=3,SUMIFS(응답입력!$AH13:$HD13,응답입력!$AH$3:$HD$3,"L23",응답입력!$AH13:$HD13,"&lt;9")/COUNTIFS(응답입력!$AH$3:$HD$3,"L23",응답입력!$AH13:$HD13,"&lt;9"),"")</f>
        <v/>
      </c>
      <c r="Y12" s="35" t="str">
        <f aca="false">IF(COUNTIFS(응답입력!$AH$3:$HD$3,"L24",응답입력!$AH13:$HD13,"&lt;9")&gt;=3,SUMIFS(응답입력!$AH13:$HD13,응답입력!$AH$3:$HD$3,"L24",응답입력!$AH13:$HD13,"&lt;9")/COUNTIFS(응답입력!$AH$3:$HD$3,"L24",응답입력!$AH13:$HD13,"&lt;9"),"")</f>
        <v/>
      </c>
      <c r="Z12" s="35" t="str">
        <f aca="false">IF(COUNTIFS(응답입력!$AH$3:$HD$3,"L25",응답입력!$AH13:$HD13,"&lt;9")&gt;=3,SUMIFS(응답입력!$AH13:$HD13,응답입력!$AH$3:$HD$3,"L25",응답입력!$AH13:$HD13,"&lt;9")/COUNTIFS(응답입력!$AH$3:$HD$3,"L25",응답입력!$AH13:$HD13,"&lt;9"),"")</f>
        <v/>
      </c>
      <c r="AA12" s="35" t="str">
        <f aca="false">IF(COUNTIFS(응답입력!$AH$3:$HD$3,"L26",응답입력!$AH13:$HD13,"&lt;9")&gt;=3,SUMIFS(응답입력!$AH13:$HD13,응답입력!$AH$3:$HD$3,"L26",응답입력!$AH13:$HD13,"&lt;9")/COUNTIFS(응답입력!$AH$3:$HD$3,"L26",응답입력!$AH13:$HD13,"&lt;9"),"")</f>
        <v/>
      </c>
      <c r="AB12" s="35" t="str">
        <f aca="false">IF(COUNTIFS(응답입력!$AH$3:$HD$3,"L27",응답입력!$AH13:$HD13,"&lt;9")&gt;=3,SUMIFS(응답입력!$AH13:$HD13,응답입력!$AH$3:$HD$3,"L27",응답입력!$AH13:$HD13,"&lt;9")/COUNTIFS(응답입력!$AH$3:$HD$3,"L27",응답입력!$AH13:$HD13,"&lt;9"),"")</f>
        <v/>
      </c>
      <c r="AC12" s="35" t="str">
        <f aca="false">IF(COUNTIFS(응답입력!$AH$3:$HD$3,"L28",응답입력!$AH13:$HD13,"&lt;9")&gt;=3,SUMIFS(응답입력!$AH13:$HD13,응답입력!$AH$3:$HD$3,"L28",응답입력!$AH13:$HD13,"&lt;9")/COUNTIFS(응답입력!$AH$3:$HD$3,"L28",응답입력!$AH13:$HD13,"&lt;9"),"")</f>
        <v/>
      </c>
      <c r="AD12" s="35" t="str">
        <f aca="false">IF(COUNTIFS(응답입력!$AH$3:$HD$3,"L29",응답입력!$AH13:$HD13,"&lt;9")&gt;=3,SUMIFS(응답입력!$AH13:$HD13,응답입력!$AH$3:$HD$3,"L29",응답입력!$AH13:$HD13,"&lt;9")/COUNTIFS(응답입력!$AH$3:$HD$3,"L29",응답입력!$AH13:$HD13,"&lt;9"),"")</f>
        <v/>
      </c>
      <c r="AE12" s="35" t="str">
        <f aca="false">IF(COUNTIFS(응답입력!$AH$3:$HD$3,"L30",응답입력!$AH13:$HD13,"&lt;9")&gt;=3,SUMIFS(응답입력!$AH13:$HD13,응답입력!$AH$3:$HD$3,"L30",응답입력!$AH13:$HD13,"&lt;9")/COUNTIFS(응답입력!$AH$3:$HD$3,"L30",응답입력!$AH13:$HD13,"&lt;9"),"")</f>
        <v/>
      </c>
      <c r="AF12" s="35" t="str">
        <f aca="false">IF(COUNTIFS(응답입력!$AH$3:$HD$3,"L31",응답입력!$AH13:$HD13,"&lt;9")&gt;=3,SUMIFS(응답입력!$AH13:$HD13,응답입력!$AH$3:$HD$3,"L31",응답입력!$AH13:$HD13,"&lt;9")/COUNTIFS(응답입력!$AH$3:$HD$3,"L31",응답입력!$AH13:$HD13,"&lt;9"),"")</f>
        <v/>
      </c>
      <c r="AG12" s="41" t="str">
        <f aca="false">IFERROR(AVERAGE(B12:AF12),"")</f>
        <v/>
      </c>
    </row>
    <row r="13" customFormat="false" ht="15" hidden="false" customHeight="false" outlineLevel="0" collapsed="false">
      <c r="A13" s="27" t="str">
        <f aca="false">IF(응답입력!A14="","",응답입력!A14)</f>
        <v/>
      </c>
      <c r="B13" s="35" t="str">
        <f aca="false">IF(COUNTIFS(응답입력!$AH$3:$HD$3,"L01",응답입력!$AH14:$HD14,"&lt;9")&gt;=3,SUMIFS(응답입력!$AH14:$HD14,응답입력!$AH$3:$HD$3,"L01",응답입력!$AH14:$HD14,"&lt;9")/COUNTIFS(응답입력!$AH$3:$HD$3,"L01",응답입력!$AH14:$HD14,"&lt;9"),"")</f>
        <v/>
      </c>
      <c r="C13" s="35" t="str">
        <f aca="false">IF(COUNTIFS(응답입력!$AH$3:$HD$3,"L02",응답입력!$AH14:$HD14,"&lt;9")&gt;=3,SUMIFS(응답입력!$AH14:$HD14,응답입력!$AH$3:$HD$3,"L02",응답입력!$AH14:$HD14,"&lt;9")/COUNTIFS(응답입력!$AH$3:$HD$3,"L02",응답입력!$AH14:$HD14,"&lt;9"),"")</f>
        <v/>
      </c>
      <c r="D13" s="35" t="str">
        <f aca="false">IF(COUNTIFS(응답입력!$AH$3:$HD$3,"L03",응답입력!$AH14:$HD14,"&lt;9")&gt;=3,SUMIFS(응답입력!$AH14:$HD14,응답입력!$AH$3:$HD$3,"L03",응답입력!$AH14:$HD14,"&lt;9")/COUNTIFS(응답입력!$AH$3:$HD$3,"L03",응답입력!$AH14:$HD14,"&lt;9"),"")</f>
        <v/>
      </c>
      <c r="E13" s="35" t="str">
        <f aca="false">IF(COUNTIFS(응답입력!$AH$3:$HD$3,"L04",응답입력!$AH14:$HD14,"&lt;9")&gt;=3,SUMIFS(응답입력!$AH14:$HD14,응답입력!$AH$3:$HD$3,"L04",응답입력!$AH14:$HD14,"&lt;9")/COUNTIFS(응답입력!$AH$3:$HD$3,"L04",응답입력!$AH14:$HD14,"&lt;9"),"")</f>
        <v/>
      </c>
      <c r="F13" s="35" t="str">
        <f aca="false">IF(COUNTIFS(응답입력!$AH$3:$HD$3,"L05",응답입력!$AH14:$HD14,"&lt;9")&gt;=3,SUMIFS(응답입력!$AH14:$HD14,응답입력!$AH$3:$HD$3,"L05",응답입력!$AH14:$HD14,"&lt;9")/COUNTIFS(응답입력!$AH$3:$HD$3,"L05",응답입력!$AH14:$HD14,"&lt;9"),"")</f>
        <v/>
      </c>
      <c r="G13" s="35" t="str">
        <f aca="false">IF(COUNTIFS(응답입력!$AH$3:$HD$3,"L06",응답입력!$AH14:$HD14,"&lt;9")&gt;=3,SUMIFS(응답입력!$AH14:$HD14,응답입력!$AH$3:$HD$3,"L06",응답입력!$AH14:$HD14,"&lt;9")/COUNTIFS(응답입력!$AH$3:$HD$3,"L06",응답입력!$AH14:$HD14,"&lt;9"),"")</f>
        <v/>
      </c>
      <c r="H13" s="35" t="str">
        <f aca="false">IF(COUNTIFS(응답입력!$AH$3:$HD$3,"L07",응답입력!$AH14:$HD14,"&lt;9")&gt;=3,SUMIFS(응답입력!$AH14:$HD14,응답입력!$AH$3:$HD$3,"L07",응답입력!$AH14:$HD14,"&lt;9")/COUNTIFS(응답입력!$AH$3:$HD$3,"L07",응답입력!$AH14:$HD14,"&lt;9"),"")</f>
        <v/>
      </c>
      <c r="I13" s="35" t="str">
        <f aca="false">IF(COUNTIFS(응답입력!$AH$3:$HD$3,"L08",응답입력!$AH14:$HD14,"&lt;9")&gt;=3,SUMIFS(응답입력!$AH14:$HD14,응답입력!$AH$3:$HD$3,"L08",응답입력!$AH14:$HD14,"&lt;9")/COUNTIFS(응답입력!$AH$3:$HD$3,"L08",응답입력!$AH14:$HD14,"&lt;9"),"")</f>
        <v/>
      </c>
      <c r="J13" s="35" t="str">
        <f aca="false">IF(COUNTIFS(응답입력!$AH$3:$HD$3,"L09",응답입력!$AH14:$HD14,"&lt;9")&gt;=3,SUMIFS(응답입력!$AH14:$HD14,응답입력!$AH$3:$HD$3,"L09",응답입력!$AH14:$HD14,"&lt;9")/COUNTIFS(응답입력!$AH$3:$HD$3,"L09",응답입력!$AH14:$HD14,"&lt;9"),"")</f>
        <v/>
      </c>
      <c r="K13" s="35" t="str">
        <f aca="false">IF(COUNTIFS(응답입력!$AH$3:$HD$3,"L10",응답입력!$AH14:$HD14,"&lt;9")&gt;=3,SUMIFS(응답입력!$AH14:$HD14,응답입력!$AH$3:$HD$3,"L10",응답입력!$AH14:$HD14,"&lt;9")/COUNTIFS(응답입력!$AH$3:$HD$3,"L10",응답입력!$AH14:$HD14,"&lt;9"),"")</f>
        <v/>
      </c>
      <c r="L13" s="35" t="str">
        <f aca="false">IF(COUNTIFS(응답입력!$AH$3:$HD$3,"L11",응답입력!$AH14:$HD14,"&lt;9")&gt;=3,SUMIFS(응답입력!$AH14:$HD14,응답입력!$AH$3:$HD$3,"L11",응답입력!$AH14:$HD14,"&lt;9")/COUNTIFS(응답입력!$AH$3:$HD$3,"L11",응답입력!$AH14:$HD14,"&lt;9"),"")</f>
        <v/>
      </c>
      <c r="M13" s="35" t="str">
        <f aca="false">IF(COUNTIFS(응답입력!$AH$3:$HD$3,"L12",응답입력!$AH14:$HD14,"&lt;9")&gt;=3,SUMIFS(응답입력!$AH14:$HD14,응답입력!$AH$3:$HD$3,"L12",응답입력!$AH14:$HD14,"&lt;9")/COUNTIFS(응답입력!$AH$3:$HD$3,"L12",응답입력!$AH14:$HD14,"&lt;9"),"")</f>
        <v/>
      </c>
      <c r="N13" s="35" t="str">
        <f aca="false">IF(COUNTIFS(응답입력!$AH$3:$HD$3,"L13",응답입력!$AH14:$HD14,"&lt;9")&gt;=3,SUMIFS(응답입력!$AH14:$HD14,응답입력!$AH$3:$HD$3,"L13",응답입력!$AH14:$HD14,"&lt;9")/COUNTIFS(응답입력!$AH$3:$HD$3,"L13",응답입력!$AH14:$HD14,"&lt;9"),"")</f>
        <v/>
      </c>
      <c r="O13" s="35" t="str">
        <f aca="false">IF(COUNTIFS(응답입력!$AH$3:$HD$3,"L14",응답입력!$AH14:$HD14,"&lt;9")&gt;=3,SUMIFS(응답입력!$AH14:$HD14,응답입력!$AH$3:$HD$3,"L14",응답입력!$AH14:$HD14,"&lt;9")/COUNTIFS(응답입력!$AH$3:$HD$3,"L14",응답입력!$AH14:$HD14,"&lt;9"),"")</f>
        <v/>
      </c>
      <c r="P13" s="35" t="str">
        <f aca="false">IF(COUNTIFS(응답입력!$AH$3:$HD$3,"L15",응답입력!$AH14:$HD14,"&lt;9")&gt;=3,SUMIFS(응답입력!$AH14:$HD14,응답입력!$AH$3:$HD$3,"L15",응답입력!$AH14:$HD14,"&lt;9")/COUNTIFS(응답입력!$AH$3:$HD$3,"L15",응답입력!$AH14:$HD14,"&lt;9"),"")</f>
        <v/>
      </c>
      <c r="Q13" s="35" t="str">
        <f aca="false">IF(COUNTIFS(응답입력!$AH$3:$HD$3,"L16",응답입력!$AH14:$HD14,"&lt;9")&gt;=3,SUMIFS(응답입력!$AH14:$HD14,응답입력!$AH$3:$HD$3,"L16",응답입력!$AH14:$HD14,"&lt;9")/COUNTIFS(응답입력!$AH$3:$HD$3,"L16",응답입력!$AH14:$HD14,"&lt;9"),"")</f>
        <v/>
      </c>
      <c r="R13" s="35" t="str">
        <f aca="false">IF(COUNTIFS(응답입력!$AH$3:$HD$3,"L17",응답입력!$AH14:$HD14,"&lt;9")&gt;=3,SUMIFS(응답입력!$AH14:$HD14,응답입력!$AH$3:$HD$3,"L17",응답입력!$AH14:$HD14,"&lt;9")/COUNTIFS(응답입력!$AH$3:$HD$3,"L17",응답입력!$AH14:$HD14,"&lt;9"),"")</f>
        <v/>
      </c>
      <c r="S13" s="35" t="str">
        <f aca="false">IF(COUNTIFS(응답입력!$AH$3:$HD$3,"L18",응답입력!$AH14:$HD14,"&lt;9")&gt;=3,SUMIFS(응답입력!$AH14:$HD14,응답입력!$AH$3:$HD$3,"L18",응답입력!$AH14:$HD14,"&lt;9")/COUNTIFS(응답입력!$AH$3:$HD$3,"L18",응답입력!$AH14:$HD14,"&lt;9"),"")</f>
        <v/>
      </c>
      <c r="T13" s="35" t="str">
        <f aca="false">IF(COUNTIFS(응답입력!$AH$3:$HD$3,"L19",응답입력!$AH14:$HD14,"&lt;9")&gt;=3,SUMIFS(응답입력!$AH14:$HD14,응답입력!$AH$3:$HD$3,"L19",응답입력!$AH14:$HD14,"&lt;9")/COUNTIFS(응답입력!$AH$3:$HD$3,"L19",응답입력!$AH14:$HD14,"&lt;9"),"")</f>
        <v/>
      </c>
      <c r="U13" s="35" t="str">
        <f aca="false">IF(COUNTIFS(응답입력!$AH$3:$HD$3,"L20",응답입력!$AH14:$HD14,"&lt;9")&gt;=3,SUMIFS(응답입력!$AH14:$HD14,응답입력!$AH$3:$HD$3,"L20",응답입력!$AH14:$HD14,"&lt;9")/COUNTIFS(응답입력!$AH$3:$HD$3,"L20",응답입력!$AH14:$HD14,"&lt;9"),"")</f>
        <v/>
      </c>
      <c r="V13" s="35" t="str">
        <f aca="false">IF(COUNTIFS(응답입력!$AH$3:$HD$3,"L21",응답입력!$AH14:$HD14,"&lt;9")&gt;=3,SUMIFS(응답입력!$AH14:$HD14,응답입력!$AH$3:$HD$3,"L21",응답입력!$AH14:$HD14,"&lt;9")/COUNTIFS(응답입력!$AH$3:$HD$3,"L21",응답입력!$AH14:$HD14,"&lt;9"),"")</f>
        <v/>
      </c>
      <c r="W13" s="35" t="str">
        <f aca="false">IF(COUNTIFS(응답입력!$AH$3:$HD$3,"L22",응답입력!$AH14:$HD14,"&lt;9")&gt;=3,SUMIFS(응답입력!$AH14:$HD14,응답입력!$AH$3:$HD$3,"L22",응답입력!$AH14:$HD14,"&lt;9")/COUNTIFS(응답입력!$AH$3:$HD$3,"L22",응답입력!$AH14:$HD14,"&lt;9"),"")</f>
        <v/>
      </c>
      <c r="X13" s="35" t="str">
        <f aca="false">IF(COUNTIFS(응답입력!$AH$3:$HD$3,"L23",응답입력!$AH14:$HD14,"&lt;9")&gt;=3,SUMIFS(응답입력!$AH14:$HD14,응답입력!$AH$3:$HD$3,"L23",응답입력!$AH14:$HD14,"&lt;9")/COUNTIFS(응답입력!$AH$3:$HD$3,"L23",응답입력!$AH14:$HD14,"&lt;9"),"")</f>
        <v/>
      </c>
      <c r="Y13" s="35" t="str">
        <f aca="false">IF(COUNTIFS(응답입력!$AH$3:$HD$3,"L24",응답입력!$AH14:$HD14,"&lt;9")&gt;=3,SUMIFS(응답입력!$AH14:$HD14,응답입력!$AH$3:$HD$3,"L24",응답입력!$AH14:$HD14,"&lt;9")/COUNTIFS(응답입력!$AH$3:$HD$3,"L24",응답입력!$AH14:$HD14,"&lt;9"),"")</f>
        <v/>
      </c>
      <c r="Z13" s="35" t="str">
        <f aca="false">IF(COUNTIFS(응답입력!$AH$3:$HD$3,"L25",응답입력!$AH14:$HD14,"&lt;9")&gt;=3,SUMIFS(응답입력!$AH14:$HD14,응답입력!$AH$3:$HD$3,"L25",응답입력!$AH14:$HD14,"&lt;9")/COUNTIFS(응답입력!$AH$3:$HD$3,"L25",응답입력!$AH14:$HD14,"&lt;9"),"")</f>
        <v/>
      </c>
      <c r="AA13" s="35" t="str">
        <f aca="false">IF(COUNTIFS(응답입력!$AH$3:$HD$3,"L26",응답입력!$AH14:$HD14,"&lt;9")&gt;=3,SUMIFS(응답입력!$AH14:$HD14,응답입력!$AH$3:$HD$3,"L26",응답입력!$AH14:$HD14,"&lt;9")/COUNTIFS(응답입력!$AH$3:$HD$3,"L26",응답입력!$AH14:$HD14,"&lt;9"),"")</f>
        <v/>
      </c>
      <c r="AB13" s="35" t="str">
        <f aca="false">IF(COUNTIFS(응답입력!$AH$3:$HD$3,"L27",응답입력!$AH14:$HD14,"&lt;9")&gt;=3,SUMIFS(응답입력!$AH14:$HD14,응답입력!$AH$3:$HD$3,"L27",응답입력!$AH14:$HD14,"&lt;9")/COUNTIFS(응답입력!$AH$3:$HD$3,"L27",응답입력!$AH14:$HD14,"&lt;9"),"")</f>
        <v/>
      </c>
      <c r="AC13" s="35" t="str">
        <f aca="false">IF(COUNTIFS(응답입력!$AH$3:$HD$3,"L28",응답입력!$AH14:$HD14,"&lt;9")&gt;=3,SUMIFS(응답입력!$AH14:$HD14,응답입력!$AH$3:$HD$3,"L28",응답입력!$AH14:$HD14,"&lt;9")/COUNTIFS(응답입력!$AH$3:$HD$3,"L28",응답입력!$AH14:$HD14,"&lt;9"),"")</f>
        <v/>
      </c>
      <c r="AD13" s="35" t="str">
        <f aca="false">IF(COUNTIFS(응답입력!$AH$3:$HD$3,"L29",응답입력!$AH14:$HD14,"&lt;9")&gt;=3,SUMIFS(응답입력!$AH14:$HD14,응답입력!$AH$3:$HD$3,"L29",응답입력!$AH14:$HD14,"&lt;9")/COUNTIFS(응답입력!$AH$3:$HD$3,"L29",응답입력!$AH14:$HD14,"&lt;9"),"")</f>
        <v/>
      </c>
      <c r="AE13" s="35" t="str">
        <f aca="false">IF(COUNTIFS(응답입력!$AH$3:$HD$3,"L30",응답입력!$AH14:$HD14,"&lt;9")&gt;=3,SUMIFS(응답입력!$AH14:$HD14,응답입력!$AH$3:$HD$3,"L30",응답입력!$AH14:$HD14,"&lt;9")/COUNTIFS(응답입력!$AH$3:$HD$3,"L30",응답입력!$AH14:$HD14,"&lt;9"),"")</f>
        <v/>
      </c>
      <c r="AF13" s="35" t="str">
        <f aca="false">IF(COUNTIFS(응답입력!$AH$3:$HD$3,"L31",응답입력!$AH14:$HD14,"&lt;9")&gt;=3,SUMIFS(응답입력!$AH14:$HD14,응답입력!$AH$3:$HD$3,"L31",응답입력!$AH14:$HD14,"&lt;9")/COUNTIFS(응답입력!$AH$3:$HD$3,"L31",응답입력!$AH14:$HD14,"&lt;9"),"")</f>
        <v/>
      </c>
      <c r="AG13" s="41" t="str">
        <f aca="false">IFERROR(AVERAGE(B13:AF13),"")</f>
        <v/>
      </c>
    </row>
    <row r="14" customFormat="false" ht="15" hidden="false" customHeight="false" outlineLevel="0" collapsed="false">
      <c r="A14" s="27" t="str">
        <f aca="false">IF(응답입력!A15="","",응답입력!A15)</f>
        <v/>
      </c>
      <c r="B14" s="35" t="str">
        <f aca="false">IF(COUNTIFS(응답입력!$AH$3:$HD$3,"L01",응답입력!$AH15:$HD15,"&lt;9")&gt;=3,SUMIFS(응답입력!$AH15:$HD15,응답입력!$AH$3:$HD$3,"L01",응답입력!$AH15:$HD15,"&lt;9")/COUNTIFS(응답입력!$AH$3:$HD$3,"L01",응답입력!$AH15:$HD15,"&lt;9"),"")</f>
        <v/>
      </c>
      <c r="C14" s="35" t="str">
        <f aca="false">IF(COUNTIFS(응답입력!$AH$3:$HD$3,"L02",응답입력!$AH15:$HD15,"&lt;9")&gt;=3,SUMIFS(응답입력!$AH15:$HD15,응답입력!$AH$3:$HD$3,"L02",응답입력!$AH15:$HD15,"&lt;9")/COUNTIFS(응답입력!$AH$3:$HD$3,"L02",응답입력!$AH15:$HD15,"&lt;9"),"")</f>
        <v/>
      </c>
      <c r="D14" s="35" t="str">
        <f aca="false">IF(COUNTIFS(응답입력!$AH$3:$HD$3,"L03",응답입력!$AH15:$HD15,"&lt;9")&gt;=3,SUMIFS(응답입력!$AH15:$HD15,응답입력!$AH$3:$HD$3,"L03",응답입력!$AH15:$HD15,"&lt;9")/COUNTIFS(응답입력!$AH$3:$HD$3,"L03",응답입력!$AH15:$HD15,"&lt;9"),"")</f>
        <v/>
      </c>
      <c r="E14" s="35" t="str">
        <f aca="false">IF(COUNTIFS(응답입력!$AH$3:$HD$3,"L04",응답입력!$AH15:$HD15,"&lt;9")&gt;=3,SUMIFS(응답입력!$AH15:$HD15,응답입력!$AH$3:$HD$3,"L04",응답입력!$AH15:$HD15,"&lt;9")/COUNTIFS(응답입력!$AH$3:$HD$3,"L04",응답입력!$AH15:$HD15,"&lt;9"),"")</f>
        <v/>
      </c>
      <c r="F14" s="35" t="str">
        <f aca="false">IF(COUNTIFS(응답입력!$AH$3:$HD$3,"L05",응답입력!$AH15:$HD15,"&lt;9")&gt;=3,SUMIFS(응답입력!$AH15:$HD15,응답입력!$AH$3:$HD$3,"L05",응답입력!$AH15:$HD15,"&lt;9")/COUNTIFS(응답입력!$AH$3:$HD$3,"L05",응답입력!$AH15:$HD15,"&lt;9"),"")</f>
        <v/>
      </c>
      <c r="G14" s="35" t="str">
        <f aca="false">IF(COUNTIFS(응답입력!$AH$3:$HD$3,"L06",응답입력!$AH15:$HD15,"&lt;9")&gt;=3,SUMIFS(응답입력!$AH15:$HD15,응답입력!$AH$3:$HD$3,"L06",응답입력!$AH15:$HD15,"&lt;9")/COUNTIFS(응답입력!$AH$3:$HD$3,"L06",응답입력!$AH15:$HD15,"&lt;9"),"")</f>
        <v/>
      </c>
      <c r="H14" s="35" t="str">
        <f aca="false">IF(COUNTIFS(응답입력!$AH$3:$HD$3,"L07",응답입력!$AH15:$HD15,"&lt;9")&gt;=3,SUMIFS(응답입력!$AH15:$HD15,응답입력!$AH$3:$HD$3,"L07",응답입력!$AH15:$HD15,"&lt;9")/COUNTIFS(응답입력!$AH$3:$HD$3,"L07",응답입력!$AH15:$HD15,"&lt;9"),"")</f>
        <v/>
      </c>
      <c r="I14" s="35" t="str">
        <f aca="false">IF(COUNTIFS(응답입력!$AH$3:$HD$3,"L08",응답입력!$AH15:$HD15,"&lt;9")&gt;=3,SUMIFS(응답입력!$AH15:$HD15,응답입력!$AH$3:$HD$3,"L08",응답입력!$AH15:$HD15,"&lt;9")/COUNTIFS(응답입력!$AH$3:$HD$3,"L08",응답입력!$AH15:$HD15,"&lt;9"),"")</f>
        <v/>
      </c>
      <c r="J14" s="35" t="str">
        <f aca="false">IF(COUNTIFS(응답입력!$AH$3:$HD$3,"L09",응답입력!$AH15:$HD15,"&lt;9")&gt;=3,SUMIFS(응답입력!$AH15:$HD15,응답입력!$AH$3:$HD$3,"L09",응답입력!$AH15:$HD15,"&lt;9")/COUNTIFS(응답입력!$AH$3:$HD$3,"L09",응답입력!$AH15:$HD15,"&lt;9"),"")</f>
        <v/>
      </c>
      <c r="K14" s="35" t="str">
        <f aca="false">IF(COUNTIFS(응답입력!$AH$3:$HD$3,"L10",응답입력!$AH15:$HD15,"&lt;9")&gt;=3,SUMIFS(응답입력!$AH15:$HD15,응답입력!$AH$3:$HD$3,"L10",응답입력!$AH15:$HD15,"&lt;9")/COUNTIFS(응답입력!$AH$3:$HD$3,"L10",응답입력!$AH15:$HD15,"&lt;9"),"")</f>
        <v/>
      </c>
      <c r="L14" s="35" t="str">
        <f aca="false">IF(COUNTIFS(응답입력!$AH$3:$HD$3,"L11",응답입력!$AH15:$HD15,"&lt;9")&gt;=3,SUMIFS(응답입력!$AH15:$HD15,응답입력!$AH$3:$HD$3,"L11",응답입력!$AH15:$HD15,"&lt;9")/COUNTIFS(응답입력!$AH$3:$HD$3,"L11",응답입력!$AH15:$HD15,"&lt;9"),"")</f>
        <v/>
      </c>
      <c r="M14" s="35" t="str">
        <f aca="false">IF(COUNTIFS(응답입력!$AH$3:$HD$3,"L12",응답입력!$AH15:$HD15,"&lt;9")&gt;=3,SUMIFS(응답입력!$AH15:$HD15,응답입력!$AH$3:$HD$3,"L12",응답입력!$AH15:$HD15,"&lt;9")/COUNTIFS(응답입력!$AH$3:$HD$3,"L12",응답입력!$AH15:$HD15,"&lt;9"),"")</f>
        <v/>
      </c>
      <c r="N14" s="35" t="str">
        <f aca="false">IF(COUNTIFS(응답입력!$AH$3:$HD$3,"L13",응답입력!$AH15:$HD15,"&lt;9")&gt;=3,SUMIFS(응답입력!$AH15:$HD15,응답입력!$AH$3:$HD$3,"L13",응답입력!$AH15:$HD15,"&lt;9")/COUNTIFS(응답입력!$AH$3:$HD$3,"L13",응답입력!$AH15:$HD15,"&lt;9"),"")</f>
        <v/>
      </c>
      <c r="O14" s="35" t="str">
        <f aca="false">IF(COUNTIFS(응답입력!$AH$3:$HD$3,"L14",응답입력!$AH15:$HD15,"&lt;9")&gt;=3,SUMIFS(응답입력!$AH15:$HD15,응답입력!$AH$3:$HD$3,"L14",응답입력!$AH15:$HD15,"&lt;9")/COUNTIFS(응답입력!$AH$3:$HD$3,"L14",응답입력!$AH15:$HD15,"&lt;9"),"")</f>
        <v/>
      </c>
      <c r="P14" s="35" t="str">
        <f aca="false">IF(COUNTIFS(응답입력!$AH$3:$HD$3,"L15",응답입력!$AH15:$HD15,"&lt;9")&gt;=3,SUMIFS(응답입력!$AH15:$HD15,응답입력!$AH$3:$HD$3,"L15",응답입력!$AH15:$HD15,"&lt;9")/COUNTIFS(응답입력!$AH$3:$HD$3,"L15",응답입력!$AH15:$HD15,"&lt;9"),"")</f>
        <v/>
      </c>
      <c r="Q14" s="35" t="str">
        <f aca="false">IF(COUNTIFS(응답입력!$AH$3:$HD$3,"L16",응답입력!$AH15:$HD15,"&lt;9")&gt;=3,SUMIFS(응답입력!$AH15:$HD15,응답입력!$AH$3:$HD$3,"L16",응답입력!$AH15:$HD15,"&lt;9")/COUNTIFS(응답입력!$AH$3:$HD$3,"L16",응답입력!$AH15:$HD15,"&lt;9"),"")</f>
        <v/>
      </c>
      <c r="R14" s="35" t="str">
        <f aca="false">IF(COUNTIFS(응답입력!$AH$3:$HD$3,"L17",응답입력!$AH15:$HD15,"&lt;9")&gt;=3,SUMIFS(응답입력!$AH15:$HD15,응답입력!$AH$3:$HD$3,"L17",응답입력!$AH15:$HD15,"&lt;9")/COUNTIFS(응답입력!$AH$3:$HD$3,"L17",응답입력!$AH15:$HD15,"&lt;9"),"")</f>
        <v/>
      </c>
      <c r="S14" s="35" t="str">
        <f aca="false">IF(COUNTIFS(응답입력!$AH$3:$HD$3,"L18",응답입력!$AH15:$HD15,"&lt;9")&gt;=3,SUMIFS(응답입력!$AH15:$HD15,응답입력!$AH$3:$HD$3,"L18",응답입력!$AH15:$HD15,"&lt;9")/COUNTIFS(응답입력!$AH$3:$HD$3,"L18",응답입력!$AH15:$HD15,"&lt;9"),"")</f>
        <v/>
      </c>
      <c r="T14" s="35" t="str">
        <f aca="false">IF(COUNTIFS(응답입력!$AH$3:$HD$3,"L19",응답입력!$AH15:$HD15,"&lt;9")&gt;=3,SUMIFS(응답입력!$AH15:$HD15,응답입력!$AH$3:$HD$3,"L19",응답입력!$AH15:$HD15,"&lt;9")/COUNTIFS(응답입력!$AH$3:$HD$3,"L19",응답입력!$AH15:$HD15,"&lt;9"),"")</f>
        <v/>
      </c>
      <c r="U14" s="35" t="str">
        <f aca="false">IF(COUNTIFS(응답입력!$AH$3:$HD$3,"L20",응답입력!$AH15:$HD15,"&lt;9")&gt;=3,SUMIFS(응답입력!$AH15:$HD15,응답입력!$AH$3:$HD$3,"L20",응답입력!$AH15:$HD15,"&lt;9")/COUNTIFS(응답입력!$AH$3:$HD$3,"L20",응답입력!$AH15:$HD15,"&lt;9"),"")</f>
        <v/>
      </c>
      <c r="V14" s="35" t="str">
        <f aca="false">IF(COUNTIFS(응답입력!$AH$3:$HD$3,"L21",응답입력!$AH15:$HD15,"&lt;9")&gt;=3,SUMIFS(응답입력!$AH15:$HD15,응답입력!$AH$3:$HD$3,"L21",응답입력!$AH15:$HD15,"&lt;9")/COUNTIFS(응답입력!$AH$3:$HD$3,"L21",응답입력!$AH15:$HD15,"&lt;9"),"")</f>
        <v/>
      </c>
      <c r="W14" s="35" t="str">
        <f aca="false">IF(COUNTIFS(응답입력!$AH$3:$HD$3,"L22",응답입력!$AH15:$HD15,"&lt;9")&gt;=3,SUMIFS(응답입력!$AH15:$HD15,응답입력!$AH$3:$HD$3,"L22",응답입력!$AH15:$HD15,"&lt;9")/COUNTIFS(응답입력!$AH$3:$HD$3,"L22",응답입력!$AH15:$HD15,"&lt;9"),"")</f>
        <v/>
      </c>
      <c r="X14" s="35" t="str">
        <f aca="false">IF(COUNTIFS(응답입력!$AH$3:$HD$3,"L23",응답입력!$AH15:$HD15,"&lt;9")&gt;=3,SUMIFS(응답입력!$AH15:$HD15,응답입력!$AH$3:$HD$3,"L23",응답입력!$AH15:$HD15,"&lt;9")/COUNTIFS(응답입력!$AH$3:$HD$3,"L23",응답입력!$AH15:$HD15,"&lt;9"),"")</f>
        <v/>
      </c>
      <c r="Y14" s="35" t="str">
        <f aca="false">IF(COUNTIFS(응답입력!$AH$3:$HD$3,"L24",응답입력!$AH15:$HD15,"&lt;9")&gt;=3,SUMIFS(응답입력!$AH15:$HD15,응답입력!$AH$3:$HD$3,"L24",응답입력!$AH15:$HD15,"&lt;9")/COUNTIFS(응답입력!$AH$3:$HD$3,"L24",응답입력!$AH15:$HD15,"&lt;9"),"")</f>
        <v/>
      </c>
      <c r="Z14" s="35" t="str">
        <f aca="false">IF(COUNTIFS(응답입력!$AH$3:$HD$3,"L25",응답입력!$AH15:$HD15,"&lt;9")&gt;=3,SUMIFS(응답입력!$AH15:$HD15,응답입력!$AH$3:$HD$3,"L25",응답입력!$AH15:$HD15,"&lt;9")/COUNTIFS(응답입력!$AH$3:$HD$3,"L25",응답입력!$AH15:$HD15,"&lt;9"),"")</f>
        <v/>
      </c>
      <c r="AA14" s="35" t="str">
        <f aca="false">IF(COUNTIFS(응답입력!$AH$3:$HD$3,"L26",응답입력!$AH15:$HD15,"&lt;9")&gt;=3,SUMIFS(응답입력!$AH15:$HD15,응답입력!$AH$3:$HD$3,"L26",응답입력!$AH15:$HD15,"&lt;9")/COUNTIFS(응답입력!$AH$3:$HD$3,"L26",응답입력!$AH15:$HD15,"&lt;9"),"")</f>
        <v/>
      </c>
      <c r="AB14" s="35" t="str">
        <f aca="false">IF(COUNTIFS(응답입력!$AH$3:$HD$3,"L27",응답입력!$AH15:$HD15,"&lt;9")&gt;=3,SUMIFS(응답입력!$AH15:$HD15,응답입력!$AH$3:$HD$3,"L27",응답입력!$AH15:$HD15,"&lt;9")/COUNTIFS(응답입력!$AH$3:$HD$3,"L27",응답입력!$AH15:$HD15,"&lt;9"),"")</f>
        <v/>
      </c>
      <c r="AC14" s="35" t="str">
        <f aca="false">IF(COUNTIFS(응답입력!$AH$3:$HD$3,"L28",응답입력!$AH15:$HD15,"&lt;9")&gt;=3,SUMIFS(응답입력!$AH15:$HD15,응답입력!$AH$3:$HD$3,"L28",응답입력!$AH15:$HD15,"&lt;9")/COUNTIFS(응답입력!$AH$3:$HD$3,"L28",응답입력!$AH15:$HD15,"&lt;9"),"")</f>
        <v/>
      </c>
      <c r="AD14" s="35" t="str">
        <f aca="false">IF(COUNTIFS(응답입력!$AH$3:$HD$3,"L29",응답입력!$AH15:$HD15,"&lt;9")&gt;=3,SUMIFS(응답입력!$AH15:$HD15,응답입력!$AH$3:$HD$3,"L29",응답입력!$AH15:$HD15,"&lt;9")/COUNTIFS(응답입력!$AH$3:$HD$3,"L29",응답입력!$AH15:$HD15,"&lt;9"),"")</f>
        <v/>
      </c>
      <c r="AE14" s="35" t="str">
        <f aca="false">IF(COUNTIFS(응답입력!$AH$3:$HD$3,"L30",응답입력!$AH15:$HD15,"&lt;9")&gt;=3,SUMIFS(응답입력!$AH15:$HD15,응답입력!$AH$3:$HD$3,"L30",응답입력!$AH15:$HD15,"&lt;9")/COUNTIFS(응답입력!$AH$3:$HD$3,"L30",응답입력!$AH15:$HD15,"&lt;9"),"")</f>
        <v/>
      </c>
      <c r="AF14" s="35" t="str">
        <f aca="false">IF(COUNTIFS(응답입력!$AH$3:$HD$3,"L31",응답입력!$AH15:$HD15,"&lt;9")&gt;=3,SUMIFS(응답입력!$AH15:$HD15,응답입력!$AH$3:$HD$3,"L31",응답입력!$AH15:$HD15,"&lt;9")/COUNTIFS(응답입력!$AH$3:$HD$3,"L31",응답입력!$AH15:$HD15,"&lt;9"),"")</f>
        <v/>
      </c>
      <c r="AG14" s="41" t="str">
        <f aca="false">IFERROR(AVERAGE(B14:AF14),"")</f>
        <v/>
      </c>
    </row>
    <row r="15" customFormat="false" ht="15" hidden="false" customHeight="false" outlineLevel="0" collapsed="false">
      <c r="A15" s="27" t="str">
        <f aca="false">IF(응답입력!A16="","",응답입력!A16)</f>
        <v/>
      </c>
      <c r="B15" s="35" t="str">
        <f aca="false">IF(COUNTIFS(응답입력!$AH$3:$HD$3,"L01",응답입력!$AH16:$HD16,"&lt;9")&gt;=3,SUMIFS(응답입력!$AH16:$HD16,응답입력!$AH$3:$HD$3,"L01",응답입력!$AH16:$HD16,"&lt;9")/COUNTIFS(응답입력!$AH$3:$HD$3,"L01",응답입력!$AH16:$HD16,"&lt;9"),"")</f>
        <v/>
      </c>
      <c r="C15" s="35" t="str">
        <f aca="false">IF(COUNTIFS(응답입력!$AH$3:$HD$3,"L02",응답입력!$AH16:$HD16,"&lt;9")&gt;=3,SUMIFS(응답입력!$AH16:$HD16,응답입력!$AH$3:$HD$3,"L02",응답입력!$AH16:$HD16,"&lt;9")/COUNTIFS(응답입력!$AH$3:$HD$3,"L02",응답입력!$AH16:$HD16,"&lt;9"),"")</f>
        <v/>
      </c>
      <c r="D15" s="35" t="str">
        <f aca="false">IF(COUNTIFS(응답입력!$AH$3:$HD$3,"L03",응답입력!$AH16:$HD16,"&lt;9")&gt;=3,SUMIFS(응답입력!$AH16:$HD16,응답입력!$AH$3:$HD$3,"L03",응답입력!$AH16:$HD16,"&lt;9")/COUNTIFS(응답입력!$AH$3:$HD$3,"L03",응답입력!$AH16:$HD16,"&lt;9"),"")</f>
        <v/>
      </c>
      <c r="E15" s="35" t="str">
        <f aca="false">IF(COUNTIFS(응답입력!$AH$3:$HD$3,"L04",응답입력!$AH16:$HD16,"&lt;9")&gt;=3,SUMIFS(응답입력!$AH16:$HD16,응답입력!$AH$3:$HD$3,"L04",응답입력!$AH16:$HD16,"&lt;9")/COUNTIFS(응답입력!$AH$3:$HD$3,"L04",응답입력!$AH16:$HD16,"&lt;9"),"")</f>
        <v/>
      </c>
      <c r="F15" s="35" t="str">
        <f aca="false">IF(COUNTIFS(응답입력!$AH$3:$HD$3,"L05",응답입력!$AH16:$HD16,"&lt;9")&gt;=3,SUMIFS(응답입력!$AH16:$HD16,응답입력!$AH$3:$HD$3,"L05",응답입력!$AH16:$HD16,"&lt;9")/COUNTIFS(응답입력!$AH$3:$HD$3,"L05",응답입력!$AH16:$HD16,"&lt;9"),"")</f>
        <v/>
      </c>
      <c r="G15" s="35" t="str">
        <f aca="false">IF(COUNTIFS(응답입력!$AH$3:$HD$3,"L06",응답입력!$AH16:$HD16,"&lt;9")&gt;=3,SUMIFS(응답입력!$AH16:$HD16,응답입력!$AH$3:$HD$3,"L06",응답입력!$AH16:$HD16,"&lt;9")/COUNTIFS(응답입력!$AH$3:$HD$3,"L06",응답입력!$AH16:$HD16,"&lt;9"),"")</f>
        <v/>
      </c>
      <c r="H15" s="35" t="str">
        <f aca="false">IF(COUNTIFS(응답입력!$AH$3:$HD$3,"L07",응답입력!$AH16:$HD16,"&lt;9")&gt;=3,SUMIFS(응답입력!$AH16:$HD16,응답입력!$AH$3:$HD$3,"L07",응답입력!$AH16:$HD16,"&lt;9")/COUNTIFS(응답입력!$AH$3:$HD$3,"L07",응답입력!$AH16:$HD16,"&lt;9"),"")</f>
        <v/>
      </c>
      <c r="I15" s="35" t="str">
        <f aca="false">IF(COUNTIFS(응답입력!$AH$3:$HD$3,"L08",응답입력!$AH16:$HD16,"&lt;9")&gt;=3,SUMIFS(응답입력!$AH16:$HD16,응답입력!$AH$3:$HD$3,"L08",응답입력!$AH16:$HD16,"&lt;9")/COUNTIFS(응답입력!$AH$3:$HD$3,"L08",응답입력!$AH16:$HD16,"&lt;9"),"")</f>
        <v/>
      </c>
      <c r="J15" s="35" t="str">
        <f aca="false">IF(COUNTIFS(응답입력!$AH$3:$HD$3,"L09",응답입력!$AH16:$HD16,"&lt;9")&gt;=3,SUMIFS(응답입력!$AH16:$HD16,응답입력!$AH$3:$HD$3,"L09",응답입력!$AH16:$HD16,"&lt;9")/COUNTIFS(응답입력!$AH$3:$HD$3,"L09",응답입력!$AH16:$HD16,"&lt;9"),"")</f>
        <v/>
      </c>
      <c r="K15" s="35" t="str">
        <f aca="false">IF(COUNTIFS(응답입력!$AH$3:$HD$3,"L10",응답입력!$AH16:$HD16,"&lt;9")&gt;=3,SUMIFS(응답입력!$AH16:$HD16,응답입력!$AH$3:$HD$3,"L10",응답입력!$AH16:$HD16,"&lt;9")/COUNTIFS(응답입력!$AH$3:$HD$3,"L10",응답입력!$AH16:$HD16,"&lt;9"),"")</f>
        <v/>
      </c>
      <c r="L15" s="35" t="str">
        <f aca="false">IF(COUNTIFS(응답입력!$AH$3:$HD$3,"L11",응답입력!$AH16:$HD16,"&lt;9")&gt;=3,SUMIFS(응답입력!$AH16:$HD16,응답입력!$AH$3:$HD$3,"L11",응답입력!$AH16:$HD16,"&lt;9")/COUNTIFS(응답입력!$AH$3:$HD$3,"L11",응답입력!$AH16:$HD16,"&lt;9"),"")</f>
        <v/>
      </c>
      <c r="M15" s="35" t="str">
        <f aca="false">IF(COUNTIFS(응답입력!$AH$3:$HD$3,"L12",응답입력!$AH16:$HD16,"&lt;9")&gt;=3,SUMIFS(응답입력!$AH16:$HD16,응답입력!$AH$3:$HD$3,"L12",응답입력!$AH16:$HD16,"&lt;9")/COUNTIFS(응답입력!$AH$3:$HD$3,"L12",응답입력!$AH16:$HD16,"&lt;9"),"")</f>
        <v/>
      </c>
      <c r="N15" s="35" t="str">
        <f aca="false">IF(COUNTIFS(응답입력!$AH$3:$HD$3,"L13",응답입력!$AH16:$HD16,"&lt;9")&gt;=3,SUMIFS(응답입력!$AH16:$HD16,응답입력!$AH$3:$HD$3,"L13",응답입력!$AH16:$HD16,"&lt;9")/COUNTIFS(응답입력!$AH$3:$HD$3,"L13",응답입력!$AH16:$HD16,"&lt;9"),"")</f>
        <v/>
      </c>
      <c r="O15" s="35" t="str">
        <f aca="false">IF(COUNTIFS(응답입력!$AH$3:$HD$3,"L14",응답입력!$AH16:$HD16,"&lt;9")&gt;=3,SUMIFS(응답입력!$AH16:$HD16,응답입력!$AH$3:$HD$3,"L14",응답입력!$AH16:$HD16,"&lt;9")/COUNTIFS(응답입력!$AH$3:$HD$3,"L14",응답입력!$AH16:$HD16,"&lt;9"),"")</f>
        <v/>
      </c>
      <c r="P15" s="35" t="str">
        <f aca="false">IF(COUNTIFS(응답입력!$AH$3:$HD$3,"L15",응답입력!$AH16:$HD16,"&lt;9")&gt;=3,SUMIFS(응답입력!$AH16:$HD16,응답입력!$AH$3:$HD$3,"L15",응답입력!$AH16:$HD16,"&lt;9")/COUNTIFS(응답입력!$AH$3:$HD$3,"L15",응답입력!$AH16:$HD16,"&lt;9"),"")</f>
        <v/>
      </c>
      <c r="Q15" s="35" t="str">
        <f aca="false">IF(COUNTIFS(응답입력!$AH$3:$HD$3,"L16",응답입력!$AH16:$HD16,"&lt;9")&gt;=3,SUMIFS(응답입력!$AH16:$HD16,응답입력!$AH$3:$HD$3,"L16",응답입력!$AH16:$HD16,"&lt;9")/COUNTIFS(응답입력!$AH$3:$HD$3,"L16",응답입력!$AH16:$HD16,"&lt;9"),"")</f>
        <v/>
      </c>
      <c r="R15" s="35" t="str">
        <f aca="false">IF(COUNTIFS(응답입력!$AH$3:$HD$3,"L17",응답입력!$AH16:$HD16,"&lt;9")&gt;=3,SUMIFS(응답입력!$AH16:$HD16,응답입력!$AH$3:$HD$3,"L17",응답입력!$AH16:$HD16,"&lt;9")/COUNTIFS(응답입력!$AH$3:$HD$3,"L17",응답입력!$AH16:$HD16,"&lt;9"),"")</f>
        <v/>
      </c>
      <c r="S15" s="35" t="str">
        <f aca="false">IF(COUNTIFS(응답입력!$AH$3:$HD$3,"L18",응답입력!$AH16:$HD16,"&lt;9")&gt;=3,SUMIFS(응답입력!$AH16:$HD16,응답입력!$AH$3:$HD$3,"L18",응답입력!$AH16:$HD16,"&lt;9")/COUNTIFS(응답입력!$AH$3:$HD$3,"L18",응답입력!$AH16:$HD16,"&lt;9"),"")</f>
        <v/>
      </c>
      <c r="T15" s="35" t="str">
        <f aca="false">IF(COUNTIFS(응답입력!$AH$3:$HD$3,"L19",응답입력!$AH16:$HD16,"&lt;9")&gt;=3,SUMIFS(응답입력!$AH16:$HD16,응답입력!$AH$3:$HD$3,"L19",응답입력!$AH16:$HD16,"&lt;9")/COUNTIFS(응답입력!$AH$3:$HD$3,"L19",응답입력!$AH16:$HD16,"&lt;9"),"")</f>
        <v/>
      </c>
      <c r="U15" s="35" t="str">
        <f aca="false">IF(COUNTIFS(응답입력!$AH$3:$HD$3,"L20",응답입력!$AH16:$HD16,"&lt;9")&gt;=3,SUMIFS(응답입력!$AH16:$HD16,응답입력!$AH$3:$HD$3,"L20",응답입력!$AH16:$HD16,"&lt;9")/COUNTIFS(응답입력!$AH$3:$HD$3,"L20",응답입력!$AH16:$HD16,"&lt;9"),"")</f>
        <v/>
      </c>
      <c r="V15" s="35" t="str">
        <f aca="false">IF(COUNTIFS(응답입력!$AH$3:$HD$3,"L21",응답입력!$AH16:$HD16,"&lt;9")&gt;=3,SUMIFS(응답입력!$AH16:$HD16,응답입력!$AH$3:$HD$3,"L21",응답입력!$AH16:$HD16,"&lt;9")/COUNTIFS(응답입력!$AH$3:$HD$3,"L21",응답입력!$AH16:$HD16,"&lt;9"),"")</f>
        <v/>
      </c>
      <c r="W15" s="35" t="str">
        <f aca="false">IF(COUNTIFS(응답입력!$AH$3:$HD$3,"L22",응답입력!$AH16:$HD16,"&lt;9")&gt;=3,SUMIFS(응답입력!$AH16:$HD16,응답입력!$AH$3:$HD$3,"L22",응답입력!$AH16:$HD16,"&lt;9")/COUNTIFS(응답입력!$AH$3:$HD$3,"L22",응답입력!$AH16:$HD16,"&lt;9"),"")</f>
        <v/>
      </c>
      <c r="X15" s="35" t="str">
        <f aca="false">IF(COUNTIFS(응답입력!$AH$3:$HD$3,"L23",응답입력!$AH16:$HD16,"&lt;9")&gt;=3,SUMIFS(응답입력!$AH16:$HD16,응답입력!$AH$3:$HD$3,"L23",응답입력!$AH16:$HD16,"&lt;9")/COUNTIFS(응답입력!$AH$3:$HD$3,"L23",응답입력!$AH16:$HD16,"&lt;9"),"")</f>
        <v/>
      </c>
      <c r="Y15" s="35" t="str">
        <f aca="false">IF(COUNTIFS(응답입력!$AH$3:$HD$3,"L24",응답입력!$AH16:$HD16,"&lt;9")&gt;=3,SUMIFS(응답입력!$AH16:$HD16,응답입력!$AH$3:$HD$3,"L24",응답입력!$AH16:$HD16,"&lt;9")/COUNTIFS(응답입력!$AH$3:$HD$3,"L24",응답입력!$AH16:$HD16,"&lt;9"),"")</f>
        <v/>
      </c>
      <c r="Z15" s="35" t="str">
        <f aca="false">IF(COUNTIFS(응답입력!$AH$3:$HD$3,"L25",응답입력!$AH16:$HD16,"&lt;9")&gt;=3,SUMIFS(응답입력!$AH16:$HD16,응답입력!$AH$3:$HD$3,"L25",응답입력!$AH16:$HD16,"&lt;9")/COUNTIFS(응답입력!$AH$3:$HD$3,"L25",응답입력!$AH16:$HD16,"&lt;9"),"")</f>
        <v/>
      </c>
      <c r="AA15" s="35" t="str">
        <f aca="false">IF(COUNTIFS(응답입력!$AH$3:$HD$3,"L26",응답입력!$AH16:$HD16,"&lt;9")&gt;=3,SUMIFS(응답입력!$AH16:$HD16,응답입력!$AH$3:$HD$3,"L26",응답입력!$AH16:$HD16,"&lt;9")/COUNTIFS(응답입력!$AH$3:$HD$3,"L26",응답입력!$AH16:$HD16,"&lt;9"),"")</f>
        <v/>
      </c>
      <c r="AB15" s="35" t="str">
        <f aca="false">IF(COUNTIFS(응답입력!$AH$3:$HD$3,"L27",응답입력!$AH16:$HD16,"&lt;9")&gt;=3,SUMIFS(응답입력!$AH16:$HD16,응답입력!$AH$3:$HD$3,"L27",응답입력!$AH16:$HD16,"&lt;9")/COUNTIFS(응답입력!$AH$3:$HD$3,"L27",응답입력!$AH16:$HD16,"&lt;9"),"")</f>
        <v/>
      </c>
      <c r="AC15" s="35" t="str">
        <f aca="false">IF(COUNTIFS(응답입력!$AH$3:$HD$3,"L28",응답입력!$AH16:$HD16,"&lt;9")&gt;=3,SUMIFS(응답입력!$AH16:$HD16,응답입력!$AH$3:$HD$3,"L28",응답입력!$AH16:$HD16,"&lt;9")/COUNTIFS(응답입력!$AH$3:$HD$3,"L28",응답입력!$AH16:$HD16,"&lt;9"),"")</f>
        <v/>
      </c>
      <c r="AD15" s="35" t="str">
        <f aca="false">IF(COUNTIFS(응답입력!$AH$3:$HD$3,"L29",응답입력!$AH16:$HD16,"&lt;9")&gt;=3,SUMIFS(응답입력!$AH16:$HD16,응답입력!$AH$3:$HD$3,"L29",응답입력!$AH16:$HD16,"&lt;9")/COUNTIFS(응답입력!$AH$3:$HD$3,"L29",응답입력!$AH16:$HD16,"&lt;9"),"")</f>
        <v/>
      </c>
      <c r="AE15" s="35" t="str">
        <f aca="false">IF(COUNTIFS(응답입력!$AH$3:$HD$3,"L30",응답입력!$AH16:$HD16,"&lt;9")&gt;=3,SUMIFS(응답입력!$AH16:$HD16,응답입력!$AH$3:$HD$3,"L30",응답입력!$AH16:$HD16,"&lt;9")/COUNTIFS(응답입력!$AH$3:$HD$3,"L30",응답입력!$AH16:$HD16,"&lt;9"),"")</f>
        <v/>
      </c>
      <c r="AF15" s="35" t="str">
        <f aca="false">IF(COUNTIFS(응답입력!$AH$3:$HD$3,"L31",응답입력!$AH16:$HD16,"&lt;9")&gt;=3,SUMIFS(응답입력!$AH16:$HD16,응답입력!$AH$3:$HD$3,"L31",응답입력!$AH16:$HD16,"&lt;9")/COUNTIFS(응답입력!$AH$3:$HD$3,"L31",응답입력!$AH16:$HD16,"&lt;9"),"")</f>
        <v/>
      </c>
      <c r="AG15" s="41" t="str">
        <f aca="false">IFERROR(AVERAGE(B15:AF15),"")</f>
        <v/>
      </c>
    </row>
    <row r="16" customFormat="false" ht="15" hidden="false" customHeight="false" outlineLevel="0" collapsed="false">
      <c r="A16" s="27" t="str">
        <f aca="false">IF(응답입력!A17="","",응답입력!A17)</f>
        <v/>
      </c>
      <c r="B16" s="35" t="str">
        <f aca="false">IF(COUNTIFS(응답입력!$AH$3:$HD$3,"L01",응답입력!$AH17:$HD17,"&lt;9")&gt;=3,SUMIFS(응답입력!$AH17:$HD17,응답입력!$AH$3:$HD$3,"L01",응답입력!$AH17:$HD17,"&lt;9")/COUNTIFS(응답입력!$AH$3:$HD$3,"L01",응답입력!$AH17:$HD17,"&lt;9"),"")</f>
        <v/>
      </c>
      <c r="C16" s="35" t="str">
        <f aca="false">IF(COUNTIFS(응답입력!$AH$3:$HD$3,"L02",응답입력!$AH17:$HD17,"&lt;9")&gt;=3,SUMIFS(응답입력!$AH17:$HD17,응답입력!$AH$3:$HD$3,"L02",응답입력!$AH17:$HD17,"&lt;9")/COUNTIFS(응답입력!$AH$3:$HD$3,"L02",응답입력!$AH17:$HD17,"&lt;9"),"")</f>
        <v/>
      </c>
      <c r="D16" s="35" t="str">
        <f aca="false">IF(COUNTIFS(응답입력!$AH$3:$HD$3,"L03",응답입력!$AH17:$HD17,"&lt;9")&gt;=3,SUMIFS(응답입력!$AH17:$HD17,응답입력!$AH$3:$HD$3,"L03",응답입력!$AH17:$HD17,"&lt;9")/COUNTIFS(응답입력!$AH$3:$HD$3,"L03",응답입력!$AH17:$HD17,"&lt;9"),"")</f>
        <v/>
      </c>
      <c r="E16" s="35" t="str">
        <f aca="false">IF(COUNTIFS(응답입력!$AH$3:$HD$3,"L04",응답입력!$AH17:$HD17,"&lt;9")&gt;=3,SUMIFS(응답입력!$AH17:$HD17,응답입력!$AH$3:$HD$3,"L04",응답입력!$AH17:$HD17,"&lt;9")/COUNTIFS(응답입력!$AH$3:$HD$3,"L04",응답입력!$AH17:$HD17,"&lt;9"),"")</f>
        <v/>
      </c>
      <c r="F16" s="35" t="str">
        <f aca="false">IF(COUNTIFS(응답입력!$AH$3:$HD$3,"L05",응답입력!$AH17:$HD17,"&lt;9")&gt;=3,SUMIFS(응답입력!$AH17:$HD17,응답입력!$AH$3:$HD$3,"L05",응답입력!$AH17:$HD17,"&lt;9")/COUNTIFS(응답입력!$AH$3:$HD$3,"L05",응답입력!$AH17:$HD17,"&lt;9"),"")</f>
        <v/>
      </c>
      <c r="G16" s="35" t="str">
        <f aca="false">IF(COUNTIFS(응답입력!$AH$3:$HD$3,"L06",응답입력!$AH17:$HD17,"&lt;9")&gt;=3,SUMIFS(응답입력!$AH17:$HD17,응답입력!$AH$3:$HD$3,"L06",응답입력!$AH17:$HD17,"&lt;9")/COUNTIFS(응답입력!$AH$3:$HD$3,"L06",응답입력!$AH17:$HD17,"&lt;9"),"")</f>
        <v/>
      </c>
      <c r="H16" s="35" t="str">
        <f aca="false">IF(COUNTIFS(응답입력!$AH$3:$HD$3,"L07",응답입력!$AH17:$HD17,"&lt;9")&gt;=3,SUMIFS(응답입력!$AH17:$HD17,응답입력!$AH$3:$HD$3,"L07",응답입력!$AH17:$HD17,"&lt;9")/COUNTIFS(응답입력!$AH$3:$HD$3,"L07",응답입력!$AH17:$HD17,"&lt;9"),"")</f>
        <v/>
      </c>
      <c r="I16" s="35" t="str">
        <f aca="false">IF(COUNTIFS(응답입력!$AH$3:$HD$3,"L08",응답입력!$AH17:$HD17,"&lt;9")&gt;=3,SUMIFS(응답입력!$AH17:$HD17,응답입력!$AH$3:$HD$3,"L08",응답입력!$AH17:$HD17,"&lt;9")/COUNTIFS(응답입력!$AH$3:$HD$3,"L08",응답입력!$AH17:$HD17,"&lt;9"),"")</f>
        <v/>
      </c>
      <c r="J16" s="35" t="str">
        <f aca="false">IF(COUNTIFS(응답입력!$AH$3:$HD$3,"L09",응답입력!$AH17:$HD17,"&lt;9")&gt;=3,SUMIFS(응답입력!$AH17:$HD17,응답입력!$AH$3:$HD$3,"L09",응답입력!$AH17:$HD17,"&lt;9")/COUNTIFS(응답입력!$AH$3:$HD$3,"L09",응답입력!$AH17:$HD17,"&lt;9"),"")</f>
        <v/>
      </c>
      <c r="K16" s="35" t="str">
        <f aca="false">IF(COUNTIFS(응답입력!$AH$3:$HD$3,"L10",응답입력!$AH17:$HD17,"&lt;9")&gt;=3,SUMIFS(응답입력!$AH17:$HD17,응답입력!$AH$3:$HD$3,"L10",응답입력!$AH17:$HD17,"&lt;9")/COUNTIFS(응답입력!$AH$3:$HD$3,"L10",응답입력!$AH17:$HD17,"&lt;9"),"")</f>
        <v/>
      </c>
      <c r="L16" s="35" t="str">
        <f aca="false">IF(COUNTIFS(응답입력!$AH$3:$HD$3,"L11",응답입력!$AH17:$HD17,"&lt;9")&gt;=3,SUMIFS(응답입력!$AH17:$HD17,응답입력!$AH$3:$HD$3,"L11",응답입력!$AH17:$HD17,"&lt;9")/COUNTIFS(응답입력!$AH$3:$HD$3,"L11",응답입력!$AH17:$HD17,"&lt;9"),"")</f>
        <v/>
      </c>
      <c r="M16" s="35" t="str">
        <f aca="false">IF(COUNTIFS(응답입력!$AH$3:$HD$3,"L12",응답입력!$AH17:$HD17,"&lt;9")&gt;=3,SUMIFS(응답입력!$AH17:$HD17,응답입력!$AH$3:$HD$3,"L12",응답입력!$AH17:$HD17,"&lt;9")/COUNTIFS(응답입력!$AH$3:$HD$3,"L12",응답입력!$AH17:$HD17,"&lt;9"),"")</f>
        <v/>
      </c>
      <c r="N16" s="35" t="str">
        <f aca="false">IF(COUNTIFS(응답입력!$AH$3:$HD$3,"L13",응답입력!$AH17:$HD17,"&lt;9")&gt;=3,SUMIFS(응답입력!$AH17:$HD17,응답입력!$AH$3:$HD$3,"L13",응답입력!$AH17:$HD17,"&lt;9")/COUNTIFS(응답입력!$AH$3:$HD$3,"L13",응답입력!$AH17:$HD17,"&lt;9"),"")</f>
        <v/>
      </c>
      <c r="O16" s="35" t="str">
        <f aca="false">IF(COUNTIFS(응답입력!$AH$3:$HD$3,"L14",응답입력!$AH17:$HD17,"&lt;9")&gt;=3,SUMIFS(응답입력!$AH17:$HD17,응답입력!$AH$3:$HD$3,"L14",응답입력!$AH17:$HD17,"&lt;9")/COUNTIFS(응답입력!$AH$3:$HD$3,"L14",응답입력!$AH17:$HD17,"&lt;9"),"")</f>
        <v/>
      </c>
      <c r="P16" s="35" t="str">
        <f aca="false">IF(COUNTIFS(응답입력!$AH$3:$HD$3,"L15",응답입력!$AH17:$HD17,"&lt;9")&gt;=3,SUMIFS(응답입력!$AH17:$HD17,응답입력!$AH$3:$HD$3,"L15",응답입력!$AH17:$HD17,"&lt;9")/COUNTIFS(응답입력!$AH$3:$HD$3,"L15",응답입력!$AH17:$HD17,"&lt;9"),"")</f>
        <v/>
      </c>
      <c r="Q16" s="35" t="str">
        <f aca="false">IF(COUNTIFS(응답입력!$AH$3:$HD$3,"L16",응답입력!$AH17:$HD17,"&lt;9")&gt;=3,SUMIFS(응답입력!$AH17:$HD17,응답입력!$AH$3:$HD$3,"L16",응답입력!$AH17:$HD17,"&lt;9")/COUNTIFS(응답입력!$AH$3:$HD$3,"L16",응답입력!$AH17:$HD17,"&lt;9"),"")</f>
        <v/>
      </c>
      <c r="R16" s="35" t="str">
        <f aca="false">IF(COUNTIFS(응답입력!$AH$3:$HD$3,"L17",응답입력!$AH17:$HD17,"&lt;9")&gt;=3,SUMIFS(응답입력!$AH17:$HD17,응답입력!$AH$3:$HD$3,"L17",응답입력!$AH17:$HD17,"&lt;9")/COUNTIFS(응답입력!$AH$3:$HD$3,"L17",응답입력!$AH17:$HD17,"&lt;9"),"")</f>
        <v/>
      </c>
      <c r="S16" s="35" t="str">
        <f aca="false">IF(COUNTIFS(응답입력!$AH$3:$HD$3,"L18",응답입력!$AH17:$HD17,"&lt;9")&gt;=3,SUMIFS(응답입력!$AH17:$HD17,응답입력!$AH$3:$HD$3,"L18",응답입력!$AH17:$HD17,"&lt;9")/COUNTIFS(응답입력!$AH$3:$HD$3,"L18",응답입력!$AH17:$HD17,"&lt;9"),"")</f>
        <v/>
      </c>
      <c r="T16" s="35" t="str">
        <f aca="false">IF(COUNTIFS(응답입력!$AH$3:$HD$3,"L19",응답입력!$AH17:$HD17,"&lt;9")&gt;=3,SUMIFS(응답입력!$AH17:$HD17,응답입력!$AH$3:$HD$3,"L19",응답입력!$AH17:$HD17,"&lt;9")/COUNTIFS(응답입력!$AH$3:$HD$3,"L19",응답입력!$AH17:$HD17,"&lt;9"),"")</f>
        <v/>
      </c>
      <c r="U16" s="35" t="str">
        <f aca="false">IF(COUNTIFS(응답입력!$AH$3:$HD$3,"L20",응답입력!$AH17:$HD17,"&lt;9")&gt;=3,SUMIFS(응답입력!$AH17:$HD17,응답입력!$AH$3:$HD$3,"L20",응답입력!$AH17:$HD17,"&lt;9")/COUNTIFS(응답입력!$AH$3:$HD$3,"L20",응답입력!$AH17:$HD17,"&lt;9"),"")</f>
        <v/>
      </c>
      <c r="V16" s="35" t="str">
        <f aca="false">IF(COUNTIFS(응답입력!$AH$3:$HD$3,"L21",응답입력!$AH17:$HD17,"&lt;9")&gt;=3,SUMIFS(응답입력!$AH17:$HD17,응답입력!$AH$3:$HD$3,"L21",응답입력!$AH17:$HD17,"&lt;9")/COUNTIFS(응답입력!$AH$3:$HD$3,"L21",응답입력!$AH17:$HD17,"&lt;9"),"")</f>
        <v/>
      </c>
      <c r="W16" s="35" t="str">
        <f aca="false">IF(COUNTIFS(응답입력!$AH$3:$HD$3,"L22",응답입력!$AH17:$HD17,"&lt;9")&gt;=3,SUMIFS(응답입력!$AH17:$HD17,응답입력!$AH$3:$HD$3,"L22",응답입력!$AH17:$HD17,"&lt;9")/COUNTIFS(응답입력!$AH$3:$HD$3,"L22",응답입력!$AH17:$HD17,"&lt;9"),"")</f>
        <v/>
      </c>
      <c r="X16" s="35" t="str">
        <f aca="false">IF(COUNTIFS(응답입력!$AH$3:$HD$3,"L23",응답입력!$AH17:$HD17,"&lt;9")&gt;=3,SUMIFS(응답입력!$AH17:$HD17,응답입력!$AH$3:$HD$3,"L23",응답입력!$AH17:$HD17,"&lt;9")/COUNTIFS(응답입력!$AH$3:$HD$3,"L23",응답입력!$AH17:$HD17,"&lt;9"),"")</f>
        <v/>
      </c>
      <c r="Y16" s="35" t="str">
        <f aca="false">IF(COUNTIFS(응답입력!$AH$3:$HD$3,"L24",응답입력!$AH17:$HD17,"&lt;9")&gt;=3,SUMIFS(응답입력!$AH17:$HD17,응답입력!$AH$3:$HD$3,"L24",응답입력!$AH17:$HD17,"&lt;9")/COUNTIFS(응답입력!$AH$3:$HD$3,"L24",응답입력!$AH17:$HD17,"&lt;9"),"")</f>
        <v/>
      </c>
      <c r="Z16" s="35" t="str">
        <f aca="false">IF(COUNTIFS(응답입력!$AH$3:$HD$3,"L25",응답입력!$AH17:$HD17,"&lt;9")&gt;=3,SUMIFS(응답입력!$AH17:$HD17,응답입력!$AH$3:$HD$3,"L25",응답입력!$AH17:$HD17,"&lt;9")/COUNTIFS(응답입력!$AH$3:$HD$3,"L25",응답입력!$AH17:$HD17,"&lt;9"),"")</f>
        <v/>
      </c>
      <c r="AA16" s="35" t="str">
        <f aca="false">IF(COUNTIFS(응답입력!$AH$3:$HD$3,"L26",응답입력!$AH17:$HD17,"&lt;9")&gt;=3,SUMIFS(응답입력!$AH17:$HD17,응답입력!$AH$3:$HD$3,"L26",응답입력!$AH17:$HD17,"&lt;9")/COUNTIFS(응답입력!$AH$3:$HD$3,"L26",응답입력!$AH17:$HD17,"&lt;9"),"")</f>
        <v/>
      </c>
      <c r="AB16" s="35" t="str">
        <f aca="false">IF(COUNTIFS(응답입력!$AH$3:$HD$3,"L27",응답입력!$AH17:$HD17,"&lt;9")&gt;=3,SUMIFS(응답입력!$AH17:$HD17,응답입력!$AH$3:$HD$3,"L27",응답입력!$AH17:$HD17,"&lt;9")/COUNTIFS(응답입력!$AH$3:$HD$3,"L27",응답입력!$AH17:$HD17,"&lt;9"),"")</f>
        <v/>
      </c>
      <c r="AC16" s="35" t="str">
        <f aca="false">IF(COUNTIFS(응답입력!$AH$3:$HD$3,"L28",응답입력!$AH17:$HD17,"&lt;9")&gt;=3,SUMIFS(응답입력!$AH17:$HD17,응답입력!$AH$3:$HD$3,"L28",응답입력!$AH17:$HD17,"&lt;9")/COUNTIFS(응답입력!$AH$3:$HD$3,"L28",응답입력!$AH17:$HD17,"&lt;9"),"")</f>
        <v/>
      </c>
      <c r="AD16" s="35" t="str">
        <f aca="false">IF(COUNTIFS(응답입력!$AH$3:$HD$3,"L29",응답입력!$AH17:$HD17,"&lt;9")&gt;=3,SUMIFS(응답입력!$AH17:$HD17,응답입력!$AH$3:$HD$3,"L29",응답입력!$AH17:$HD17,"&lt;9")/COUNTIFS(응답입력!$AH$3:$HD$3,"L29",응답입력!$AH17:$HD17,"&lt;9"),"")</f>
        <v/>
      </c>
      <c r="AE16" s="35" t="str">
        <f aca="false">IF(COUNTIFS(응답입력!$AH$3:$HD$3,"L30",응답입력!$AH17:$HD17,"&lt;9")&gt;=3,SUMIFS(응답입력!$AH17:$HD17,응답입력!$AH$3:$HD$3,"L30",응답입력!$AH17:$HD17,"&lt;9")/COUNTIFS(응답입력!$AH$3:$HD$3,"L30",응답입력!$AH17:$HD17,"&lt;9"),"")</f>
        <v/>
      </c>
      <c r="AF16" s="35" t="str">
        <f aca="false">IF(COUNTIFS(응답입력!$AH$3:$HD$3,"L31",응답입력!$AH17:$HD17,"&lt;9")&gt;=3,SUMIFS(응답입력!$AH17:$HD17,응답입력!$AH$3:$HD$3,"L31",응답입력!$AH17:$HD17,"&lt;9")/COUNTIFS(응답입력!$AH$3:$HD$3,"L31",응답입력!$AH17:$HD17,"&lt;9"),"")</f>
        <v/>
      </c>
      <c r="AG16" s="41" t="str">
        <f aca="false">IFERROR(AVERAGE(B16:AF16),"")</f>
        <v/>
      </c>
    </row>
    <row r="17" customFormat="false" ht="15" hidden="false" customHeight="false" outlineLevel="0" collapsed="false">
      <c r="A17" s="27" t="str">
        <f aca="false">IF(응답입력!A18="","",응답입력!A18)</f>
        <v/>
      </c>
      <c r="B17" s="35" t="str">
        <f aca="false">IF(COUNTIFS(응답입력!$AH$3:$HD$3,"L01",응답입력!$AH18:$HD18,"&lt;9")&gt;=3,SUMIFS(응답입력!$AH18:$HD18,응답입력!$AH$3:$HD$3,"L01",응답입력!$AH18:$HD18,"&lt;9")/COUNTIFS(응답입력!$AH$3:$HD$3,"L01",응답입력!$AH18:$HD18,"&lt;9"),"")</f>
        <v/>
      </c>
      <c r="C17" s="35" t="str">
        <f aca="false">IF(COUNTIFS(응답입력!$AH$3:$HD$3,"L02",응답입력!$AH18:$HD18,"&lt;9")&gt;=3,SUMIFS(응답입력!$AH18:$HD18,응답입력!$AH$3:$HD$3,"L02",응답입력!$AH18:$HD18,"&lt;9")/COUNTIFS(응답입력!$AH$3:$HD$3,"L02",응답입력!$AH18:$HD18,"&lt;9"),"")</f>
        <v/>
      </c>
      <c r="D17" s="35" t="str">
        <f aca="false">IF(COUNTIFS(응답입력!$AH$3:$HD$3,"L03",응답입력!$AH18:$HD18,"&lt;9")&gt;=3,SUMIFS(응답입력!$AH18:$HD18,응답입력!$AH$3:$HD$3,"L03",응답입력!$AH18:$HD18,"&lt;9")/COUNTIFS(응답입력!$AH$3:$HD$3,"L03",응답입력!$AH18:$HD18,"&lt;9"),"")</f>
        <v/>
      </c>
      <c r="E17" s="35" t="str">
        <f aca="false">IF(COUNTIFS(응답입력!$AH$3:$HD$3,"L04",응답입력!$AH18:$HD18,"&lt;9")&gt;=3,SUMIFS(응답입력!$AH18:$HD18,응답입력!$AH$3:$HD$3,"L04",응답입력!$AH18:$HD18,"&lt;9")/COUNTIFS(응답입력!$AH$3:$HD$3,"L04",응답입력!$AH18:$HD18,"&lt;9"),"")</f>
        <v/>
      </c>
      <c r="F17" s="35" t="str">
        <f aca="false">IF(COUNTIFS(응답입력!$AH$3:$HD$3,"L05",응답입력!$AH18:$HD18,"&lt;9")&gt;=3,SUMIFS(응답입력!$AH18:$HD18,응답입력!$AH$3:$HD$3,"L05",응답입력!$AH18:$HD18,"&lt;9")/COUNTIFS(응답입력!$AH$3:$HD$3,"L05",응답입력!$AH18:$HD18,"&lt;9"),"")</f>
        <v/>
      </c>
      <c r="G17" s="35" t="str">
        <f aca="false">IF(COUNTIFS(응답입력!$AH$3:$HD$3,"L06",응답입력!$AH18:$HD18,"&lt;9")&gt;=3,SUMIFS(응답입력!$AH18:$HD18,응답입력!$AH$3:$HD$3,"L06",응답입력!$AH18:$HD18,"&lt;9")/COUNTIFS(응답입력!$AH$3:$HD$3,"L06",응답입력!$AH18:$HD18,"&lt;9"),"")</f>
        <v/>
      </c>
      <c r="H17" s="35" t="str">
        <f aca="false">IF(COUNTIFS(응답입력!$AH$3:$HD$3,"L07",응답입력!$AH18:$HD18,"&lt;9")&gt;=3,SUMIFS(응답입력!$AH18:$HD18,응답입력!$AH$3:$HD$3,"L07",응답입력!$AH18:$HD18,"&lt;9")/COUNTIFS(응답입력!$AH$3:$HD$3,"L07",응답입력!$AH18:$HD18,"&lt;9"),"")</f>
        <v/>
      </c>
      <c r="I17" s="35" t="str">
        <f aca="false">IF(COUNTIFS(응답입력!$AH$3:$HD$3,"L08",응답입력!$AH18:$HD18,"&lt;9")&gt;=3,SUMIFS(응답입력!$AH18:$HD18,응답입력!$AH$3:$HD$3,"L08",응답입력!$AH18:$HD18,"&lt;9")/COUNTIFS(응답입력!$AH$3:$HD$3,"L08",응답입력!$AH18:$HD18,"&lt;9"),"")</f>
        <v/>
      </c>
      <c r="J17" s="35" t="str">
        <f aca="false">IF(COUNTIFS(응답입력!$AH$3:$HD$3,"L09",응답입력!$AH18:$HD18,"&lt;9")&gt;=3,SUMIFS(응답입력!$AH18:$HD18,응답입력!$AH$3:$HD$3,"L09",응답입력!$AH18:$HD18,"&lt;9")/COUNTIFS(응답입력!$AH$3:$HD$3,"L09",응답입력!$AH18:$HD18,"&lt;9"),"")</f>
        <v/>
      </c>
      <c r="K17" s="35" t="str">
        <f aca="false">IF(COUNTIFS(응답입력!$AH$3:$HD$3,"L10",응답입력!$AH18:$HD18,"&lt;9")&gt;=3,SUMIFS(응답입력!$AH18:$HD18,응답입력!$AH$3:$HD$3,"L10",응답입력!$AH18:$HD18,"&lt;9")/COUNTIFS(응답입력!$AH$3:$HD$3,"L10",응답입력!$AH18:$HD18,"&lt;9"),"")</f>
        <v/>
      </c>
      <c r="L17" s="35" t="str">
        <f aca="false">IF(COUNTIFS(응답입력!$AH$3:$HD$3,"L11",응답입력!$AH18:$HD18,"&lt;9")&gt;=3,SUMIFS(응답입력!$AH18:$HD18,응답입력!$AH$3:$HD$3,"L11",응답입력!$AH18:$HD18,"&lt;9")/COUNTIFS(응답입력!$AH$3:$HD$3,"L11",응답입력!$AH18:$HD18,"&lt;9"),"")</f>
        <v/>
      </c>
      <c r="M17" s="35" t="str">
        <f aca="false">IF(COUNTIFS(응답입력!$AH$3:$HD$3,"L12",응답입력!$AH18:$HD18,"&lt;9")&gt;=3,SUMIFS(응답입력!$AH18:$HD18,응답입력!$AH$3:$HD$3,"L12",응답입력!$AH18:$HD18,"&lt;9")/COUNTIFS(응답입력!$AH$3:$HD$3,"L12",응답입력!$AH18:$HD18,"&lt;9"),"")</f>
        <v/>
      </c>
      <c r="N17" s="35" t="str">
        <f aca="false">IF(COUNTIFS(응답입력!$AH$3:$HD$3,"L13",응답입력!$AH18:$HD18,"&lt;9")&gt;=3,SUMIFS(응답입력!$AH18:$HD18,응답입력!$AH$3:$HD$3,"L13",응답입력!$AH18:$HD18,"&lt;9")/COUNTIFS(응답입력!$AH$3:$HD$3,"L13",응답입력!$AH18:$HD18,"&lt;9"),"")</f>
        <v/>
      </c>
      <c r="O17" s="35" t="str">
        <f aca="false">IF(COUNTIFS(응답입력!$AH$3:$HD$3,"L14",응답입력!$AH18:$HD18,"&lt;9")&gt;=3,SUMIFS(응답입력!$AH18:$HD18,응답입력!$AH$3:$HD$3,"L14",응답입력!$AH18:$HD18,"&lt;9")/COUNTIFS(응답입력!$AH$3:$HD$3,"L14",응답입력!$AH18:$HD18,"&lt;9"),"")</f>
        <v/>
      </c>
      <c r="P17" s="35" t="str">
        <f aca="false">IF(COUNTIFS(응답입력!$AH$3:$HD$3,"L15",응답입력!$AH18:$HD18,"&lt;9")&gt;=3,SUMIFS(응답입력!$AH18:$HD18,응답입력!$AH$3:$HD$3,"L15",응답입력!$AH18:$HD18,"&lt;9")/COUNTIFS(응답입력!$AH$3:$HD$3,"L15",응답입력!$AH18:$HD18,"&lt;9"),"")</f>
        <v/>
      </c>
      <c r="Q17" s="35" t="str">
        <f aca="false">IF(COUNTIFS(응답입력!$AH$3:$HD$3,"L16",응답입력!$AH18:$HD18,"&lt;9")&gt;=3,SUMIFS(응답입력!$AH18:$HD18,응답입력!$AH$3:$HD$3,"L16",응답입력!$AH18:$HD18,"&lt;9")/COUNTIFS(응답입력!$AH$3:$HD$3,"L16",응답입력!$AH18:$HD18,"&lt;9"),"")</f>
        <v/>
      </c>
      <c r="R17" s="35" t="str">
        <f aca="false">IF(COUNTIFS(응답입력!$AH$3:$HD$3,"L17",응답입력!$AH18:$HD18,"&lt;9")&gt;=3,SUMIFS(응답입력!$AH18:$HD18,응답입력!$AH$3:$HD$3,"L17",응답입력!$AH18:$HD18,"&lt;9")/COUNTIFS(응답입력!$AH$3:$HD$3,"L17",응답입력!$AH18:$HD18,"&lt;9"),"")</f>
        <v/>
      </c>
      <c r="S17" s="35" t="str">
        <f aca="false">IF(COUNTIFS(응답입력!$AH$3:$HD$3,"L18",응답입력!$AH18:$HD18,"&lt;9")&gt;=3,SUMIFS(응답입력!$AH18:$HD18,응답입력!$AH$3:$HD$3,"L18",응답입력!$AH18:$HD18,"&lt;9")/COUNTIFS(응답입력!$AH$3:$HD$3,"L18",응답입력!$AH18:$HD18,"&lt;9"),"")</f>
        <v/>
      </c>
      <c r="T17" s="35" t="str">
        <f aca="false">IF(COUNTIFS(응답입력!$AH$3:$HD$3,"L19",응답입력!$AH18:$HD18,"&lt;9")&gt;=3,SUMIFS(응답입력!$AH18:$HD18,응답입력!$AH$3:$HD$3,"L19",응답입력!$AH18:$HD18,"&lt;9")/COUNTIFS(응답입력!$AH$3:$HD$3,"L19",응답입력!$AH18:$HD18,"&lt;9"),"")</f>
        <v/>
      </c>
      <c r="U17" s="35" t="str">
        <f aca="false">IF(COUNTIFS(응답입력!$AH$3:$HD$3,"L20",응답입력!$AH18:$HD18,"&lt;9")&gt;=3,SUMIFS(응답입력!$AH18:$HD18,응답입력!$AH$3:$HD$3,"L20",응답입력!$AH18:$HD18,"&lt;9")/COUNTIFS(응답입력!$AH$3:$HD$3,"L20",응답입력!$AH18:$HD18,"&lt;9"),"")</f>
        <v/>
      </c>
      <c r="V17" s="35" t="str">
        <f aca="false">IF(COUNTIFS(응답입력!$AH$3:$HD$3,"L21",응답입력!$AH18:$HD18,"&lt;9")&gt;=3,SUMIFS(응답입력!$AH18:$HD18,응답입력!$AH$3:$HD$3,"L21",응답입력!$AH18:$HD18,"&lt;9")/COUNTIFS(응답입력!$AH$3:$HD$3,"L21",응답입력!$AH18:$HD18,"&lt;9"),"")</f>
        <v/>
      </c>
      <c r="W17" s="35" t="str">
        <f aca="false">IF(COUNTIFS(응답입력!$AH$3:$HD$3,"L22",응답입력!$AH18:$HD18,"&lt;9")&gt;=3,SUMIFS(응답입력!$AH18:$HD18,응답입력!$AH$3:$HD$3,"L22",응답입력!$AH18:$HD18,"&lt;9")/COUNTIFS(응답입력!$AH$3:$HD$3,"L22",응답입력!$AH18:$HD18,"&lt;9"),"")</f>
        <v/>
      </c>
      <c r="X17" s="35" t="str">
        <f aca="false">IF(COUNTIFS(응답입력!$AH$3:$HD$3,"L23",응답입력!$AH18:$HD18,"&lt;9")&gt;=3,SUMIFS(응답입력!$AH18:$HD18,응답입력!$AH$3:$HD$3,"L23",응답입력!$AH18:$HD18,"&lt;9")/COUNTIFS(응답입력!$AH$3:$HD$3,"L23",응답입력!$AH18:$HD18,"&lt;9"),"")</f>
        <v/>
      </c>
      <c r="Y17" s="35" t="str">
        <f aca="false">IF(COUNTIFS(응답입력!$AH$3:$HD$3,"L24",응답입력!$AH18:$HD18,"&lt;9")&gt;=3,SUMIFS(응답입력!$AH18:$HD18,응답입력!$AH$3:$HD$3,"L24",응답입력!$AH18:$HD18,"&lt;9")/COUNTIFS(응답입력!$AH$3:$HD$3,"L24",응답입력!$AH18:$HD18,"&lt;9"),"")</f>
        <v/>
      </c>
      <c r="Z17" s="35" t="str">
        <f aca="false">IF(COUNTIFS(응답입력!$AH$3:$HD$3,"L25",응답입력!$AH18:$HD18,"&lt;9")&gt;=3,SUMIFS(응답입력!$AH18:$HD18,응답입력!$AH$3:$HD$3,"L25",응답입력!$AH18:$HD18,"&lt;9")/COUNTIFS(응답입력!$AH$3:$HD$3,"L25",응답입력!$AH18:$HD18,"&lt;9"),"")</f>
        <v/>
      </c>
      <c r="AA17" s="35" t="str">
        <f aca="false">IF(COUNTIFS(응답입력!$AH$3:$HD$3,"L26",응답입력!$AH18:$HD18,"&lt;9")&gt;=3,SUMIFS(응답입력!$AH18:$HD18,응답입력!$AH$3:$HD$3,"L26",응답입력!$AH18:$HD18,"&lt;9")/COUNTIFS(응답입력!$AH$3:$HD$3,"L26",응답입력!$AH18:$HD18,"&lt;9"),"")</f>
        <v/>
      </c>
      <c r="AB17" s="35" t="str">
        <f aca="false">IF(COUNTIFS(응답입력!$AH$3:$HD$3,"L27",응답입력!$AH18:$HD18,"&lt;9")&gt;=3,SUMIFS(응답입력!$AH18:$HD18,응답입력!$AH$3:$HD$3,"L27",응답입력!$AH18:$HD18,"&lt;9")/COUNTIFS(응답입력!$AH$3:$HD$3,"L27",응답입력!$AH18:$HD18,"&lt;9"),"")</f>
        <v/>
      </c>
      <c r="AC17" s="35" t="str">
        <f aca="false">IF(COUNTIFS(응답입력!$AH$3:$HD$3,"L28",응답입력!$AH18:$HD18,"&lt;9")&gt;=3,SUMIFS(응답입력!$AH18:$HD18,응답입력!$AH$3:$HD$3,"L28",응답입력!$AH18:$HD18,"&lt;9")/COUNTIFS(응답입력!$AH$3:$HD$3,"L28",응답입력!$AH18:$HD18,"&lt;9"),"")</f>
        <v/>
      </c>
      <c r="AD17" s="35" t="str">
        <f aca="false">IF(COUNTIFS(응답입력!$AH$3:$HD$3,"L29",응답입력!$AH18:$HD18,"&lt;9")&gt;=3,SUMIFS(응답입력!$AH18:$HD18,응답입력!$AH$3:$HD$3,"L29",응답입력!$AH18:$HD18,"&lt;9")/COUNTIFS(응답입력!$AH$3:$HD$3,"L29",응답입력!$AH18:$HD18,"&lt;9"),"")</f>
        <v/>
      </c>
      <c r="AE17" s="35" t="str">
        <f aca="false">IF(COUNTIFS(응답입력!$AH$3:$HD$3,"L30",응답입력!$AH18:$HD18,"&lt;9")&gt;=3,SUMIFS(응답입력!$AH18:$HD18,응답입력!$AH$3:$HD$3,"L30",응답입력!$AH18:$HD18,"&lt;9")/COUNTIFS(응답입력!$AH$3:$HD$3,"L30",응답입력!$AH18:$HD18,"&lt;9"),"")</f>
        <v/>
      </c>
      <c r="AF17" s="35" t="str">
        <f aca="false">IF(COUNTIFS(응답입력!$AH$3:$HD$3,"L31",응답입력!$AH18:$HD18,"&lt;9")&gt;=3,SUMIFS(응답입력!$AH18:$HD18,응답입력!$AH$3:$HD$3,"L31",응답입력!$AH18:$HD18,"&lt;9")/COUNTIFS(응답입력!$AH$3:$HD$3,"L31",응답입력!$AH18:$HD18,"&lt;9"),"")</f>
        <v/>
      </c>
      <c r="AG17" s="41" t="str">
        <f aca="false">IFERROR(AVERAGE(B17:AF17),"")</f>
        <v/>
      </c>
    </row>
    <row r="18" customFormat="false" ht="15" hidden="false" customHeight="false" outlineLevel="0" collapsed="false">
      <c r="A18" s="27" t="str">
        <f aca="false">IF(응답입력!A19="","",응답입력!A19)</f>
        <v/>
      </c>
      <c r="B18" s="35" t="str">
        <f aca="false">IF(COUNTIFS(응답입력!$AH$3:$HD$3,"L01",응답입력!$AH19:$HD19,"&lt;9")&gt;=3,SUMIFS(응답입력!$AH19:$HD19,응답입력!$AH$3:$HD$3,"L01",응답입력!$AH19:$HD19,"&lt;9")/COUNTIFS(응답입력!$AH$3:$HD$3,"L01",응답입력!$AH19:$HD19,"&lt;9"),"")</f>
        <v/>
      </c>
      <c r="C18" s="35" t="str">
        <f aca="false">IF(COUNTIFS(응답입력!$AH$3:$HD$3,"L02",응답입력!$AH19:$HD19,"&lt;9")&gt;=3,SUMIFS(응답입력!$AH19:$HD19,응답입력!$AH$3:$HD$3,"L02",응답입력!$AH19:$HD19,"&lt;9")/COUNTIFS(응답입력!$AH$3:$HD$3,"L02",응답입력!$AH19:$HD19,"&lt;9"),"")</f>
        <v/>
      </c>
      <c r="D18" s="35" t="str">
        <f aca="false">IF(COUNTIFS(응답입력!$AH$3:$HD$3,"L03",응답입력!$AH19:$HD19,"&lt;9")&gt;=3,SUMIFS(응답입력!$AH19:$HD19,응답입력!$AH$3:$HD$3,"L03",응답입력!$AH19:$HD19,"&lt;9")/COUNTIFS(응답입력!$AH$3:$HD$3,"L03",응답입력!$AH19:$HD19,"&lt;9"),"")</f>
        <v/>
      </c>
      <c r="E18" s="35" t="str">
        <f aca="false">IF(COUNTIFS(응답입력!$AH$3:$HD$3,"L04",응답입력!$AH19:$HD19,"&lt;9")&gt;=3,SUMIFS(응답입력!$AH19:$HD19,응답입력!$AH$3:$HD$3,"L04",응답입력!$AH19:$HD19,"&lt;9")/COUNTIFS(응답입력!$AH$3:$HD$3,"L04",응답입력!$AH19:$HD19,"&lt;9"),"")</f>
        <v/>
      </c>
      <c r="F18" s="35" t="str">
        <f aca="false">IF(COUNTIFS(응답입력!$AH$3:$HD$3,"L05",응답입력!$AH19:$HD19,"&lt;9")&gt;=3,SUMIFS(응답입력!$AH19:$HD19,응답입력!$AH$3:$HD$3,"L05",응답입력!$AH19:$HD19,"&lt;9")/COUNTIFS(응답입력!$AH$3:$HD$3,"L05",응답입력!$AH19:$HD19,"&lt;9"),"")</f>
        <v/>
      </c>
      <c r="G18" s="35" t="str">
        <f aca="false">IF(COUNTIFS(응답입력!$AH$3:$HD$3,"L06",응답입력!$AH19:$HD19,"&lt;9")&gt;=3,SUMIFS(응답입력!$AH19:$HD19,응답입력!$AH$3:$HD$3,"L06",응답입력!$AH19:$HD19,"&lt;9")/COUNTIFS(응답입력!$AH$3:$HD$3,"L06",응답입력!$AH19:$HD19,"&lt;9"),"")</f>
        <v/>
      </c>
      <c r="H18" s="35" t="str">
        <f aca="false">IF(COUNTIFS(응답입력!$AH$3:$HD$3,"L07",응답입력!$AH19:$HD19,"&lt;9")&gt;=3,SUMIFS(응답입력!$AH19:$HD19,응답입력!$AH$3:$HD$3,"L07",응답입력!$AH19:$HD19,"&lt;9")/COUNTIFS(응답입력!$AH$3:$HD$3,"L07",응답입력!$AH19:$HD19,"&lt;9"),"")</f>
        <v/>
      </c>
      <c r="I18" s="35" t="str">
        <f aca="false">IF(COUNTIFS(응답입력!$AH$3:$HD$3,"L08",응답입력!$AH19:$HD19,"&lt;9")&gt;=3,SUMIFS(응답입력!$AH19:$HD19,응답입력!$AH$3:$HD$3,"L08",응답입력!$AH19:$HD19,"&lt;9")/COUNTIFS(응답입력!$AH$3:$HD$3,"L08",응답입력!$AH19:$HD19,"&lt;9"),"")</f>
        <v/>
      </c>
      <c r="J18" s="35" t="str">
        <f aca="false">IF(COUNTIFS(응답입력!$AH$3:$HD$3,"L09",응답입력!$AH19:$HD19,"&lt;9")&gt;=3,SUMIFS(응답입력!$AH19:$HD19,응답입력!$AH$3:$HD$3,"L09",응답입력!$AH19:$HD19,"&lt;9")/COUNTIFS(응답입력!$AH$3:$HD$3,"L09",응답입력!$AH19:$HD19,"&lt;9"),"")</f>
        <v/>
      </c>
      <c r="K18" s="35" t="str">
        <f aca="false">IF(COUNTIFS(응답입력!$AH$3:$HD$3,"L10",응답입력!$AH19:$HD19,"&lt;9")&gt;=3,SUMIFS(응답입력!$AH19:$HD19,응답입력!$AH$3:$HD$3,"L10",응답입력!$AH19:$HD19,"&lt;9")/COUNTIFS(응답입력!$AH$3:$HD$3,"L10",응답입력!$AH19:$HD19,"&lt;9"),"")</f>
        <v/>
      </c>
      <c r="L18" s="35" t="str">
        <f aca="false">IF(COUNTIFS(응답입력!$AH$3:$HD$3,"L11",응답입력!$AH19:$HD19,"&lt;9")&gt;=3,SUMIFS(응답입력!$AH19:$HD19,응답입력!$AH$3:$HD$3,"L11",응답입력!$AH19:$HD19,"&lt;9")/COUNTIFS(응답입력!$AH$3:$HD$3,"L11",응답입력!$AH19:$HD19,"&lt;9"),"")</f>
        <v/>
      </c>
      <c r="M18" s="35" t="str">
        <f aca="false">IF(COUNTIFS(응답입력!$AH$3:$HD$3,"L12",응답입력!$AH19:$HD19,"&lt;9")&gt;=3,SUMIFS(응답입력!$AH19:$HD19,응답입력!$AH$3:$HD$3,"L12",응답입력!$AH19:$HD19,"&lt;9")/COUNTIFS(응답입력!$AH$3:$HD$3,"L12",응답입력!$AH19:$HD19,"&lt;9"),"")</f>
        <v/>
      </c>
      <c r="N18" s="35" t="str">
        <f aca="false">IF(COUNTIFS(응답입력!$AH$3:$HD$3,"L13",응답입력!$AH19:$HD19,"&lt;9")&gt;=3,SUMIFS(응답입력!$AH19:$HD19,응답입력!$AH$3:$HD$3,"L13",응답입력!$AH19:$HD19,"&lt;9")/COUNTIFS(응답입력!$AH$3:$HD$3,"L13",응답입력!$AH19:$HD19,"&lt;9"),"")</f>
        <v/>
      </c>
      <c r="O18" s="35" t="str">
        <f aca="false">IF(COUNTIFS(응답입력!$AH$3:$HD$3,"L14",응답입력!$AH19:$HD19,"&lt;9")&gt;=3,SUMIFS(응답입력!$AH19:$HD19,응답입력!$AH$3:$HD$3,"L14",응답입력!$AH19:$HD19,"&lt;9")/COUNTIFS(응답입력!$AH$3:$HD$3,"L14",응답입력!$AH19:$HD19,"&lt;9"),"")</f>
        <v/>
      </c>
      <c r="P18" s="35" t="str">
        <f aca="false">IF(COUNTIFS(응답입력!$AH$3:$HD$3,"L15",응답입력!$AH19:$HD19,"&lt;9")&gt;=3,SUMIFS(응답입력!$AH19:$HD19,응답입력!$AH$3:$HD$3,"L15",응답입력!$AH19:$HD19,"&lt;9")/COUNTIFS(응답입력!$AH$3:$HD$3,"L15",응답입력!$AH19:$HD19,"&lt;9"),"")</f>
        <v/>
      </c>
      <c r="Q18" s="35" t="str">
        <f aca="false">IF(COUNTIFS(응답입력!$AH$3:$HD$3,"L16",응답입력!$AH19:$HD19,"&lt;9")&gt;=3,SUMIFS(응답입력!$AH19:$HD19,응답입력!$AH$3:$HD$3,"L16",응답입력!$AH19:$HD19,"&lt;9")/COUNTIFS(응답입력!$AH$3:$HD$3,"L16",응답입력!$AH19:$HD19,"&lt;9"),"")</f>
        <v/>
      </c>
      <c r="R18" s="35" t="str">
        <f aca="false">IF(COUNTIFS(응답입력!$AH$3:$HD$3,"L17",응답입력!$AH19:$HD19,"&lt;9")&gt;=3,SUMIFS(응답입력!$AH19:$HD19,응답입력!$AH$3:$HD$3,"L17",응답입력!$AH19:$HD19,"&lt;9")/COUNTIFS(응답입력!$AH$3:$HD$3,"L17",응답입력!$AH19:$HD19,"&lt;9"),"")</f>
        <v/>
      </c>
      <c r="S18" s="35" t="str">
        <f aca="false">IF(COUNTIFS(응답입력!$AH$3:$HD$3,"L18",응답입력!$AH19:$HD19,"&lt;9")&gt;=3,SUMIFS(응답입력!$AH19:$HD19,응답입력!$AH$3:$HD$3,"L18",응답입력!$AH19:$HD19,"&lt;9")/COUNTIFS(응답입력!$AH$3:$HD$3,"L18",응답입력!$AH19:$HD19,"&lt;9"),"")</f>
        <v/>
      </c>
      <c r="T18" s="35" t="str">
        <f aca="false">IF(COUNTIFS(응답입력!$AH$3:$HD$3,"L19",응답입력!$AH19:$HD19,"&lt;9")&gt;=3,SUMIFS(응답입력!$AH19:$HD19,응답입력!$AH$3:$HD$3,"L19",응답입력!$AH19:$HD19,"&lt;9")/COUNTIFS(응답입력!$AH$3:$HD$3,"L19",응답입력!$AH19:$HD19,"&lt;9"),"")</f>
        <v/>
      </c>
      <c r="U18" s="35" t="str">
        <f aca="false">IF(COUNTIFS(응답입력!$AH$3:$HD$3,"L20",응답입력!$AH19:$HD19,"&lt;9")&gt;=3,SUMIFS(응답입력!$AH19:$HD19,응답입력!$AH$3:$HD$3,"L20",응답입력!$AH19:$HD19,"&lt;9")/COUNTIFS(응답입력!$AH$3:$HD$3,"L20",응답입력!$AH19:$HD19,"&lt;9"),"")</f>
        <v/>
      </c>
      <c r="V18" s="35" t="str">
        <f aca="false">IF(COUNTIFS(응답입력!$AH$3:$HD$3,"L21",응답입력!$AH19:$HD19,"&lt;9")&gt;=3,SUMIFS(응답입력!$AH19:$HD19,응답입력!$AH$3:$HD$3,"L21",응답입력!$AH19:$HD19,"&lt;9")/COUNTIFS(응답입력!$AH$3:$HD$3,"L21",응답입력!$AH19:$HD19,"&lt;9"),"")</f>
        <v/>
      </c>
      <c r="W18" s="35" t="str">
        <f aca="false">IF(COUNTIFS(응답입력!$AH$3:$HD$3,"L22",응답입력!$AH19:$HD19,"&lt;9")&gt;=3,SUMIFS(응답입력!$AH19:$HD19,응답입력!$AH$3:$HD$3,"L22",응답입력!$AH19:$HD19,"&lt;9")/COUNTIFS(응답입력!$AH$3:$HD$3,"L22",응답입력!$AH19:$HD19,"&lt;9"),"")</f>
        <v/>
      </c>
      <c r="X18" s="35" t="str">
        <f aca="false">IF(COUNTIFS(응답입력!$AH$3:$HD$3,"L23",응답입력!$AH19:$HD19,"&lt;9")&gt;=3,SUMIFS(응답입력!$AH19:$HD19,응답입력!$AH$3:$HD$3,"L23",응답입력!$AH19:$HD19,"&lt;9")/COUNTIFS(응답입력!$AH$3:$HD$3,"L23",응답입력!$AH19:$HD19,"&lt;9"),"")</f>
        <v/>
      </c>
      <c r="Y18" s="35" t="str">
        <f aca="false">IF(COUNTIFS(응답입력!$AH$3:$HD$3,"L24",응답입력!$AH19:$HD19,"&lt;9")&gt;=3,SUMIFS(응답입력!$AH19:$HD19,응답입력!$AH$3:$HD$3,"L24",응답입력!$AH19:$HD19,"&lt;9")/COUNTIFS(응답입력!$AH$3:$HD$3,"L24",응답입력!$AH19:$HD19,"&lt;9"),"")</f>
        <v/>
      </c>
      <c r="Z18" s="35" t="str">
        <f aca="false">IF(COUNTIFS(응답입력!$AH$3:$HD$3,"L25",응답입력!$AH19:$HD19,"&lt;9")&gt;=3,SUMIFS(응답입력!$AH19:$HD19,응답입력!$AH$3:$HD$3,"L25",응답입력!$AH19:$HD19,"&lt;9")/COUNTIFS(응답입력!$AH$3:$HD$3,"L25",응답입력!$AH19:$HD19,"&lt;9"),"")</f>
        <v/>
      </c>
      <c r="AA18" s="35" t="str">
        <f aca="false">IF(COUNTIFS(응답입력!$AH$3:$HD$3,"L26",응답입력!$AH19:$HD19,"&lt;9")&gt;=3,SUMIFS(응답입력!$AH19:$HD19,응답입력!$AH$3:$HD$3,"L26",응답입력!$AH19:$HD19,"&lt;9")/COUNTIFS(응답입력!$AH$3:$HD$3,"L26",응답입력!$AH19:$HD19,"&lt;9"),"")</f>
        <v/>
      </c>
      <c r="AB18" s="35" t="str">
        <f aca="false">IF(COUNTIFS(응답입력!$AH$3:$HD$3,"L27",응답입력!$AH19:$HD19,"&lt;9")&gt;=3,SUMIFS(응답입력!$AH19:$HD19,응답입력!$AH$3:$HD$3,"L27",응답입력!$AH19:$HD19,"&lt;9")/COUNTIFS(응답입력!$AH$3:$HD$3,"L27",응답입력!$AH19:$HD19,"&lt;9"),"")</f>
        <v/>
      </c>
      <c r="AC18" s="35" t="str">
        <f aca="false">IF(COUNTIFS(응답입력!$AH$3:$HD$3,"L28",응답입력!$AH19:$HD19,"&lt;9")&gt;=3,SUMIFS(응답입력!$AH19:$HD19,응답입력!$AH$3:$HD$3,"L28",응답입력!$AH19:$HD19,"&lt;9")/COUNTIFS(응답입력!$AH$3:$HD$3,"L28",응답입력!$AH19:$HD19,"&lt;9"),"")</f>
        <v/>
      </c>
      <c r="AD18" s="35" t="str">
        <f aca="false">IF(COUNTIFS(응답입력!$AH$3:$HD$3,"L29",응답입력!$AH19:$HD19,"&lt;9")&gt;=3,SUMIFS(응답입력!$AH19:$HD19,응답입력!$AH$3:$HD$3,"L29",응답입력!$AH19:$HD19,"&lt;9")/COUNTIFS(응답입력!$AH$3:$HD$3,"L29",응답입력!$AH19:$HD19,"&lt;9"),"")</f>
        <v/>
      </c>
      <c r="AE18" s="35" t="str">
        <f aca="false">IF(COUNTIFS(응답입력!$AH$3:$HD$3,"L30",응답입력!$AH19:$HD19,"&lt;9")&gt;=3,SUMIFS(응답입력!$AH19:$HD19,응답입력!$AH$3:$HD$3,"L30",응답입력!$AH19:$HD19,"&lt;9")/COUNTIFS(응답입력!$AH$3:$HD$3,"L30",응답입력!$AH19:$HD19,"&lt;9"),"")</f>
        <v/>
      </c>
      <c r="AF18" s="35" t="str">
        <f aca="false">IF(COUNTIFS(응답입력!$AH$3:$HD$3,"L31",응답입력!$AH19:$HD19,"&lt;9")&gt;=3,SUMIFS(응답입력!$AH19:$HD19,응답입력!$AH$3:$HD$3,"L31",응답입력!$AH19:$HD19,"&lt;9")/COUNTIFS(응답입력!$AH$3:$HD$3,"L31",응답입력!$AH19:$HD19,"&lt;9"),"")</f>
        <v/>
      </c>
      <c r="AG18" s="41" t="str">
        <f aca="false">IFERROR(AVERAGE(B18:AF18),"")</f>
        <v/>
      </c>
    </row>
    <row r="19" customFormat="false" ht="15" hidden="false" customHeight="false" outlineLevel="0" collapsed="false">
      <c r="A19" s="27" t="str">
        <f aca="false">IF(응답입력!A20="","",응답입력!A20)</f>
        <v/>
      </c>
      <c r="B19" s="35" t="str">
        <f aca="false">IF(COUNTIFS(응답입력!$AH$3:$HD$3,"L01",응답입력!$AH20:$HD20,"&lt;9")&gt;=3,SUMIFS(응답입력!$AH20:$HD20,응답입력!$AH$3:$HD$3,"L01",응답입력!$AH20:$HD20,"&lt;9")/COUNTIFS(응답입력!$AH$3:$HD$3,"L01",응답입력!$AH20:$HD20,"&lt;9"),"")</f>
        <v/>
      </c>
      <c r="C19" s="35" t="str">
        <f aca="false">IF(COUNTIFS(응답입력!$AH$3:$HD$3,"L02",응답입력!$AH20:$HD20,"&lt;9")&gt;=3,SUMIFS(응답입력!$AH20:$HD20,응답입력!$AH$3:$HD$3,"L02",응답입력!$AH20:$HD20,"&lt;9")/COUNTIFS(응답입력!$AH$3:$HD$3,"L02",응답입력!$AH20:$HD20,"&lt;9"),"")</f>
        <v/>
      </c>
      <c r="D19" s="35" t="str">
        <f aca="false">IF(COUNTIFS(응답입력!$AH$3:$HD$3,"L03",응답입력!$AH20:$HD20,"&lt;9")&gt;=3,SUMIFS(응답입력!$AH20:$HD20,응답입력!$AH$3:$HD$3,"L03",응답입력!$AH20:$HD20,"&lt;9")/COUNTIFS(응답입력!$AH$3:$HD$3,"L03",응답입력!$AH20:$HD20,"&lt;9"),"")</f>
        <v/>
      </c>
      <c r="E19" s="35" t="str">
        <f aca="false">IF(COUNTIFS(응답입력!$AH$3:$HD$3,"L04",응답입력!$AH20:$HD20,"&lt;9")&gt;=3,SUMIFS(응답입력!$AH20:$HD20,응답입력!$AH$3:$HD$3,"L04",응답입력!$AH20:$HD20,"&lt;9")/COUNTIFS(응답입력!$AH$3:$HD$3,"L04",응답입력!$AH20:$HD20,"&lt;9"),"")</f>
        <v/>
      </c>
      <c r="F19" s="35" t="str">
        <f aca="false">IF(COUNTIFS(응답입력!$AH$3:$HD$3,"L05",응답입력!$AH20:$HD20,"&lt;9")&gt;=3,SUMIFS(응답입력!$AH20:$HD20,응답입력!$AH$3:$HD$3,"L05",응답입력!$AH20:$HD20,"&lt;9")/COUNTIFS(응답입력!$AH$3:$HD$3,"L05",응답입력!$AH20:$HD20,"&lt;9"),"")</f>
        <v/>
      </c>
      <c r="G19" s="35" t="str">
        <f aca="false">IF(COUNTIFS(응답입력!$AH$3:$HD$3,"L06",응답입력!$AH20:$HD20,"&lt;9")&gt;=3,SUMIFS(응답입력!$AH20:$HD20,응답입력!$AH$3:$HD$3,"L06",응답입력!$AH20:$HD20,"&lt;9")/COUNTIFS(응답입력!$AH$3:$HD$3,"L06",응답입력!$AH20:$HD20,"&lt;9"),"")</f>
        <v/>
      </c>
      <c r="H19" s="35" t="str">
        <f aca="false">IF(COUNTIFS(응답입력!$AH$3:$HD$3,"L07",응답입력!$AH20:$HD20,"&lt;9")&gt;=3,SUMIFS(응답입력!$AH20:$HD20,응답입력!$AH$3:$HD$3,"L07",응답입력!$AH20:$HD20,"&lt;9")/COUNTIFS(응답입력!$AH$3:$HD$3,"L07",응답입력!$AH20:$HD20,"&lt;9"),"")</f>
        <v/>
      </c>
      <c r="I19" s="35" t="str">
        <f aca="false">IF(COUNTIFS(응답입력!$AH$3:$HD$3,"L08",응답입력!$AH20:$HD20,"&lt;9")&gt;=3,SUMIFS(응답입력!$AH20:$HD20,응답입력!$AH$3:$HD$3,"L08",응답입력!$AH20:$HD20,"&lt;9")/COUNTIFS(응답입력!$AH$3:$HD$3,"L08",응답입력!$AH20:$HD20,"&lt;9"),"")</f>
        <v/>
      </c>
      <c r="J19" s="35" t="str">
        <f aca="false">IF(COUNTIFS(응답입력!$AH$3:$HD$3,"L09",응답입력!$AH20:$HD20,"&lt;9")&gt;=3,SUMIFS(응답입력!$AH20:$HD20,응답입력!$AH$3:$HD$3,"L09",응답입력!$AH20:$HD20,"&lt;9")/COUNTIFS(응답입력!$AH$3:$HD$3,"L09",응답입력!$AH20:$HD20,"&lt;9"),"")</f>
        <v/>
      </c>
      <c r="K19" s="35" t="str">
        <f aca="false">IF(COUNTIFS(응답입력!$AH$3:$HD$3,"L10",응답입력!$AH20:$HD20,"&lt;9")&gt;=3,SUMIFS(응답입력!$AH20:$HD20,응답입력!$AH$3:$HD$3,"L10",응답입력!$AH20:$HD20,"&lt;9")/COUNTIFS(응답입력!$AH$3:$HD$3,"L10",응답입력!$AH20:$HD20,"&lt;9"),"")</f>
        <v/>
      </c>
      <c r="L19" s="35" t="str">
        <f aca="false">IF(COUNTIFS(응답입력!$AH$3:$HD$3,"L11",응답입력!$AH20:$HD20,"&lt;9")&gt;=3,SUMIFS(응답입력!$AH20:$HD20,응답입력!$AH$3:$HD$3,"L11",응답입력!$AH20:$HD20,"&lt;9")/COUNTIFS(응답입력!$AH$3:$HD$3,"L11",응답입력!$AH20:$HD20,"&lt;9"),"")</f>
        <v/>
      </c>
      <c r="M19" s="35" t="str">
        <f aca="false">IF(COUNTIFS(응답입력!$AH$3:$HD$3,"L12",응답입력!$AH20:$HD20,"&lt;9")&gt;=3,SUMIFS(응답입력!$AH20:$HD20,응답입력!$AH$3:$HD$3,"L12",응답입력!$AH20:$HD20,"&lt;9")/COUNTIFS(응답입력!$AH$3:$HD$3,"L12",응답입력!$AH20:$HD20,"&lt;9"),"")</f>
        <v/>
      </c>
      <c r="N19" s="35" t="str">
        <f aca="false">IF(COUNTIFS(응답입력!$AH$3:$HD$3,"L13",응답입력!$AH20:$HD20,"&lt;9")&gt;=3,SUMIFS(응답입력!$AH20:$HD20,응답입력!$AH$3:$HD$3,"L13",응답입력!$AH20:$HD20,"&lt;9")/COUNTIFS(응답입력!$AH$3:$HD$3,"L13",응답입력!$AH20:$HD20,"&lt;9"),"")</f>
        <v/>
      </c>
      <c r="O19" s="35" t="str">
        <f aca="false">IF(COUNTIFS(응답입력!$AH$3:$HD$3,"L14",응답입력!$AH20:$HD20,"&lt;9")&gt;=3,SUMIFS(응답입력!$AH20:$HD20,응답입력!$AH$3:$HD$3,"L14",응답입력!$AH20:$HD20,"&lt;9")/COUNTIFS(응답입력!$AH$3:$HD$3,"L14",응답입력!$AH20:$HD20,"&lt;9"),"")</f>
        <v/>
      </c>
      <c r="P19" s="35" t="str">
        <f aca="false">IF(COUNTIFS(응답입력!$AH$3:$HD$3,"L15",응답입력!$AH20:$HD20,"&lt;9")&gt;=3,SUMIFS(응답입력!$AH20:$HD20,응답입력!$AH$3:$HD$3,"L15",응답입력!$AH20:$HD20,"&lt;9")/COUNTIFS(응답입력!$AH$3:$HD$3,"L15",응답입력!$AH20:$HD20,"&lt;9"),"")</f>
        <v/>
      </c>
      <c r="Q19" s="35" t="str">
        <f aca="false">IF(COUNTIFS(응답입력!$AH$3:$HD$3,"L16",응답입력!$AH20:$HD20,"&lt;9")&gt;=3,SUMIFS(응답입력!$AH20:$HD20,응답입력!$AH$3:$HD$3,"L16",응답입력!$AH20:$HD20,"&lt;9")/COUNTIFS(응답입력!$AH$3:$HD$3,"L16",응답입력!$AH20:$HD20,"&lt;9"),"")</f>
        <v/>
      </c>
      <c r="R19" s="35" t="str">
        <f aca="false">IF(COUNTIFS(응답입력!$AH$3:$HD$3,"L17",응답입력!$AH20:$HD20,"&lt;9")&gt;=3,SUMIFS(응답입력!$AH20:$HD20,응답입력!$AH$3:$HD$3,"L17",응답입력!$AH20:$HD20,"&lt;9")/COUNTIFS(응답입력!$AH$3:$HD$3,"L17",응답입력!$AH20:$HD20,"&lt;9"),"")</f>
        <v/>
      </c>
      <c r="S19" s="35" t="str">
        <f aca="false">IF(COUNTIFS(응답입력!$AH$3:$HD$3,"L18",응답입력!$AH20:$HD20,"&lt;9")&gt;=3,SUMIFS(응답입력!$AH20:$HD20,응답입력!$AH$3:$HD$3,"L18",응답입력!$AH20:$HD20,"&lt;9")/COUNTIFS(응답입력!$AH$3:$HD$3,"L18",응답입력!$AH20:$HD20,"&lt;9"),"")</f>
        <v/>
      </c>
      <c r="T19" s="35" t="str">
        <f aca="false">IF(COUNTIFS(응답입력!$AH$3:$HD$3,"L19",응답입력!$AH20:$HD20,"&lt;9")&gt;=3,SUMIFS(응답입력!$AH20:$HD20,응답입력!$AH$3:$HD$3,"L19",응답입력!$AH20:$HD20,"&lt;9")/COUNTIFS(응답입력!$AH$3:$HD$3,"L19",응답입력!$AH20:$HD20,"&lt;9"),"")</f>
        <v/>
      </c>
      <c r="U19" s="35" t="str">
        <f aca="false">IF(COUNTIFS(응답입력!$AH$3:$HD$3,"L20",응답입력!$AH20:$HD20,"&lt;9")&gt;=3,SUMIFS(응답입력!$AH20:$HD20,응답입력!$AH$3:$HD$3,"L20",응답입력!$AH20:$HD20,"&lt;9")/COUNTIFS(응답입력!$AH$3:$HD$3,"L20",응답입력!$AH20:$HD20,"&lt;9"),"")</f>
        <v/>
      </c>
      <c r="V19" s="35" t="str">
        <f aca="false">IF(COUNTIFS(응답입력!$AH$3:$HD$3,"L21",응답입력!$AH20:$HD20,"&lt;9")&gt;=3,SUMIFS(응답입력!$AH20:$HD20,응답입력!$AH$3:$HD$3,"L21",응답입력!$AH20:$HD20,"&lt;9")/COUNTIFS(응답입력!$AH$3:$HD$3,"L21",응답입력!$AH20:$HD20,"&lt;9"),"")</f>
        <v/>
      </c>
      <c r="W19" s="35" t="str">
        <f aca="false">IF(COUNTIFS(응답입력!$AH$3:$HD$3,"L22",응답입력!$AH20:$HD20,"&lt;9")&gt;=3,SUMIFS(응답입력!$AH20:$HD20,응답입력!$AH$3:$HD$3,"L22",응답입력!$AH20:$HD20,"&lt;9")/COUNTIFS(응답입력!$AH$3:$HD$3,"L22",응답입력!$AH20:$HD20,"&lt;9"),"")</f>
        <v/>
      </c>
      <c r="X19" s="35" t="str">
        <f aca="false">IF(COUNTIFS(응답입력!$AH$3:$HD$3,"L23",응답입력!$AH20:$HD20,"&lt;9")&gt;=3,SUMIFS(응답입력!$AH20:$HD20,응답입력!$AH$3:$HD$3,"L23",응답입력!$AH20:$HD20,"&lt;9")/COUNTIFS(응답입력!$AH$3:$HD$3,"L23",응답입력!$AH20:$HD20,"&lt;9"),"")</f>
        <v/>
      </c>
      <c r="Y19" s="35" t="str">
        <f aca="false">IF(COUNTIFS(응답입력!$AH$3:$HD$3,"L24",응답입력!$AH20:$HD20,"&lt;9")&gt;=3,SUMIFS(응답입력!$AH20:$HD20,응답입력!$AH$3:$HD$3,"L24",응답입력!$AH20:$HD20,"&lt;9")/COUNTIFS(응답입력!$AH$3:$HD$3,"L24",응답입력!$AH20:$HD20,"&lt;9"),"")</f>
        <v/>
      </c>
      <c r="Z19" s="35" t="str">
        <f aca="false">IF(COUNTIFS(응답입력!$AH$3:$HD$3,"L25",응답입력!$AH20:$HD20,"&lt;9")&gt;=3,SUMIFS(응답입력!$AH20:$HD20,응답입력!$AH$3:$HD$3,"L25",응답입력!$AH20:$HD20,"&lt;9")/COUNTIFS(응답입력!$AH$3:$HD$3,"L25",응답입력!$AH20:$HD20,"&lt;9"),"")</f>
        <v/>
      </c>
      <c r="AA19" s="35" t="str">
        <f aca="false">IF(COUNTIFS(응답입력!$AH$3:$HD$3,"L26",응답입력!$AH20:$HD20,"&lt;9")&gt;=3,SUMIFS(응답입력!$AH20:$HD20,응답입력!$AH$3:$HD$3,"L26",응답입력!$AH20:$HD20,"&lt;9")/COUNTIFS(응답입력!$AH$3:$HD$3,"L26",응답입력!$AH20:$HD20,"&lt;9"),"")</f>
        <v/>
      </c>
      <c r="AB19" s="35" t="str">
        <f aca="false">IF(COUNTIFS(응답입력!$AH$3:$HD$3,"L27",응답입력!$AH20:$HD20,"&lt;9")&gt;=3,SUMIFS(응답입력!$AH20:$HD20,응답입력!$AH$3:$HD$3,"L27",응답입력!$AH20:$HD20,"&lt;9")/COUNTIFS(응답입력!$AH$3:$HD$3,"L27",응답입력!$AH20:$HD20,"&lt;9"),"")</f>
        <v/>
      </c>
      <c r="AC19" s="35" t="str">
        <f aca="false">IF(COUNTIFS(응답입력!$AH$3:$HD$3,"L28",응답입력!$AH20:$HD20,"&lt;9")&gt;=3,SUMIFS(응답입력!$AH20:$HD20,응답입력!$AH$3:$HD$3,"L28",응답입력!$AH20:$HD20,"&lt;9")/COUNTIFS(응답입력!$AH$3:$HD$3,"L28",응답입력!$AH20:$HD20,"&lt;9"),"")</f>
        <v/>
      </c>
      <c r="AD19" s="35" t="str">
        <f aca="false">IF(COUNTIFS(응답입력!$AH$3:$HD$3,"L29",응답입력!$AH20:$HD20,"&lt;9")&gt;=3,SUMIFS(응답입력!$AH20:$HD20,응답입력!$AH$3:$HD$3,"L29",응답입력!$AH20:$HD20,"&lt;9")/COUNTIFS(응답입력!$AH$3:$HD$3,"L29",응답입력!$AH20:$HD20,"&lt;9"),"")</f>
        <v/>
      </c>
      <c r="AE19" s="35" t="str">
        <f aca="false">IF(COUNTIFS(응답입력!$AH$3:$HD$3,"L30",응답입력!$AH20:$HD20,"&lt;9")&gt;=3,SUMIFS(응답입력!$AH20:$HD20,응답입력!$AH$3:$HD$3,"L30",응답입력!$AH20:$HD20,"&lt;9")/COUNTIFS(응답입력!$AH$3:$HD$3,"L30",응답입력!$AH20:$HD20,"&lt;9"),"")</f>
        <v/>
      </c>
      <c r="AF19" s="35" t="str">
        <f aca="false">IF(COUNTIFS(응답입력!$AH$3:$HD$3,"L31",응답입력!$AH20:$HD20,"&lt;9")&gt;=3,SUMIFS(응답입력!$AH20:$HD20,응답입력!$AH$3:$HD$3,"L31",응답입력!$AH20:$HD20,"&lt;9")/COUNTIFS(응답입력!$AH$3:$HD$3,"L31",응답입력!$AH20:$HD20,"&lt;9"),"")</f>
        <v/>
      </c>
      <c r="AG19" s="41" t="str">
        <f aca="false">IFERROR(AVERAGE(B19:AF19),"")</f>
        <v/>
      </c>
    </row>
    <row r="20" customFormat="false" ht="15" hidden="false" customHeight="false" outlineLevel="0" collapsed="false">
      <c r="A20" s="27" t="str">
        <f aca="false">IF(응답입력!A21="","",응답입력!A21)</f>
        <v/>
      </c>
      <c r="B20" s="35" t="str">
        <f aca="false">IF(COUNTIFS(응답입력!$AH$3:$HD$3,"L01",응답입력!$AH21:$HD21,"&lt;9")&gt;=3,SUMIFS(응답입력!$AH21:$HD21,응답입력!$AH$3:$HD$3,"L01",응답입력!$AH21:$HD21,"&lt;9")/COUNTIFS(응답입력!$AH$3:$HD$3,"L01",응답입력!$AH21:$HD21,"&lt;9"),"")</f>
        <v/>
      </c>
      <c r="C20" s="35" t="str">
        <f aca="false">IF(COUNTIFS(응답입력!$AH$3:$HD$3,"L02",응답입력!$AH21:$HD21,"&lt;9")&gt;=3,SUMIFS(응답입력!$AH21:$HD21,응답입력!$AH$3:$HD$3,"L02",응답입력!$AH21:$HD21,"&lt;9")/COUNTIFS(응답입력!$AH$3:$HD$3,"L02",응답입력!$AH21:$HD21,"&lt;9"),"")</f>
        <v/>
      </c>
      <c r="D20" s="35" t="str">
        <f aca="false">IF(COUNTIFS(응답입력!$AH$3:$HD$3,"L03",응답입력!$AH21:$HD21,"&lt;9")&gt;=3,SUMIFS(응답입력!$AH21:$HD21,응답입력!$AH$3:$HD$3,"L03",응답입력!$AH21:$HD21,"&lt;9")/COUNTIFS(응답입력!$AH$3:$HD$3,"L03",응답입력!$AH21:$HD21,"&lt;9"),"")</f>
        <v/>
      </c>
      <c r="E20" s="35" t="str">
        <f aca="false">IF(COUNTIFS(응답입력!$AH$3:$HD$3,"L04",응답입력!$AH21:$HD21,"&lt;9")&gt;=3,SUMIFS(응답입력!$AH21:$HD21,응답입력!$AH$3:$HD$3,"L04",응답입력!$AH21:$HD21,"&lt;9")/COUNTIFS(응답입력!$AH$3:$HD$3,"L04",응답입력!$AH21:$HD21,"&lt;9"),"")</f>
        <v/>
      </c>
      <c r="F20" s="35" t="str">
        <f aca="false">IF(COUNTIFS(응답입력!$AH$3:$HD$3,"L05",응답입력!$AH21:$HD21,"&lt;9")&gt;=3,SUMIFS(응답입력!$AH21:$HD21,응답입력!$AH$3:$HD$3,"L05",응답입력!$AH21:$HD21,"&lt;9")/COUNTIFS(응답입력!$AH$3:$HD$3,"L05",응답입력!$AH21:$HD21,"&lt;9"),"")</f>
        <v/>
      </c>
      <c r="G20" s="35" t="str">
        <f aca="false">IF(COUNTIFS(응답입력!$AH$3:$HD$3,"L06",응답입력!$AH21:$HD21,"&lt;9")&gt;=3,SUMIFS(응답입력!$AH21:$HD21,응답입력!$AH$3:$HD$3,"L06",응답입력!$AH21:$HD21,"&lt;9")/COUNTIFS(응답입력!$AH$3:$HD$3,"L06",응답입력!$AH21:$HD21,"&lt;9"),"")</f>
        <v/>
      </c>
      <c r="H20" s="35" t="str">
        <f aca="false">IF(COUNTIFS(응답입력!$AH$3:$HD$3,"L07",응답입력!$AH21:$HD21,"&lt;9")&gt;=3,SUMIFS(응답입력!$AH21:$HD21,응답입력!$AH$3:$HD$3,"L07",응답입력!$AH21:$HD21,"&lt;9")/COUNTIFS(응답입력!$AH$3:$HD$3,"L07",응답입력!$AH21:$HD21,"&lt;9"),"")</f>
        <v/>
      </c>
      <c r="I20" s="35" t="str">
        <f aca="false">IF(COUNTIFS(응답입력!$AH$3:$HD$3,"L08",응답입력!$AH21:$HD21,"&lt;9")&gt;=3,SUMIFS(응답입력!$AH21:$HD21,응답입력!$AH$3:$HD$3,"L08",응답입력!$AH21:$HD21,"&lt;9")/COUNTIFS(응답입력!$AH$3:$HD$3,"L08",응답입력!$AH21:$HD21,"&lt;9"),"")</f>
        <v/>
      </c>
      <c r="J20" s="35" t="str">
        <f aca="false">IF(COUNTIFS(응답입력!$AH$3:$HD$3,"L09",응답입력!$AH21:$HD21,"&lt;9")&gt;=3,SUMIFS(응답입력!$AH21:$HD21,응답입력!$AH$3:$HD$3,"L09",응답입력!$AH21:$HD21,"&lt;9")/COUNTIFS(응답입력!$AH$3:$HD$3,"L09",응답입력!$AH21:$HD21,"&lt;9"),"")</f>
        <v/>
      </c>
      <c r="K20" s="35" t="str">
        <f aca="false">IF(COUNTIFS(응답입력!$AH$3:$HD$3,"L10",응답입력!$AH21:$HD21,"&lt;9")&gt;=3,SUMIFS(응답입력!$AH21:$HD21,응답입력!$AH$3:$HD$3,"L10",응답입력!$AH21:$HD21,"&lt;9")/COUNTIFS(응답입력!$AH$3:$HD$3,"L10",응답입력!$AH21:$HD21,"&lt;9"),"")</f>
        <v/>
      </c>
      <c r="L20" s="35" t="str">
        <f aca="false">IF(COUNTIFS(응답입력!$AH$3:$HD$3,"L11",응답입력!$AH21:$HD21,"&lt;9")&gt;=3,SUMIFS(응답입력!$AH21:$HD21,응답입력!$AH$3:$HD$3,"L11",응답입력!$AH21:$HD21,"&lt;9")/COUNTIFS(응답입력!$AH$3:$HD$3,"L11",응답입력!$AH21:$HD21,"&lt;9"),"")</f>
        <v/>
      </c>
      <c r="M20" s="35" t="str">
        <f aca="false">IF(COUNTIFS(응답입력!$AH$3:$HD$3,"L12",응답입력!$AH21:$HD21,"&lt;9")&gt;=3,SUMIFS(응답입력!$AH21:$HD21,응답입력!$AH$3:$HD$3,"L12",응답입력!$AH21:$HD21,"&lt;9")/COUNTIFS(응답입력!$AH$3:$HD$3,"L12",응답입력!$AH21:$HD21,"&lt;9"),"")</f>
        <v/>
      </c>
      <c r="N20" s="35" t="str">
        <f aca="false">IF(COUNTIFS(응답입력!$AH$3:$HD$3,"L13",응답입력!$AH21:$HD21,"&lt;9")&gt;=3,SUMIFS(응답입력!$AH21:$HD21,응답입력!$AH$3:$HD$3,"L13",응답입력!$AH21:$HD21,"&lt;9")/COUNTIFS(응답입력!$AH$3:$HD$3,"L13",응답입력!$AH21:$HD21,"&lt;9"),"")</f>
        <v/>
      </c>
      <c r="O20" s="35" t="str">
        <f aca="false">IF(COUNTIFS(응답입력!$AH$3:$HD$3,"L14",응답입력!$AH21:$HD21,"&lt;9")&gt;=3,SUMIFS(응답입력!$AH21:$HD21,응답입력!$AH$3:$HD$3,"L14",응답입력!$AH21:$HD21,"&lt;9")/COUNTIFS(응답입력!$AH$3:$HD$3,"L14",응답입력!$AH21:$HD21,"&lt;9"),"")</f>
        <v/>
      </c>
      <c r="P20" s="35" t="str">
        <f aca="false">IF(COUNTIFS(응답입력!$AH$3:$HD$3,"L15",응답입력!$AH21:$HD21,"&lt;9")&gt;=3,SUMIFS(응답입력!$AH21:$HD21,응답입력!$AH$3:$HD$3,"L15",응답입력!$AH21:$HD21,"&lt;9")/COUNTIFS(응답입력!$AH$3:$HD$3,"L15",응답입력!$AH21:$HD21,"&lt;9"),"")</f>
        <v/>
      </c>
      <c r="Q20" s="35" t="str">
        <f aca="false">IF(COUNTIFS(응답입력!$AH$3:$HD$3,"L16",응답입력!$AH21:$HD21,"&lt;9")&gt;=3,SUMIFS(응답입력!$AH21:$HD21,응답입력!$AH$3:$HD$3,"L16",응답입력!$AH21:$HD21,"&lt;9")/COUNTIFS(응답입력!$AH$3:$HD$3,"L16",응답입력!$AH21:$HD21,"&lt;9"),"")</f>
        <v/>
      </c>
      <c r="R20" s="35" t="str">
        <f aca="false">IF(COUNTIFS(응답입력!$AH$3:$HD$3,"L17",응답입력!$AH21:$HD21,"&lt;9")&gt;=3,SUMIFS(응답입력!$AH21:$HD21,응답입력!$AH$3:$HD$3,"L17",응답입력!$AH21:$HD21,"&lt;9")/COUNTIFS(응답입력!$AH$3:$HD$3,"L17",응답입력!$AH21:$HD21,"&lt;9"),"")</f>
        <v/>
      </c>
      <c r="S20" s="35" t="str">
        <f aca="false">IF(COUNTIFS(응답입력!$AH$3:$HD$3,"L18",응답입력!$AH21:$HD21,"&lt;9")&gt;=3,SUMIFS(응답입력!$AH21:$HD21,응답입력!$AH$3:$HD$3,"L18",응답입력!$AH21:$HD21,"&lt;9")/COUNTIFS(응답입력!$AH$3:$HD$3,"L18",응답입력!$AH21:$HD21,"&lt;9"),"")</f>
        <v/>
      </c>
      <c r="T20" s="35" t="str">
        <f aca="false">IF(COUNTIFS(응답입력!$AH$3:$HD$3,"L19",응답입력!$AH21:$HD21,"&lt;9")&gt;=3,SUMIFS(응답입력!$AH21:$HD21,응답입력!$AH$3:$HD$3,"L19",응답입력!$AH21:$HD21,"&lt;9")/COUNTIFS(응답입력!$AH$3:$HD$3,"L19",응답입력!$AH21:$HD21,"&lt;9"),"")</f>
        <v/>
      </c>
      <c r="U20" s="35" t="str">
        <f aca="false">IF(COUNTIFS(응답입력!$AH$3:$HD$3,"L20",응답입력!$AH21:$HD21,"&lt;9")&gt;=3,SUMIFS(응답입력!$AH21:$HD21,응답입력!$AH$3:$HD$3,"L20",응답입력!$AH21:$HD21,"&lt;9")/COUNTIFS(응답입력!$AH$3:$HD$3,"L20",응답입력!$AH21:$HD21,"&lt;9"),"")</f>
        <v/>
      </c>
      <c r="V20" s="35" t="str">
        <f aca="false">IF(COUNTIFS(응답입력!$AH$3:$HD$3,"L21",응답입력!$AH21:$HD21,"&lt;9")&gt;=3,SUMIFS(응답입력!$AH21:$HD21,응답입력!$AH$3:$HD$3,"L21",응답입력!$AH21:$HD21,"&lt;9")/COUNTIFS(응답입력!$AH$3:$HD$3,"L21",응답입력!$AH21:$HD21,"&lt;9"),"")</f>
        <v/>
      </c>
      <c r="W20" s="35" t="str">
        <f aca="false">IF(COUNTIFS(응답입력!$AH$3:$HD$3,"L22",응답입력!$AH21:$HD21,"&lt;9")&gt;=3,SUMIFS(응답입력!$AH21:$HD21,응답입력!$AH$3:$HD$3,"L22",응답입력!$AH21:$HD21,"&lt;9")/COUNTIFS(응답입력!$AH$3:$HD$3,"L22",응답입력!$AH21:$HD21,"&lt;9"),"")</f>
        <v/>
      </c>
      <c r="X20" s="35" t="str">
        <f aca="false">IF(COUNTIFS(응답입력!$AH$3:$HD$3,"L23",응답입력!$AH21:$HD21,"&lt;9")&gt;=3,SUMIFS(응답입력!$AH21:$HD21,응답입력!$AH$3:$HD$3,"L23",응답입력!$AH21:$HD21,"&lt;9")/COUNTIFS(응답입력!$AH$3:$HD$3,"L23",응답입력!$AH21:$HD21,"&lt;9"),"")</f>
        <v/>
      </c>
      <c r="Y20" s="35" t="str">
        <f aca="false">IF(COUNTIFS(응답입력!$AH$3:$HD$3,"L24",응답입력!$AH21:$HD21,"&lt;9")&gt;=3,SUMIFS(응답입력!$AH21:$HD21,응답입력!$AH$3:$HD$3,"L24",응답입력!$AH21:$HD21,"&lt;9")/COUNTIFS(응답입력!$AH$3:$HD$3,"L24",응답입력!$AH21:$HD21,"&lt;9"),"")</f>
        <v/>
      </c>
      <c r="Z20" s="35" t="str">
        <f aca="false">IF(COUNTIFS(응답입력!$AH$3:$HD$3,"L25",응답입력!$AH21:$HD21,"&lt;9")&gt;=3,SUMIFS(응답입력!$AH21:$HD21,응답입력!$AH$3:$HD$3,"L25",응답입력!$AH21:$HD21,"&lt;9")/COUNTIFS(응답입력!$AH$3:$HD$3,"L25",응답입력!$AH21:$HD21,"&lt;9"),"")</f>
        <v/>
      </c>
      <c r="AA20" s="35" t="str">
        <f aca="false">IF(COUNTIFS(응답입력!$AH$3:$HD$3,"L26",응답입력!$AH21:$HD21,"&lt;9")&gt;=3,SUMIFS(응답입력!$AH21:$HD21,응답입력!$AH$3:$HD$3,"L26",응답입력!$AH21:$HD21,"&lt;9")/COUNTIFS(응답입력!$AH$3:$HD$3,"L26",응답입력!$AH21:$HD21,"&lt;9"),"")</f>
        <v/>
      </c>
      <c r="AB20" s="35" t="str">
        <f aca="false">IF(COUNTIFS(응답입력!$AH$3:$HD$3,"L27",응답입력!$AH21:$HD21,"&lt;9")&gt;=3,SUMIFS(응답입력!$AH21:$HD21,응답입력!$AH$3:$HD$3,"L27",응답입력!$AH21:$HD21,"&lt;9")/COUNTIFS(응답입력!$AH$3:$HD$3,"L27",응답입력!$AH21:$HD21,"&lt;9"),"")</f>
        <v/>
      </c>
      <c r="AC20" s="35" t="str">
        <f aca="false">IF(COUNTIFS(응답입력!$AH$3:$HD$3,"L28",응답입력!$AH21:$HD21,"&lt;9")&gt;=3,SUMIFS(응답입력!$AH21:$HD21,응답입력!$AH$3:$HD$3,"L28",응답입력!$AH21:$HD21,"&lt;9")/COUNTIFS(응답입력!$AH$3:$HD$3,"L28",응답입력!$AH21:$HD21,"&lt;9"),"")</f>
        <v/>
      </c>
      <c r="AD20" s="35" t="str">
        <f aca="false">IF(COUNTIFS(응답입력!$AH$3:$HD$3,"L29",응답입력!$AH21:$HD21,"&lt;9")&gt;=3,SUMIFS(응답입력!$AH21:$HD21,응답입력!$AH$3:$HD$3,"L29",응답입력!$AH21:$HD21,"&lt;9")/COUNTIFS(응답입력!$AH$3:$HD$3,"L29",응답입력!$AH21:$HD21,"&lt;9"),"")</f>
        <v/>
      </c>
      <c r="AE20" s="35" t="str">
        <f aca="false">IF(COUNTIFS(응답입력!$AH$3:$HD$3,"L30",응답입력!$AH21:$HD21,"&lt;9")&gt;=3,SUMIFS(응답입력!$AH21:$HD21,응답입력!$AH$3:$HD$3,"L30",응답입력!$AH21:$HD21,"&lt;9")/COUNTIFS(응답입력!$AH$3:$HD$3,"L30",응답입력!$AH21:$HD21,"&lt;9"),"")</f>
        <v/>
      </c>
      <c r="AF20" s="35" t="str">
        <f aca="false">IF(COUNTIFS(응답입력!$AH$3:$HD$3,"L31",응답입력!$AH21:$HD21,"&lt;9")&gt;=3,SUMIFS(응답입력!$AH21:$HD21,응답입력!$AH$3:$HD$3,"L31",응답입력!$AH21:$HD21,"&lt;9")/COUNTIFS(응답입력!$AH$3:$HD$3,"L31",응답입력!$AH21:$HD21,"&lt;9"),"")</f>
        <v/>
      </c>
      <c r="AG20" s="41" t="str">
        <f aca="false">IFERROR(AVERAGE(B20:AF20),"")</f>
        <v/>
      </c>
    </row>
    <row r="21" customFormat="false" ht="15" hidden="false" customHeight="false" outlineLevel="0" collapsed="false">
      <c r="A21" s="27" t="str">
        <f aca="false">IF(응답입력!A22="","",응답입력!A22)</f>
        <v/>
      </c>
      <c r="B21" s="35" t="str">
        <f aca="false">IF(COUNTIFS(응답입력!$AH$3:$HD$3,"L01",응답입력!$AH22:$HD22,"&lt;9")&gt;=3,SUMIFS(응답입력!$AH22:$HD22,응답입력!$AH$3:$HD$3,"L01",응답입력!$AH22:$HD22,"&lt;9")/COUNTIFS(응답입력!$AH$3:$HD$3,"L01",응답입력!$AH22:$HD22,"&lt;9"),"")</f>
        <v/>
      </c>
      <c r="C21" s="35" t="str">
        <f aca="false">IF(COUNTIFS(응답입력!$AH$3:$HD$3,"L02",응답입력!$AH22:$HD22,"&lt;9")&gt;=3,SUMIFS(응답입력!$AH22:$HD22,응답입력!$AH$3:$HD$3,"L02",응답입력!$AH22:$HD22,"&lt;9")/COUNTIFS(응답입력!$AH$3:$HD$3,"L02",응답입력!$AH22:$HD22,"&lt;9"),"")</f>
        <v/>
      </c>
      <c r="D21" s="35" t="str">
        <f aca="false">IF(COUNTIFS(응답입력!$AH$3:$HD$3,"L03",응답입력!$AH22:$HD22,"&lt;9")&gt;=3,SUMIFS(응답입력!$AH22:$HD22,응답입력!$AH$3:$HD$3,"L03",응답입력!$AH22:$HD22,"&lt;9")/COUNTIFS(응답입력!$AH$3:$HD$3,"L03",응답입력!$AH22:$HD22,"&lt;9"),"")</f>
        <v/>
      </c>
      <c r="E21" s="35" t="str">
        <f aca="false">IF(COUNTIFS(응답입력!$AH$3:$HD$3,"L04",응답입력!$AH22:$HD22,"&lt;9")&gt;=3,SUMIFS(응답입력!$AH22:$HD22,응답입력!$AH$3:$HD$3,"L04",응답입력!$AH22:$HD22,"&lt;9")/COUNTIFS(응답입력!$AH$3:$HD$3,"L04",응답입력!$AH22:$HD22,"&lt;9"),"")</f>
        <v/>
      </c>
      <c r="F21" s="35" t="str">
        <f aca="false">IF(COUNTIFS(응답입력!$AH$3:$HD$3,"L05",응답입력!$AH22:$HD22,"&lt;9")&gt;=3,SUMIFS(응답입력!$AH22:$HD22,응답입력!$AH$3:$HD$3,"L05",응답입력!$AH22:$HD22,"&lt;9")/COUNTIFS(응답입력!$AH$3:$HD$3,"L05",응답입력!$AH22:$HD22,"&lt;9"),"")</f>
        <v/>
      </c>
      <c r="G21" s="35" t="str">
        <f aca="false">IF(COUNTIFS(응답입력!$AH$3:$HD$3,"L06",응답입력!$AH22:$HD22,"&lt;9")&gt;=3,SUMIFS(응답입력!$AH22:$HD22,응답입력!$AH$3:$HD$3,"L06",응답입력!$AH22:$HD22,"&lt;9")/COUNTIFS(응답입력!$AH$3:$HD$3,"L06",응답입력!$AH22:$HD22,"&lt;9"),"")</f>
        <v/>
      </c>
      <c r="H21" s="35" t="str">
        <f aca="false">IF(COUNTIFS(응답입력!$AH$3:$HD$3,"L07",응답입력!$AH22:$HD22,"&lt;9")&gt;=3,SUMIFS(응답입력!$AH22:$HD22,응답입력!$AH$3:$HD$3,"L07",응답입력!$AH22:$HD22,"&lt;9")/COUNTIFS(응답입력!$AH$3:$HD$3,"L07",응답입력!$AH22:$HD22,"&lt;9"),"")</f>
        <v/>
      </c>
      <c r="I21" s="35" t="str">
        <f aca="false">IF(COUNTIFS(응답입력!$AH$3:$HD$3,"L08",응답입력!$AH22:$HD22,"&lt;9")&gt;=3,SUMIFS(응답입력!$AH22:$HD22,응답입력!$AH$3:$HD$3,"L08",응답입력!$AH22:$HD22,"&lt;9")/COUNTIFS(응답입력!$AH$3:$HD$3,"L08",응답입력!$AH22:$HD22,"&lt;9"),"")</f>
        <v/>
      </c>
      <c r="J21" s="35" t="str">
        <f aca="false">IF(COUNTIFS(응답입력!$AH$3:$HD$3,"L09",응답입력!$AH22:$HD22,"&lt;9")&gt;=3,SUMIFS(응답입력!$AH22:$HD22,응답입력!$AH$3:$HD$3,"L09",응답입력!$AH22:$HD22,"&lt;9")/COUNTIFS(응답입력!$AH$3:$HD$3,"L09",응답입력!$AH22:$HD22,"&lt;9"),"")</f>
        <v/>
      </c>
      <c r="K21" s="35" t="str">
        <f aca="false">IF(COUNTIFS(응답입력!$AH$3:$HD$3,"L10",응답입력!$AH22:$HD22,"&lt;9")&gt;=3,SUMIFS(응답입력!$AH22:$HD22,응답입력!$AH$3:$HD$3,"L10",응답입력!$AH22:$HD22,"&lt;9")/COUNTIFS(응답입력!$AH$3:$HD$3,"L10",응답입력!$AH22:$HD22,"&lt;9"),"")</f>
        <v/>
      </c>
      <c r="L21" s="35" t="str">
        <f aca="false">IF(COUNTIFS(응답입력!$AH$3:$HD$3,"L11",응답입력!$AH22:$HD22,"&lt;9")&gt;=3,SUMIFS(응답입력!$AH22:$HD22,응답입력!$AH$3:$HD$3,"L11",응답입력!$AH22:$HD22,"&lt;9")/COUNTIFS(응답입력!$AH$3:$HD$3,"L11",응답입력!$AH22:$HD22,"&lt;9"),"")</f>
        <v/>
      </c>
      <c r="M21" s="35" t="str">
        <f aca="false">IF(COUNTIFS(응답입력!$AH$3:$HD$3,"L12",응답입력!$AH22:$HD22,"&lt;9")&gt;=3,SUMIFS(응답입력!$AH22:$HD22,응답입력!$AH$3:$HD$3,"L12",응답입력!$AH22:$HD22,"&lt;9")/COUNTIFS(응답입력!$AH$3:$HD$3,"L12",응답입력!$AH22:$HD22,"&lt;9"),"")</f>
        <v/>
      </c>
      <c r="N21" s="35" t="str">
        <f aca="false">IF(COUNTIFS(응답입력!$AH$3:$HD$3,"L13",응답입력!$AH22:$HD22,"&lt;9")&gt;=3,SUMIFS(응답입력!$AH22:$HD22,응답입력!$AH$3:$HD$3,"L13",응답입력!$AH22:$HD22,"&lt;9")/COUNTIFS(응답입력!$AH$3:$HD$3,"L13",응답입력!$AH22:$HD22,"&lt;9"),"")</f>
        <v/>
      </c>
      <c r="O21" s="35" t="str">
        <f aca="false">IF(COUNTIFS(응답입력!$AH$3:$HD$3,"L14",응답입력!$AH22:$HD22,"&lt;9")&gt;=3,SUMIFS(응답입력!$AH22:$HD22,응답입력!$AH$3:$HD$3,"L14",응답입력!$AH22:$HD22,"&lt;9")/COUNTIFS(응답입력!$AH$3:$HD$3,"L14",응답입력!$AH22:$HD22,"&lt;9"),"")</f>
        <v/>
      </c>
      <c r="P21" s="35" t="str">
        <f aca="false">IF(COUNTIFS(응답입력!$AH$3:$HD$3,"L15",응답입력!$AH22:$HD22,"&lt;9")&gt;=3,SUMIFS(응답입력!$AH22:$HD22,응답입력!$AH$3:$HD$3,"L15",응답입력!$AH22:$HD22,"&lt;9")/COUNTIFS(응답입력!$AH$3:$HD$3,"L15",응답입력!$AH22:$HD22,"&lt;9"),"")</f>
        <v/>
      </c>
      <c r="Q21" s="35" t="str">
        <f aca="false">IF(COUNTIFS(응답입력!$AH$3:$HD$3,"L16",응답입력!$AH22:$HD22,"&lt;9")&gt;=3,SUMIFS(응답입력!$AH22:$HD22,응답입력!$AH$3:$HD$3,"L16",응답입력!$AH22:$HD22,"&lt;9")/COUNTIFS(응답입력!$AH$3:$HD$3,"L16",응답입력!$AH22:$HD22,"&lt;9"),"")</f>
        <v/>
      </c>
      <c r="R21" s="35" t="str">
        <f aca="false">IF(COUNTIFS(응답입력!$AH$3:$HD$3,"L17",응답입력!$AH22:$HD22,"&lt;9")&gt;=3,SUMIFS(응답입력!$AH22:$HD22,응답입력!$AH$3:$HD$3,"L17",응답입력!$AH22:$HD22,"&lt;9")/COUNTIFS(응답입력!$AH$3:$HD$3,"L17",응답입력!$AH22:$HD22,"&lt;9"),"")</f>
        <v/>
      </c>
      <c r="S21" s="35" t="str">
        <f aca="false">IF(COUNTIFS(응답입력!$AH$3:$HD$3,"L18",응답입력!$AH22:$HD22,"&lt;9")&gt;=3,SUMIFS(응답입력!$AH22:$HD22,응답입력!$AH$3:$HD$3,"L18",응답입력!$AH22:$HD22,"&lt;9")/COUNTIFS(응답입력!$AH$3:$HD$3,"L18",응답입력!$AH22:$HD22,"&lt;9"),"")</f>
        <v/>
      </c>
      <c r="T21" s="35" t="str">
        <f aca="false">IF(COUNTIFS(응답입력!$AH$3:$HD$3,"L19",응답입력!$AH22:$HD22,"&lt;9")&gt;=3,SUMIFS(응답입력!$AH22:$HD22,응답입력!$AH$3:$HD$3,"L19",응답입력!$AH22:$HD22,"&lt;9")/COUNTIFS(응답입력!$AH$3:$HD$3,"L19",응답입력!$AH22:$HD22,"&lt;9"),"")</f>
        <v/>
      </c>
      <c r="U21" s="35" t="str">
        <f aca="false">IF(COUNTIFS(응답입력!$AH$3:$HD$3,"L20",응답입력!$AH22:$HD22,"&lt;9")&gt;=3,SUMIFS(응답입력!$AH22:$HD22,응답입력!$AH$3:$HD$3,"L20",응답입력!$AH22:$HD22,"&lt;9")/COUNTIFS(응답입력!$AH$3:$HD$3,"L20",응답입력!$AH22:$HD22,"&lt;9"),"")</f>
        <v/>
      </c>
      <c r="V21" s="35" t="str">
        <f aca="false">IF(COUNTIFS(응답입력!$AH$3:$HD$3,"L21",응답입력!$AH22:$HD22,"&lt;9")&gt;=3,SUMIFS(응답입력!$AH22:$HD22,응답입력!$AH$3:$HD$3,"L21",응답입력!$AH22:$HD22,"&lt;9")/COUNTIFS(응답입력!$AH$3:$HD$3,"L21",응답입력!$AH22:$HD22,"&lt;9"),"")</f>
        <v/>
      </c>
      <c r="W21" s="35" t="str">
        <f aca="false">IF(COUNTIFS(응답입력!$AH$3:$HD$3,"L22",응답입력!$AH22:$HD22,"&lt;9")&gt;=3,SUMIFS(응답입력!$AH22:$HD22,응답입력!$AH$3:$HD$3,"L22",응답입력!$AH22:$HD22,"&lt;9")/COUNTIFS(응답입력!$AH$3:$HD$3,"L22",응답입력!$AH22:$HD22,"&lt;9"),"")</f>
        <v/>
      </c>
      <c r="X21" s="35" t="str">
        <f aca="false">IF(COUNTIFS(응답입력!$AH$3:$HD$3,"L23",응답입력!$AH22:$HD22,"&lt;9")&gt;=3,SUMIFS(응답입력!$AH22:$HD22,응답입력!$AH$3:$HD$3,"L23",응답입력!$AH22:$HD22,"&lt;9")/COUNTIFS(응답입력!$AH$3:$HD$3,"L23",응답입력!$AH22:$HD22,"&lt;9"),"")</f>
        <v/>
      </c>
      <c r="Y21" s="35" t="str">
        <f aca="false">IF(COUNTIFS(응답입력!$AH$3:$HD$3,"L24",응답입력!$AH22:$HD22,"&lt;9")&gt;=3,SUMIFS(응답입력!$AH22:$HD22,응답입력!$AH$3:$HD$3,"L24",응답입력!$AH22:$HD22,"&lt;9")/COUNTIFS(응답입력!$AH$3:$HD$3,"L24",응답입력!$AH22:$HD22,"&lt;9"),"")</f>
        <v/>
      </c>
      <c r="Z21" s="35" t="str">
        <f aca="false">IF(COUNTIFS(응답입력!$AH$3:$HD$3,"L25",응답입력!$AH22:$HD22,"&lt;9")&gt;=3,SUMIFS(응답입력!$AH22:$HD22,응답입력!$AH$3:$HD$3,"L25",응답입력!$AH22:$HD22,"&lt;9")/COUNTIFS(응답입력!$AH$3:$HD$3,"L25",응답입력!$AH22:$HD22,"&lt;9"),"")</f>
        <v/>
      </c>
      <c r="AA21" s="35" t="str">
        <f aca="false">IF(COUNTIFS(응답입력!$AH$3:$HD$3,"L26",응답입력!$AH22:$HD22,"&lt;9")&gt;=3,SUMIFS(응답입력!$AH22:$HD22,응답입력!$AH$3:$HD$3,"L26",응답입력!$AH22:$HD22,"&lt;9")/COUNTIFS(응답입력!$AH$3:$HD$3,"L26",응답입력!$AH22:$HD22,"&lt;9"),"")</f>
        <v/>
      </c>
      <c r="AB21" s="35" t="str">
        <f aca="false">IF(COUNTIFS(응답입력!$AH$3:$HD$3,"L27",응답입력!$AH22:$HD22,"&lt;9")&gt;=3,SUMIFS(응답입력!$AH22:$HD22,응답입력!$AH$3:$HD$3,"L27",응답입력!$AH22:$HD22,"&lt;9")/COUNTIFS(응답입력!$AH$3:$HD$3,"L27",응답입력!$AH22:$HD22,"&lt;9"),"")</f>
        <v/>
      </c>
      <c r="AC21" s="35" t="str">
        <f aca="false">IF(COUNTIFS(응답입력!$AH$3:$HD$3,"L28",응답입력!$AH22:$HD22,"&lt;9")&gt;=3,SUMIFS(응답입력!$AH22:$HD22,응답입력!$AH$3:$HD$3,"L28",응답입력!$AH22:$HD22,"&lt;9")/COUNTIFS(응답입력!$AH$3:$HD$3,"L28",응답입력!$AH22:$HD22,"&lt;9"),"")</f>
        <v/>
      </c>
      <c r="AD21" s="35" t="str">
        <f aca="false">IF(COUNTIFS(응답입력!$AH$3:$HD$3,"L29",응답입력!$AH22:$HD22,"&lt;9")&gt;=3,SUMIFS(응답입력!$AH22:$HD22,응답입력!$AH$3:$HD$3,"L29",응답입력!$AH22:$HD22,"&lt;9")/COUNTIFS(응답입력!$AH$3:$HD$3,"L29",응답입력!$AH22:$HD22,"&lt;9"),"")</f>
        <v/>
      </c>
      <c r="AE21" s="35" t="str">
        <f aca="false">IF(COUNTIFS(응답입력!$AH$3:$HD$3,"L30",응답입력!$AH22:$HD22,"&lt;9")&gt;=3,SUMIFS(응답입력!$AH22:$HD22,응답입력!$AH$3:$HD$3,"L30",응답입력!$AH22:$HD22,"&lt;9")/COUNTIFS(응답입력!$AH$3:$HD$3,"L30",응답입력!$AH22:$HD22,"&lt;9"),"")</f>
        <v/>
      </c>
      <c r="AF21" s="35" t="str">
        <f aca="false">IF(COUNTIFS(응답입력!$AH$3:$HD$3,"L31",응답입력!$AH22:$HD22,"&lt;9")&gt;=3,SUMIFS(응답입력!$AH22:$HD22,응답입력!$AH$3:$HD$3,"L31",응답입력!$AH22:$HD22,"&lt;9")/COUNTIFS(응답입력!$AH$3:$HD$3,"L31",응답입력!$AH22:$HD22,"&lt;9"),"")</f>
        <v/>
      </c>
      <c r="AG21" s="41" t="str">
        <f aca="false">IFERROR(AVERAGE(B21:AF21),"")</f>
        <v/>
      </c>
    </row>
    <row r="22" customFormat="false" ht="15" hidden="false" customHeight="false" outlineLevel="0" collapsed="false">
      <c r="A22" s="27" t="str">
        <f aca="false">IF(응답입력!A23="","",응답입력!A23)</f>
        <v/>
      </c>
      <c r="B22" s="35" t="str">
        <f aca="false">IF(COUNTIFS(응답입력!$AH$3:$HD$3,"L01",응답입력!$AH23:$HD23,"&lt;9")&gt;=3,SUMIFS(응답입력!$AH23:$HD23,응답입력!$AH$3:$HD$3,"L01",응답입력!$AH23:$HD23,"&lt;9")/COUNTIFS(응답입력!$AH$3:$HD$3,"L01",응답입력!$AH23:$HD23,"&lt;9"),"")</f>
        <v/>
      </c>
      <c r="C22" s="35" t="str">
        <f aca="false">IF(COUNTIFS(응답입력!$AH$3:$HD$3,"L02",응답입력!$AH23:$HD23,"&lt;9")&gt;=3,SUMIFS(응답입력!$AH23:$HD23,응답입력!$AH$3:$HD$3,"L02",응답입력!$AH23:$HD23,"&lt;9")/COUNTIFS(응답입력!$AH$3:$HD$3,"L02",응답입력!$AH23:$HD23,"&lt;9"),"")</f>
        <v/>
      </c>
      <c r="D22" s="35" t="str">
        <f aca="false">IF(COUNTIFS(응답입력!$AH$3:$HD$3,"L03",응답입력!$AH23:$HD23,"&lt;9")&gt;=3,SUMIFS(응답입력!$AH23:$HD23,응답입력!$AH$3:$HD$3,"L03",응답입력!$AH23:$HD23,"&lt;9")/COUNTIFS(응답입력!$AH$3:$HD$3,"L03",응답입력!$AH23:$HD23,"&lt;9"),"")</f>
        <v/>
      </c>
      <c r="E22" s="35" t="str">
        <f aca="false">IF(COUNTIFS(응답입력!$AH$3:$HD$3,"L04",응답입력!$AH23:$HD23,"&lt;9")&gt;=3,SUMIFS(응답입력!$AH23:$HD23,응답입력!$AH$3:$HD$3,"L04",응답입력!$AH23:$HD23,"&lt;9")/COUNTIFS(응답입력!$AH$3:$HD$3,"L04",응답입력!$AH23:$HD23,"&lt;9"),"")</f>
        <v/>
      </c>
      <c r="F22" s="35" t="str">
        <f aca="false">IF(COUNTIFS(응답입력!$AH$3:$HD$3,"L05",응답입력!$AH23:$HD23,"&lt;9")&gt;=3,SUMIFS(응답입력!$AH23:$HD23,응답입력!$AH$3:$HD$3,"L05",응답입력!$AH23:$HD23,"&lt;9")/COUNTIFS(응답입력!$AH$3:$HD$3,"L05",응답입력!$AH23:$HD23,"&lt;9"),"")</f>
        <v/>
      </c>
      <c r="G22" s="35" t="str">
        <f aca="false">IF(COUNTIFS(응답입력!$AH$3:$HD$3,"L06",응답입력!$AH23:$HD23,"&lt;9")&gt;=3,SUMIFS(응답입력!$AH23:$HD23,응답입력!$AH$3:$HD$3,"L06",응답입력!$AH23:$HD23,"&lt;9")/COUNTIFS(응답입력!$AH$3:$HD$3,"L06",응답입력!$AH23:$HD23,"&lt;9"),"")</f>
        <v/>
      </c>
      <c r="H22" s="35" t="str">
        <f aca="false">IF(COUNTIFS(응답입력!$AH$3:$HD$3,"L07",응답입력!$AH23:$HD23,"&lt;9")&gt;=3,SUMIFS(응답입력!$AH23:$HD23,응답입력!$AH$3:$HD$3,"L07",응답입력!$AH23:$HD23,"&lt;9")/COUNTIFS(응답입력!$AH$3:$HD$3,"L07",응답입력!$AH23:$HD23,"&lt;9"),"")</f>
        <v/>
      </c>
      <c r="I22" s="35" t="str">
        <f aca="false">IF(COUNTIFS(응답입력!$AH$3:$HD$3,"L08",응답입력!$AH23:$HD23,"&lt;9")&gt;=3,SUMIFS(응답입력!$AH23:$HD23,응답입력!$AH$3:$HD$3,"L08",응답입력!$AH23:$HD23,"&lt;9")/COUNTIFS(응답입력!$AH$3:$HD$3,"L08",응답입력!$AH23:$HD23,"&lt;9"),"")</f>
        <v/>
      </c>
      <c r="J22" s="35" t="str">
        <f aca="false">IF(COUNTIFS(응답입력!$AH$3:$HD$3,"L09",응답입력!$AH23:$HD23,"&lt;9")&gt;=3,SUMIFS(응답입력!$AH23:$HD23,응답입력!$AH$3:$HD$3,"L09",응답입력!$AH23:$HD23,"&lt;9")/COUNTIFS(응답입력!$AH$3:$HD$3,"L09",응답입력!$AH23:$HD23,"&lt;9"),"")</f>
        <v/>
      </c>
      <c r="K22" s="35" t="str">
        <f aca="false">IF(COUNTIFS(응답입력!$AH$3:$HD$3,"L10",응답입력!$AH23:$HD23,"&lt;9")&gt;=3,SUMIFS(응답입력!$AH23:$HD23,응답입력!$AH$3:$HD$3,"L10",응답입력!$AH23:$HD23,"&lt;9")/COUNTIFS(응답입력!$AH$3:$HD$3,"L10",응답입력!$AH23:$HD23,"&lt;9"),"")</f>
        <v/>
      </c>
      <c r="L22" s="35" t="str">
        <f aca="false">IF(COUNTIFS(응답입력!$AH$3:$HD$3,"L11",응답입력!$AH23:$HD23,"&lt;9")&gt;=3,SUMIFS(응답입력!$AH23:$HD23,응답입력!$AH$3:$HD$3,"L11",응답입력!$AH23:$HD23,"&lt;9")/COUNTIFS(응답입력!$AH$3:$HD$3,"L11",응답입력!$AH23:$HD23,"&lt;9"),"")</f>
        <v/>
      </c>
      <c r="M22" s="35" t="str">
        <f aca="false">IF(COUNTIFS(응답입력!$AH$3:$HD$3,"L12",응답입력!$AH23:$HD23,"&lt;9")&gt;=3,SUMIFS(응답입력!$AH23:$HD23,응답입력!$AH$3:$HD$3,"L12",응답입력!$AH23:$HD23,"&lt;9")/COUNTIFS(응답입력!$AH$3:$HD$3,"L12",응답입력!$AH23:$HD23,"&lt;9"),"")</f>
        <v/>
      </c>
      <c r="N22" s="35" t="str">
        <f aca="false">IF(COUNTIFS(응답입력!$AH$3:$HD$3,"L13",응답입력!$AH23:$HD23,"&lt;9")&gt;=3,SUMIFS(응답입력!$AH23:$HD23,응답입력!$AH$3:$HD$3,"L13",응답입력!$AH23:$HD23,"&lt;9")/COUNTIFS(응답입력!$AH$3:$HD$3,"L13",응답입력!$AH23:$HD23,"&lt;9"),"")</f>
        <v/>
      </c>
      <c r="O22" s="35" t="str">
        <f aca="false">IF(COUNTIFS(응답입력!$AH$3:$HD$3,"L14",응답입력!$AH23:$HD23,"&lt;9")&gt;=3,SUMIFS(응답입력!$AH23:$HD23,응답입력!$AH$3:$HD$3,"L14",응답입력!$AH23:$HD23,"&lt;9")/COUNTIFS(응답입력!$AH$3:$HD$3,"L14",응답입력!$AH23:$HD23,"&lt;9"),"")</f>
        <v/>
      </c>
      <c r="P22" s="35" t="str">
        <f aca="false">IF(COUNTIFS(응답입력!$AH$3:$HD$3,"L15",응답입력!$AH23:$HD23,"&lt;9")&gt;=3,SUMIFS(응답입력!$AH23:$HD23,응답입력!$AH$3:$HD$3,"L15",응답입력!$AH23:$HD23,"&lt;9")/COUNTIFS(응답입력!$AH$3:$HD$3,"L15",응답입력!$AH23:$HD23,"&lt;9"),"")</f>
        <v/>
      </c>
      <c r="Q22" s="35" t="str">
        <f aca="false">IF(COUNTIFS(응답입력!$AH$3:$HD$3,"L16",응답입력!$AH23:$HD23,"&lt;9")&gt;=3,SUMIFS(응답입력!$AH23:$HD23,응답입력!$AH$3:$HD$3,"L16",응답입력!$AH23:$HD23,"&lt;9")/COUNTIFS(응답입력!$AH$3:$HD$3,"L16",응답입력!$AH23:$HD23,"&lt;9"),"")</f>
        <v/>
      </c>
      <c r="R22" s="35" t="str">
        <f aca="false">IF(COUNTIFS(응답입력!$AH$3:$HD$3,"L17",응답입력!$AH23:$HD23,"&lt;9")&gt;=3,SUMIFS(응답입력!$AH23:$HD23,응답입력!$AH$3:$HD$3,"L17",응답입력!$AH23:$HD23,"&lt;9")/COUNTIFS(응답입력!$AH$3:$HD$3,"L17",응답입력!$AH23:$HD23,"&lt;9"),"")</f>
        <v/>
      </c>
      <c r="S22" s="35" t="str">
        <f aca="false">IF(COUNTIFS(응답입력!$AH$3:$HD$3,"L18",응답입력!$AH23:$HD23,"&lt;9")&gt;=3,SUMIFS(응답입력!$AH23:$HD23,응답입력!$AH$3:$HD$3,"L18",응답입력!$AH23:$HD23,"&lt;9")/COUNTIFS(응답입력!$AH$3:$HD$3,"L18",응답입력!$AH23:$HD23,"&lt;9"),"")</f>
        <v/>
      </c>
      <c r="T22" s="35" t="str">
        <f aca="false">IF(COUNTIFS(응답입력!$AH$3:$HD$3,"L19",응답입력!$AH23:$HD23,"&lt;9")&gt;=3,SUMIFS(응답입력!$AH23:$HD23,응답입력!$AH$3:$HD$3,"L19",응답입력!$AH23:$HD23,"&lt;9")/COUNTIFS(응답입력!$AH$3:$HD$3,"L19",응답입력!$AH23:$HD23,"&lt;9"),"")</f>
        <v/>
      </c>
      <c r="U22" s="35" t="str">
        <f aca="false">IF(COUNTIFS(응답입력!$AH$3:$HD$3,"L20",응답입력!$AH23:$HD23,"&lt;9")&gt;=3,SUMIFS(응답입력!$AH23:$HD23,응답입력!$AH$3:$HD$3,"L20",응답입력!$AH23:$HD23,"&lt;9")/COUNTIFS(응답입력!$AH$3:$HD$3,"L20",응답입력!$AH23:$HD23,"&lt;9"),"")</f>
        <v/>
      </c>
      <c r="V22" s="35" t="str">
        <f aca="false">IF(COUNTIFS(응답입력!$AH$3:$HD$3,"L21",응답입력!$AH23:$HD23,"&lt;9")&gt;=3,SUMIFS(응답입력!$AH23:$HD23,응답입력!$AH$3:$HD$3,"L21",응답입력!$AH23:$HD23,"&lt;9")/COUNTIFS(응답입력!$AH$3:$HD$3,"L21",응답입력!$AH23:$HD23,"&lt;9"),"")</f>
        <v/>
      </c>
      <c r="W22" s="35" t="str">
        <f aca="false">IF(COUNTIFS(응답입력!$AH$3:$HD$3,"L22",응답입력!$AH23:$HD23,"&lt;9")&gt;=3,SUMIFS(응답입력!$AH23:$HD23,응답입력!$AH$3:$HD$3,"L22",응답입력!$AH23:$HD23,"&lt;9")/COUNTIFS(응답입력!$AH$3:$HD$3,"L22",응답입력!$AH23:$HD23,"&lt;9"),"")</f>
        <v/>
      </c>
      <c r="X22" s="35" t="str">
        <f aca="false">IF(COUNTIFS(응답입력!$AH$3:$HD$3,"L23",응답입력!$AH23:$HD23,"&lt;9")&gt;=3,SUMIFS(응답입력!$AH23:$HD23,응답입력!$AH$3:$HD$3,"L23",응답입력!$AH23:$HD23,"&lt;9")/COUNTIFS(응답입력!$AH$3:$HD$3,"L23",응답입력!$AH23:$HD23,"&lt;9"),"")</f>
        <v/>
      </c>
      <c r="Y22" s="35" t="str">
        <f aca="false">IF(COUNTIFS(응답입력!$AH$3:$HD$3,"L24",응답입력!$AH23:$HD23,"&lt;9")&gt;=3,SUMIFS(응답입력!$AH23:$HD23,응답입력!$AH$3:$HD$3,"L24",응답입력!$AH23:$HD23,"&lt;9")/COUNTIFS(응답입력!$AH$3:$HD$3,"L24",응답입력!$AH23:$HD23,"&lt;9"),"")</f>
        <v/>
      </c>
      <c r="Z22" s="35" t="str">
        <f aca="false">IF(COUNTIFS(응답입력!$AH$3:$HD$3,"L25",응답입력!$AH23:$HD23,"&lt;9")&gt;=3,SUMIFS(응답입력!$AH23:$HD23,응답입력!$AH$3:$HD$3,"L25",응답입력!$AH23:$HD23,"&lt;9")/COUNTIFS(응답입력!$AH$3:$HD$3,"L25",응답입력!$AH23:$HD23,"&lt;9"),"")</f>
        <v/>
      </c>
      <c r="AA22" s="35" t="str">
        <f aca="false">IF(COUNTIFS(응답입력!$AH$3:$HD$3,"L26",응답입력!$AH23:$HD23,"&lt;9")&gt;=3,SUMIFS(응답입력!$AH23:$HD23,응답입력!$AH$3:$HD$3,"L26",응답입력!$AH23:$HD23,"&lt;9")/COUNTIFS(응답입력!$AH$3:$HD$3,"L26",응답입력!$AH23:$HD23,"&lt;9"),"")</f>
        <v/>
      </c>
      <c r="AB22" s="35" t="str">
        <f aca="false">IF(COUNTIFS(응답입력!$AH$3:$HD$3,"L27",응답입력!$AH23:$HD23,"&lt;9")&gt;=3,SUMIFS(응답입력!$AH23:$HD23,응답입력!$AH$3:$HD$3,"L27",응답입력!$AH23:$HD23,"&lt;9")/COUNTIFS(응답입력!$AH$3:$HD$3,"L27",응답입력!$AH23:$HD23,"&lt;9"),"")</f>
        <v/>
      </c>
      <c r="AC22" s="35" t="str">
        <f aca="false">IF(COUNTIFS(응답입력!$AH$3:$HD$3,"L28",응답입력!$AH23:$HD23,"&lt;9")&gt;=3,SUMIFS(응답입력!$AH23:$HD23,응답입력!$AH$3:$HD$3,"L28",응답입력!$AH23:$HD23,"&lt;9")/COUNTIFS(응답입력!$AH$3:$HD$3,"L28",응답입력!$AH23:$HD23,"&lt;9"),"")</f>
        <v/>
      </c>
      <c r="AD22" s="35" t="str">
        <f aca="false">IF(COUNTIFS(응답입력!$AH$3:$HD$3,"L29",응답입력!$AH23:$HD23,"&lt;9")&gt;=3,SUMIFS(응답입력!$AH23:$HD23,응답입력!$AH$3:$HD$3,"L29",응답입력!$AH23:$HD23,"&lt;9")/COUNTIFS(응답입력!$AH$3:$HD$3,"L29",응답입력!$AH23:$HD23,"&lt;9"),"")</f>
        <v/>
      </c>
      <c r="AE22" s="35" t="str">
        <f aca="false">IF(COUNTIFS(응답입력!$AH$3:$HD$3,"L30",응답입력!$AH23:$HD23,"&lt;9")&gt;=3,SUMIFS(응답입력!$AH23:$HD23,응답입력!$AH$3:$HD$3,"L30",응답입력!$AH23:$HD23,"&lt;9")/COUNTIFS(응답입력!$AH$3:$HD$3,"L30",응답입력!$AH23:$HD23,"&lt;9"),"")</f>
        <v/>
      </c>
      <c r="AF22" s="35" t="str">
        <f aca="false">IF(COUNTIFS(응답입력!$AH$3:$HD$3,"L31",응답입력!$AH23:$HD23,"&lt;9")&gt;=3,SUMIFS(응답입력!$AH23:$HD23,응답입력!$AH$3:$HD$3,"L31",응답입력!$AH23:$HD23,"&lt;9")/COUNTIFS(응답입력!$AH$3:$HD$3,"L31",응답입력!$AH23:$HD23,"&lt;9"),"")</f>
        <v/>
      </c>
      <c r="AG22" s="41" t="str">
        <f aca="false">IFERROR(AVERAGE(B22:AF22),"")</f>
        <v/>
      </c>
    </row>
    <row r="23" customFormat="false" ht="15" hidden="false" customHeight="false" outlineLevel="0" collapsed="false">
      <c r="A23" s="27" t="str">
        <f aca="false">IF(응답입력!A24="","",응답입력!A24)</f>
        <v/>
      </c>
      <c r="B23" s="35" t="str">
        <f aca="false">IF(COUNTIFS(응답입력!$AH$3:$HD$3,"L01",응답입력!$AH24:$HD24,"&lt;9")&gt;=3,SUMIFS(응답입력!$AH24:$HD24,응답입력!$AH$3:$HD$3,"L01",응답입력!$AH24:$HD24,"&lt;9")/COUNTIFS(응답입력!$AH$3:$HD$3,"L01",응답입력!$AH24:$HD24,"&lt;9"),"")</f>
        <v/>
      </c>
      <c r="C23" s="35" t="str">
        <f aca="false">IF(COUNTIFS(응답입력!$AH$3:$HD$3,"L02",응답입력!$AH24:$HD24,"&lt;9")&gt;=3,SUMIFS(응답입력!$AH24:$HD24,응답입력!$AH$3:$HD$3,"L02",응답입력!$AH24:$HD24,"&lt;9")/COUNTIFS(응답입력!$AH$3:$HD$3,"L02",응답입력!$AH24:$HD24,"&lt;9"),"")</f>
        <v/>
      </c>
      <c r="D23" s="35" t="str">
        <f aca="false">IF(COUNTIFS(응답입력!$AH$3:$HD$3,"L03",응답입력!$AH24:$HD24,"&lt;9")&gt;=3,SUMIFS(응답입력!$AH24:$HD24,응답입력!$AH$3:$HD$3,"L03",응답입력!$AH24:$HD24,"&lt;9")/COUNTIFS(응답입력!$AH$3:$HD$3,"L03",응답입력!$AH24:$HD24,"&lt;9"),"")</f>
        <v/>
      </c>
      <c r="E23" s="35" t="str">
        <f aca="false">IF(COUNTIFS(응답입력!$AH$3:$HD$3,"L04",응답입력!$AH24:$HD24,"&lt;9")&gt;=3,SUMIFS(응답입력!$AH24:$HD24,응답입력!$AH$3:$HD$3,"L04",응답입력!$AH24:$HD24,"&lt;9")/COUNTIFS(응답입력!$AH$3:$HD$3,"L04",응답입력!$AH24:$HD24,"&lt;9"),"")</f>
        <v/>
      </c>
      <c r="F23" s="35" t="str">
        <f aca="false">IF(COUNTIFS(응답입력!$AH$3:$HD$3,"L05",응답입력!$AH24:$HD24,"&lt;9")&gt;=3,SUMIFS(응답입력!$AH24:$HD24,응답입력!$AH$3:$HD$3,"L05",응답입력!$AH24:$HD24,"&lt;9")/COUNTIFS(응답입력!$AH$3:$HD$3,"L05",응답입력!$AH24:$HD24,"&lt;9"),"")</f>
        <v/>
      </c>
      <c r="G23" s="35" t="str">
        <f aca="false">IF(COUNTIFS(응답입력!$AH$3:$HD$3,"L06",응답입력!$AH24:$HD24,"&lt;9")&gt;=3,SUMIFS(응답입력!$AH24:$HD24,응답입력!$AH$3:$HD$3,"L06",응답입력!$AH24:$HD24,"&lt;9")/COUNTIFS(응답입력!$AH$3:$HD$3,"L06",응답입력!$AH24:$HD24,"&lt;9"),"")</f>
        <v/>
      </c>
      <c r="H23" s="35" t="str">
        <f aca="false">IF(COUNTIFS(응답입력!$AH$3:$HD$3,"L07",응답입력!$AH24:$HD24,"&lt;9")&gt;=3,SUMIFS(응답입력!$AH24:$HD24,응답입력!$AH$3:$HD$3,"L07",응답입력!$AH24:$HD24,"&lt;9")/COUNTIFS(응답입력!$AH$3:$HD$3,"L07",응답입력!$AH24:$HD24,"&lt;9"),"")</f>
        <v/>
      </c>
      <c r="I23" s="35" t="str">
        <f aca="false">IF(COUNTIFS(응답입력!$AH$3:$HD$3,"L08",응답입력!$AH24:$HD24,"&lt;9")&gt;=3,SUMIFS(응답입력!$AH24:$HD24,응답입력!$AH$3:$HD$3,"L08",응답입력!$AH24:$HD24,"&lt;9")/COUNTIFS(응답입력!$AH$3:$HD$3,"L08",응답입력!$AH24:$HD24,"&lt;9"),"")</f>
        <v/>
      </c>
      <c r="J23" s="35" t="str">
        <f aca="false">IF(COUNTIFS(응답입력!$AH$3:$HD$3,"L09",응답입력!$AH24:$HD24,"&lt;9")&gt;=3,SUMIFS(응답입력!$AH24:$HD24,응답입력!$AH$3:$HD$3,"L09",응답입력!$AH24:$HD24,"&lt;9")/COUNTIFS(응답입력!$AH$3:$HD$3,"L09",응답입력!$AH24:$HD24,"&lt;9"),"")</f>
        <v/>
      </c>
      <c r="K23" s="35" t="str">
        <f aca="false">IF(COUNTIFS(응답입력!$AH$3:$HD$3,"L10",응답입력!$AH24:$HD24,"&lt;9")&gt;=3,SUMIFS(응답입력!$AH24:$HD24,응답입력!$AH$3:$HD$3,"L10",응답입력!$AH24:$HD24,"&lt;9")/COUNTIFS(응답입력!$AH$3:$HD$3,"L10",응답입력!$AH24:$HD24,"&lt;9"),"")</f>
        <v/>
      </c>
      <c r="L23" s="35" t="str">
        <f aca="false">IF(COUNTIFS(응답입력!$AH$3:$HD$3,"L11",응답입력!$AH24:$HD24,"&lt;9")&gt;=3,SUMIFS(응답입력!$AH24:$HD24,응답입력!$AH$3:$HD$3,"L11",응답입력!$AH24:$HD24,"&lt;9")/COUNTIFS(응답입력!$AH$3:$HD$3,"L11",응답입력!$AH24:$HD24,"&lt;9"),"")</f>
        <v/>
      </c>
      <c r="M23" s="35" t="str">
        <f aca="false">IF(COUNTIFS(응답입력!$AH$3:$HD$3,"L12",응답입력!$AH24:$HD24,"&lt;9")&gt;=3,SUMIFS(응답입력!$AH24:$HD24,응답입력!$AH$3:$HD$3,"L12",응답입력!$AH24:$HD24,"&lt;9")/COUNTIFS(응답입력!$AH$3:$HD$3,"L12",응답입력!$AH24:$HD24,"&lt;9"),"")</f>
        <v/>
      </c>
      <c r="N23" s="35" t="str">
        <f aca="false">IF(COUNTIFS(응답입력!$AH$3:$HD$3,"L13",응답입력!$AH24:$HD24,"&lt;9")&gt;=3,SUMIFS(응답입력!$AH24:$HD24,응답입력!$AH$3:$HD$3,"L13",응답입력!$AH24:$HD24,"&lt;9")/COUNTIFS(응답입력!$AH$3:$HD$3,"L13",응답입력!$AH24:$HD24,"&lt;9"),"")</f>
        <v/>
      </c>
      <c r="O23" s="35" t="str">
        <f aca="false">IF(COUNTIFS(응답입력!$AH$3:$HD$3,"L14",응답입력!$AH24:$HD24,"&lt;9")&gt;=3,SUMIFS(응답입력!$AH24:$HD24,응답입력!$AH$3:$HD$3,"L14",응답입력!$AH24:$HD24,"&lt;9")/COUNTIFS(응답입력!$AH$3:$HD$3,"L14",응답입력!$AH24:$HD24,"&lt;9"),"")</f>
        <v/>
      </c>
      <c r="P23" s="35" t="str">
        <f aca="false">IF(COUNTIFS(응답입력!$AH$3:$HD$3,"L15",응답입력!$AH24:$HD24,"&lt;9")&gt;=3,SUMIFS(응답입력!$AH24:$HD24,응답입력!$AH$3:$HD$3,"L15",응답입력!$AH24:$HD24,"&lt;9")/COUNTIFS(응답입력!$AH$3:$HD$3,"L15",응답입력!$AH24:$HD24,"&lt;9"),"")</f>
        <v/>
      </c>
      <c r="Q23" s="35" t="str">
        <f aca="false">IF(COUNTIFS(응답입력!$AH$3:$HD$3,"L16",응답입력!$AH24:$HD24,"&lt;9")&gt;=3,SUMIFS(응답입력!$AH24:$HD24,응답입력!$AH$3:$HD$3,"L16",응답입력!$AH24:$HD24,"&lt;9")/COUNTIFS(응답입력!$AH$3:$HD$3,"L16",응답입력!$AH24:$HD24,"&lt;9"),"")</f>
        <v/>
      </c>
      <c r="R23" s="35" t="str">
        <f aca="false">IF(COUNTIFS(응답입력!$AH$3:$HD$3,"L17",응답입력!$AH24:$HD24,"&lt;9")&gt;=3,SUMIFS(응답입력!$AH24:$HD24,응답입력!$AH$3:$HD$3,"L17",응답입력!$AH24:$HD24,"&lt;9")/COUNTIFS(응답입력!$AH$3:$HD$3,"L17",응답입력!$AH24:$HD24,"&lt;9"),"")</f>
        <v/>
      </c>
      <c r="S23" s="35" t="str">
        <f aca="false">IF(COUNTIFS(응답입력!$AH$3:$HD$3,"L18",응답입력!$AH24:$HD24,"&lt;9")&gt;=3,SUMIFS(응답입력!$AH24:$HD24,응답입력!$AH$3:$HD$3,"L18",응답입력!$AH24:$HD24,"&lt;9")/COUNTIFS(응답입력!$AH$3:$HD$3,"L18",응답입력!$AH24:$HD24,"&lt;9"),"")</f>
        <v/>
      </c>
      <c r="T23" s="35" t="str">
        <f aca="false">IF(COUNTIFS(응답입력!$AH$3:$HD$3,"L19",응답입력!$AH24:$HD24,"&lt;9")&gt;=3,SUMIFS(응답입력!$AH24:$HD24,응답입력!$AH$3:$HD$3,"L19",응답입력!$AH24:$HD24,"&lt;9")/COUNTIFS(응답입력!$AH$3:$HD$3,"L19",응답입력!$AH24:$HD24,"&lt;9"),"")</f>
        <v/>
      </c>
      <c r="U23" s="35" t="str">
        <f aca="false">IF(COUNTIFS(응답입력!$AH$3:$HD$3,"L20",응답입력!$AH24:$HD24,"&lt;9")&gt;=3,SUMIFS(응답입력!$AH24:$HD24,응답입력!$AH$3:$HD$3,"L20",응답입력!$AH24:$HD24,"&lt;9")/COUNTIFS(응답입력!$AH$3:$HD$3,"L20",응답입력!$AH24:$HD24,"&lt;9"),"")</f>
        <v/>
      </c>
      <c r="V23" s="35" t="str">
        <f aca="false">IF(COUNTIFS(응답입력!$AH$3:$HD$3,"L21",응답입력!$AH24:$HD24,"&lt;9")&gt;=3,SUMIFS(응답입력!$AH24:$HD24,응답입력!$AH$3:$HD$3,"L21",응답입력!$AH24:$HD24,"&lt;9")/COUNTIFS(응답입력!$AH$3:$HD$3,"L21",응답입력!$AH24:$HD24,"&lt;9"),"")</f>
        <v/>
      </c>
      <c r="W23" s="35" t="str">
        <f aca="false">IF(COUNTIFS(응답입력!$AH$3:$HD$3,"L22",응답입력!$AH24:$HD24,"&lt;9")&gt;=3,SUMIFS(응답입력!$AH24:$HD24,응답입력!$AH$3:$HD$3,"L22",응답입력!$AH24:$HD24,"&lt;9")/COUNTIFS(응답입력!$AH$3:$HD$3,"L22",응답입력!$AH24:$HD24,"&lt;9"),"")</f>
        <v/>
      </c>
      <c r="X23" s="35" t="str">
        <f aca="false">IF(COUNTIFS(응답입력!$AH$3:$HD$3,"L23",응답입력!$AH24:$HD24,"&lt;9")&gt;=3,SUMIFS(응답입력!$AH24:$HD24,응답입력!$AH$3:$HD$3,"L23",응답입력!$AH24:$HD24,"&lt;9")/COUNTIFS(응답입력!$AH$3:$HD$3,"L23",응답입력!$AH24:$HD24,"&lt;9"),"")</f>
        <v/>
      </c>
      <c r="Y23" s="35" t="str">
        <f aca="false">IF(COUNTIFS(응답입력!$AH$3:$HD$3,"L24",응답입력!$AH24:$HD24,"&lt;9")&gt;=3,SUMIFS(응답입력!$AH24:$HD24,응답입력!$AH$3:$HD$3,"L24",응답입력!$AH24:$HD24,"&lt;9")/COUNTIFS(응답입력!$AH$3:$HD$3,"L24",응답입력!$AH24:$HD24,"&lt;9"),"")</f>
        <v/>
      </c>
      <c r="Z23" s="35" t="str">
        <f aca="false">IF(COUNTIFS(응답입력!$AH$3:$HD$3,"L25",응답입력!$AH24:$HD24,"&lt;9")&gt;=3,SUMIFS(응답입력!$AH24:$HD24,응답입력!$AH$3:$HD$3,"L25",응답입력!$AH24:$HD24,"&lt;9")/COUNTIFS(응답입력!$AH$3:$HD$3,"L25",응답입력!$AH24:$HD24,"&lt;9"),"")</f>
        <v/>
      </c>
      <c r="AA23" s="35" t="str">
        <f aca="false">IF(COUNTIFS(응답입력!$AH$3:$HD$3,"L26",응답입력!$AH24:$HD24,"&lt;9")&gt;=3,SUMIFS(응답입력!$AH24:$HD24,응답입력!$AH$3:$HD$3,"L26",응답입력!$AH24:$HD24,"&lt;9")/COUNTIFS(응답입력!$AH$3:$HD$3,"L26",응답입력!$AH24:$HD24,"&lt;9"),"")</f>
        <v/>
      </c>
      <c r="AB23" s="35" t="str">
        <f aca="false">IF(COUNTIFS(응답입력!$AH$3:$HD$3,"L27",응답입력!$AH24:$HD24,"&lt;9")&gt;=3,SUMIFS(응답입력!$AH24:$HD24,응답입력!$AH$3:$HD$3,"L27",응답입력!$AH24:$HD24,"&lt;9")/COUNTIFS(응답입력!$AH$3:$HD$3,"L27",응답입력!$AH24:$HD24,"&lt;9"),"")</f>
        <v/>
      </c>
      <c r="AC23" s="35" t="str">
        <f aca="false">IF(COUNTIFS(응답입력!$AH$3:$HD$3,"L28",응답입력!$AH24:$HD24,"&lt;9")&gt;=3,SUMIFS(응답입력!$AH24:$HD24,응답입력!$AH$3:$HD$3,"L28",응답입력!$AH24:$HD24,"&lt;9")/COUNTIFS(응답입력!$AH$3:$HD$3,"L28",응답입력!$AH24:$HD24,"&lt;9"),"")</f>
        <v/>
      </c>
      <c r="AD23" s="35" t="str">
        <f aca="false">IF(COUNTIFS(응답입력!$AH$3:$HD$3,"L29",응답입력!$AH24:$HD24,"&lt;9")&gt;=3,SUMIFS(응답입력!$AH24:$HD24,응답입력!$AH$3:$HD$3,"L29",응답입력!$AH24:$HD24,"&lt;9")/COUNTIFS(응답입력!$AH$3:$HD$3,"L29",응답입력!$AH24:$HD24,"&lt;9"),"")</f>
        <v/>
      </c>
      <c r="AE23" s="35" t="str">
        <f aca="false">IF(COUNTIFS(응답입력!$AH$3:$HD$3,"L30",응답입력!$AH24:$HD24,"&lt;9")&gt;=3,SUMIFS(응답입력!$AH24:$HD24,응답입력!$AH$3:$HD$3,"L30",응답입력!$AH24:$HD24,"&lt;9")/COUNTIFS(응답입력!$AH$3:$HD$3,"L30",응답입력!$AH24:$HD24,"&lt;9"),"")</f>
        <v/>
      </c>
      <c r="AF23" s="35" t="str">
        <f aca="false">IF(COUNTIFS(응답입력!$AH$3:$HD$3,"L31",응답입력!$AH24:$HD24,"&lt;9")&gt;=3,SUMIFS(응답입력!$AH24:$HD24,응답입력!$AH$3:$HD$3,"L31",응답입력!$AH24:$HD24,"&lt;9")/COUNTIFS(응답입력!$AH$3:$HD$3,"L31",응답입력!$AH24:$HD24,"&lt;9"),"")</f>
        <v/>
      </c>
      <c r="AG23" s="41" t="str">
        <f aca="false">IFERROR(AVERAGE(B23:AF23),"")</f>
        <v/>
      </c>
    </row>
    <row r="24" customFormat="false" ht="15" hidden="false" customHeight="false" outlineLevel="0" collapsed="false">
      <c r="A24" s="27" t="str">
        <f aca="false">IF(응답입력!A25="","",응답입력!A25)</f>
        <v/>
      </c>
      <c r="B24" s="35" t="str">
        <f aca="false">IF(COUNTIFS(응답입력!$AH$3:$HD$3,"L01",응답입력!$AH25:$HD25,"&lt;9")&gt;=3,SUMIFS(응답입력!$AH25:$HD25,응답입력!$AH$3:$HD$3,"L01",응답입력!$AH25:$HD25,"&lt;9")/COUNTIFS(응답입력!$AH$3:$HD$3,"L01",응답입력!$AH25:$HD25,"&lt;9"),"")</f>
        <v/>
      </c>
      <c r="C24" s="35" t="str">
        <f aca="false">IF(COUNTIFS(응답입력!$AH$3:$HD$3,"L02",응답입력!$AH25:$HD25,"&lt;9")&gt;=3,SUMIFS(응답입력!$AH25:$HD25,응답입력!$AH$3:$HD$3,"L02",응답입력!$AH25:$HD25,"&lt;9")/COUNTIFS(응답입력!$AH$3:$HD$3,"L02",응답입력!$AH25:$HD25,"&lt;9"),"")</f>
        <v/>
      </c>
      <c r="D24" s="35" t="str">
        <f aca="false">IF(COUNTIFS(응답입력!$AH$3:$HD$3,"L03",응답입력!$AH25:$HD25,"&lt;9")&gt;=3,SUMIFS(응답입력!$AH25:$HD25,응답입력!$AH$3:$HD$3,"L03",응답입력!$AH25:$HD25,"&lt;9")/COUNTIFS(응답입력!$AH$3:$HD$3,"L03",응답입력!$AH25:$HD25,"&lt;9"),"")</f>
        <v/>
      </c>
      <c r="E24" s="35" t="str">
        <f aca="false">IF(COUNTIFS(응답입력!$AH$3:$HD$3,"L04",응답입력!$AH25:$HD25,"&lt;9")&gt;=3,SUMIFS(응답입력!$AH25:$HD25,응답입력!$AH$3:$HD$3,"L04",응답입력!$AH25:$HD25,"&lt;9")/COUNTIFS(응답입력!$AH$3:$HD$3,"L04",응답입력!$AH25:$HD25,"&lt;9"),"")</f>
        <v/>
      </c>
      <c r="F24" s="35" t="str">
        <f aca="false">IF(COUNTIFS(응답입력!$AH$3:$HD$3,"L05",응답입력!$AH25:$HD25,"&lt;9")&gt;=3,SUMIFS(응답입력!$AH25:$HD25,응답입력!$AH$3:$HD$3,"L05",응답입력!$AH25:$HD25,"&lt;9")/COUNTIFS(응답입력!$AH$3:$HD$3,"L05",응답입력!$AH25:$HD25,"&lt;9"),"")</f>
        <v/>
      </c>
      <c r="G24" s="35" t="str">
        <f aca="false">IF(COUNTIFS(응답입력!$AH$3:$HD$3,"L06",응답입력!$AH25:$HD25,"&lt;9")&gt;=3,SUMIFS(응답입력!$AH25:$HD25,응답입력!$AH$3:$HD$3,"L06",응답입력!$AH25:$HD25,"&lt;9")/COUNTIFS(응답입력!$AH$3:$HD$3,"L06",응답입력!$AH25:$HD25,"&lt;9"),"")</f>
        <v/>
      </c>
      <c r="H24" s="35" t="str">
        <f aca="false">IF(COUNTIFS(응답입력!$AH$3:$HD$3,"L07",응답입력!$AH25:$HD25,"&lt;9")&gt;=3,SUMIFS(응답입력!$AH25:$HD25,응답입력!$AH$3:$HD$3,"L07",응답입력!$AH25:$HD25,"&lt;9")/COUNTIFS(응답입력!$AH$3:$HD$3,"L07",응답입력!$AH25:$HD25,"&lt;9"),"")</f>
        <v/>
      </c>
      <c r="I24" s="35" t="str">
        <f aca="false">IF(COUNTIFS(응답입력!$AH$3:$HD$3,"L08",응답입력!$AH25:$HD25,"&lt;9")&gt;=3,SUMIFS(응답입력!$AH25:$HD25,응답입력!$AH$3:$HD$3,"L08",응답입력!$AH25:$HD25,"&lt;9")/COUNTIFS(응답입력!$AH$3:$HD$3,"L08",응답입력!$AH25:$HD25,"&lt;9"),"")</f>
        <v/>
      </c>
      <c r="J24" s="35" t="str">
        <f aca="false">IF(COUNTIFS(응답입력!$AH$3:$HD$3,"L09",응답입력!$AH25:$HD25,"&lt;9")&gt;=3,SUMIFS(응답입력!$AH25:$HD25,응답입력!$AH$3:$HD$3,"L09",응답입력!$AH25:$HD25,"&lt;9")/COUNTIFS(응답입력!$AH$3:$HD$3,"L09",응답입력!$AH25:$HD25,"&lt;9"),"")</f>
        <v/>
      </c>
      <c r="K24" s="35" t="str">
        <f aca="false">IF(COUNTIFS(응답입력!$AH$3:$HD$3,"L10",응답입력!$AH25:$HD25,"&lt;9")&gt;=3,SUMIFS(응답입력!$AH25:$HD25,응답입력!$AH$3:$HD$3,"L10",응답입력!$AH25:$HD25,"&lt;9")/COUNTIFS(응답입력!$AH$3:$HD$3,"L10",응답입력!$AH25:$HD25,"&lt;9"),"")</f>
        <v/>
      </c>
      <c r="L24" s="35" t="str">
        <f aca="false">IF(COUNTIFS(응답입력!$AH$3:$HD$3,"L11",응답입력!$AH25:$HD25,"&lt;9")&gt;=3,SUMIFS(응답입력!$AH25:$HD25,응답입력!$AH$3:$HD$3,"L11",응답입력!$AH25:$HD25,"&lt;9")/COUNTIFS(응답입력!$AH$3:$HD$3,"L11",응답입력!$AH25:$HD25,"&lt;9"),"")</f>
        <v/>
      </c>
      <c r="M24" s="35" t="str">
        <f aca="false">IF(COUNTIFS(응답입력!$AH$3:$HD$3,"L12",응답입력!$AH25:$HD25,"&lt;9")&gt;=3,SUMIFS(응답입력!$AH25:$HD25,응답입력!$AH$3:$HD$3,"L12",응답입력!$AH25:$HD25,"&lt;9")/COUNTIFS(응답입력!$AH$3:$HD$3,"L12",응답입력!$AH25:$HD25,"&lt;9"),"")</f>
        <v/>
      </c>
      <c r="N24" s="35" t="str">
        <f aca="false">IF(COUNTIFS(응답입력!$AH$3:$HD$3,"L13",응답입력!$AH25:$HD25,"&lt;9")&gt;=3,SUMIFS(응답입력!$AH25:$HD25,응답입력!$AH$3:$HD$3,"L13",응답입력!$AH25:$HD25,"&lt;9")/COUNTIFS(응답입력!$AH$3:$HD$3,"L13",응답입력!$AH25:$HD25,"&lt;9"),"")</f>
        <v/>
      </c>
      <c r="O24" s="35" t="str">
        <f aca="false">IF(COUNTIFS(응답입력!$AH$3:$HD$3,"L14",응답입력!$AH25:$HD25,"&lt;9")&gt;=3,SUMIFS(응답입력!$AH25:$HD25,응답입력!$AH$3:$HD$3,"L14",응답입력!$AH25:$HD25,"&lt;9")/COUNTIFS(응답입력!$AH$3:$HD$3,"L14",응답입력!$AH25:$HD25,"&lt;9"),"")</f>
        <v/>
      </c>
      <c r="P24" s="35" t="str">
        <f aca="false">IF(COUNTIFS(응답입력!$AH$3:$HD$3,"L15",응답입력!$AH25:$HD25,"&lt;9")&gt;=3,SUMIFS(응답입력!$AH25:$HD25,응답입력!$AH$3:$HD$3,"L15",응답입력!$AH25:$HD25,"&lt;9")/COUNTIFS(응답입력!$AH$3:$HD$3,"L15",응답입력!$AH25:$HD25,"&lt;9"),"")</f>
        <v/>
      </c>
      <c r="Q24" s="35" t="str">
        <f aca="false">IF(COUNTIFS(응답입력!$AH$3:$HD$3,"L16",응답입력!$AH25:$HD25,"&lt;9")&gt;=3,SUMIFS(응답입력!$AH25:$HD25,응답입력!$AH$3:$HD$3,"L16",응답입력!$AH25:$HD25,"&lt;9")/COUNTIFS(응답입력!$AH$3:$HD$3,"L16",응답입력!$AH25:$HD25,"&lt;9"),"")</f>
        <v/>
      </c>
      <c r="R24" s="35" t="str">
        <f aca="false">IF(COUNTIFS(응답입력!$AH$3:$HD$3,"L17",응답입력!$AH25:$HD25,"&lt;9")&gt;=3,SUMIFS(응답입력!$AH25:$HD25,응답입력!$AH$3:$HD$3,"L17",응답입력!$AH25:$HD25,"&lt;9")/COUNTIFS(응답입력!$AH$3:$HD$3,"L17",응답입력!$AH25:$HD25,"&lt;9"),"")</f>
        <v/>
      </c>
      <c r="S24" s="35" t="str">
        <f aca="false">IF(COUNTIFS(응답입력!$AH$3:$HD$3,"L18",응답입력!$AH25:$HD25,"&lt;9")&gt;=3,SUMIFS(응답입력!$AH25:$HD25,응답입력!$AH$3:$HD$3,"L18",응답입력!$AH25:$HD25,"&lt;9")/COUNTIFS(응답입력!$AH$3:$HD$3,"L18",응답입력!$AH25:$HD25,"&lt;9"),"")</f>
        <v/>
      </c>
      <c r="T24" s="35" t="str">
        <f aca="false">IF(COUNTIFS(응답입력!$AH$3:$HD$3,"L19",응답입력!$AH25:$HD25,"&lt;9")&gt;=3,SUMIFS(응답입력!$AH25:$HD25,응답입력!$AH$3:$HD$3,"L19",응답입력!$AH25:$HD25,"&lt;9")/COUNTIFS(응답입력!$AH$3:$HD$3,"L19",응답입력!$AH25:$HD25,"&lt;9"),"")</f>
        <v/>
      </c>
      <c r="U24" s="35" t="str">
        <f aca="false">IF(COUNTIFS(응답입력!$AH$3:$HD$3,"L20",응답입력!$AH25:$HD25,"&lt;9")&gt;=3,SUMIFS(응답입력!$AH25:$HD25,응답입력!$AH$3:$HD$3,"L20",응답입력!$AH25:$HD25,"&lt;9")/COUNTIFS(응답입력!$AH$3:$HD$3,"L20",응답입력!$AH25:$HD25,"&lt;9"),"")</f>
        <v/>
      </c>
      <c r="V24" s="35" t="str">
        <f aca="false">IF(COUNTIFS(응답입력!$AH$3:$HD$3,"L21",응답입력!$AH25:$HD25,"&lt;9")&gt;=3,SUMIFS(응답입력!$AH25:$HD25,응답입력!$AH$3:$HD$3,"L21",응답입력!$AH25:$HD25,"&lt;9")/COUNTIFS(응답입력!$AH$3:$HD$3,"L21",응답입력!$AH25:$HD25,"&lt;9"),"")</f>
        <v/>
      </c>
      <c r="W24" s="35" t="str">
        <f aca="false">IF(COUNTIFS(응답입력!$AH$3:$HD$3,"L22",응답입력!$AH25:$HD25,"&lt;9")&gt;=3,SUMIFS(응답입력!$AH25:$HD25,응답입력!$AH$3:$HD$3,"L22",응답입력!$AH25:$HD25,"&lt;9")/COUNTIFS(응답입력!$AH$3:$HD$3,"L22",응답입력!$AH25:$HD25,"&lt;9"),"")</f>
        <v/>
      </c>
      <c r="X24" s="35" t="str">
        <f aca="false">IF(COUNTIFS(응답입력!$AH$3:$HD$3,"L23",응답입력!$AH25:$HD25,"&lt;9")&gt;=3,SUMIFS(응답입력!$AH25:$HD25,응답입력!$AH$3:$HD$3,"L23",응답입력!$AH25:$HD25,"&lt;9")/COUNTIFS(응답입력!$AH$3:$HD$3,"L23",응답입력!$AH25:$HD25,"&lt;9"),"")</f>
        <v/>
      </c>
      <c r="Y24" s="35" t="str">
        <f aca="false">IF(COUNTIFS(응답입력!$AH$3:$HD$3,"L24",응답입력!$AH25:$HD25,"&lt;9")&gt;=3,SUMIFS(응답입력!$AH25:$HD25,응답입력!$AH$3:$HD$3,"L24",응답입력!$AH25:$HD25,"&lt;9")/COUNTIFS(응답입력!$AH$3:$HD$3,"L24",응답입력!$AH25:$HD25,"&lt;9"),"")</f>
        <v/>
      </c>
      <c r="Z24" s="35" t="str">
        <f aca="false">IF(COUNTIFS(응답입력!$AH$3:$HD$3,"L25",응답입력!$AH25:$HD25,"&lt;9")&gt;=3,SUMIFS(응답입력!$AH25:$HD25,응답입력!$AH$3:$HD$3,"L25",응답입력!$AH25:$HD25,"&lt;9")/COUNTIFS(응답입력!$AH$3:$HD$3,"L25",응답입력!$AH25:$HD25,"&lt;9"),"")</f>
        <v/>
      </c>
      <c r="AA24" s="35" t="str">
        <f aca="false">IF(COUNTIFS(응답입력!$AH$3:$HD$3,"L26",응답입력!$AH25:$HD25,"&lt;9")&gt;=3,SUMIFS(응답입력!$AH25:$HD25,응답입력!$AH$3:$HD$3,"L26",응답입력!$AH25:$HD25,"&lt;9")/COUNTIFS(응답입력!$AH$3:$HD$3,"L26",응답입력!$AH25:$HD25,"&lt;9"),"")</f>
        <v/>
      </c>
      <c r="AB24" s="35" t="str">
        <f aca="false">IF(COUNTIFS(응답입력!$AH$3:$HD$3,"L27",응답입력!$AH25:$HD25,"&lt;9")&gt;=3,SUMIFS(응답입력!$AH25:$HD25,응답입력!$AH$3:$HD$3,"L27",응답입력!$AH25:$HD25,"&lt;9")/COUNTIFS(응답입력!$AH$3:$HD$3,"L27",응답입력!$AH25:$HD25,"&lt;9"),"")</f>
        <v/>
      </c>
      <c r="AC24" s="35" t="str">
        <f aca="false">IF(COUNTIFS(응답입력!$AH$3:$HD$3,"L28",응답입력!$AH25:$HD25,"&lt;9")&gt;=3,SUMIFS(응답입력!$AH25:$HD25,응답입력!$AH$3:$HD$3,"L28",응답입력!$AH25:$HD25,"&lt;9")/COUNTIFS(응답입력!$AH$3:$HD$3,"L28",응답입력!$AH25:$HD25,"&lt;9"),"")</f>
        <v/>
      </c>
      <c r="AD24" s="35" t="str">
        <f aca="false">IF(COUNTIFS(응답입력!$AH$3:$HD$3,"L29",응답입력!$AH25:$HD25,"&lt;9")&gt;=3,SUMIFS(응답입력!$AH25:$HD25,응답입력!$AH$3:$HD$3,"L29",응답입력!$AH25:$HD25,"&lt;9")/COUNTIFS(응답입력!$AH$3:$HD$3,"L29",응답입력!$AH25:$HD25,"&lt;9"),"")</f>
        <v/>
      </c>
      <c r="AE24" s="35" t="str">
        <f aca="false">IF(COUNTIFS(응답입력!$AH$3:$HD$3,"L30",응답입력!$AH25:$HD25,"&lt;9")&gt;=3,SUMIFS(응답입력!$AH25:$HD25,응답입력!$AH$3:$HD$3,"L30",응답입력!$AH25:$HD25,"&lt;9")/COUNTIFS(응답입력!$AH$3:$HD$3,"L30",응답입력!$AH25:$HD25,"&lt;9"),"")</f>
        <v/>
      </c>
      <c r="AF24" s="35" t="str">
        <f aca="false">IF(COUNTIFS(응답입력!$AH$3:$HD$3,"L31",응답입력!$AH25:$HD25,"&lt;9")&gt;=3,SUMIFS(응답입력!$AH25:$HD25,응답입력!$AH$3:$HD$3,"L31",응답입력!$AH25:$HD25,"&lt;9")/COUNTIFS(응답입력!$AH$3:$HD$3,"L31",응답입력!$AH25:$HD25,"&lt;9"),"")</f>
        <v/>
      </c>
      <c r="AG24" s="41" t="str">
        <f aca="false">IFERROR(AVERAGE(B24:AF24),"")</f>
        <v/>
      </c>
    </row>
    <row r="25" customFormat="false" ht="15" hidden="false" customHeight="false" outlineLevel="0" collapsed="false">
      <c r="A25" s="27" t="str">
        <f aca="false">IF(응답입력!A26="","",응답입력!A26)</f>
        <v/>
      </c>
      <c r="B25" s="35" t="str">
        <f aca="false">IF(COUNTIFS(응답입력!$AH$3:$HD$3,"L01",응답입력!$AH26:$HD26,"&lt;9")&gt;=3,SUMIFS(응답입력!$AH26:$HD26,응답입력!$AH$3:$HD$3,"L01",응답입력!$AH26:$HD26,"&lt;9")/COUNTIFS(응답입력!$AH$3:$HD$3,"L01",응답입력!$AH26:$HD26,"&lt;9"),"")</f>
        <v/>
      </c>
      <c r="C25" s="35" t="str">
        <f aca="false">IF(COUNTIFS(응답입력!$AH$3:$HD$3,"L02",응답입력!$AH26:$HD26,"&lt;9")&gt;=3,SUMIFS(응답입력!$AH26:$HD26,응답입력!$AH$3:$HD$3,"L02",응답입력!$AH26:$HD26,"&lt;9")/COUNTIFS(응답입력!$AH$3:$HD$3,"L02",응답입력!$AH26:$HD26,"&lt;9"),"")</f>
        <v/>
      </c>
      <c r="D25" s="35" t="str">
        <f aca="false">IF(COUNTIFS(응답입력!$AH$3:$HD$3,"L03",응답입력!$AH26:$HD26,"&lt;9")&gt;=3,SUMIFS(응답입력!$AH26:$HD26,응답입력!$AH$3:$HD$3,"L03",응답입력!$AH26:$HD26,"&lt;9")/COUNTIFS(응답입력!$AH$3:$HD$3,"L03",응답입력!$AH26:$HD26,"&lt;9"),"")</f>
        <v/>
      </c>
      <c r="E25" s="35" t="str">
        <f aca="false">IF(COUNTIFS(응답입력!$AH$3:$HD$3,"L04",응답입력!$AH26:$HD26,"&lt;9")&gt;=3,SUMIFS(응답입력!$AH26:$HD26,응답입력!$AH$3:$HD$3,"L04",응답입력!$AH26:$HD26,"&lt;9")/COUNTIFS(응답입력!$AH$3:$HD$3,"L04",응답입력!$AH26:$HD26,"&lt;9"),"")</f>
        <v/>
      </c>
      <c r="F25" s="35" t="str">
        <f aca="false">IF(COUNTIFS(응답입력!$AH$3:$HD$3,"L05",응답입력!$AH26:$HD26,"&lt;9")&gt;=3,SUMIFS(응답입력!$AH26:$HD26,응답입력!$AH$3:$HD$3,"L05",응답입력!$AH26:$HD26,"&lt;9")/COUNTIFS(응답입력!$AH$3:$HD$3,"L05",응답입력!$AH26:$HD26,"&lt;9"),"")</f>
        <v/>
      </c>
      <c r="G25" s="35" t="str">
        <f aca="false">IF(COUNTIFS(응답입력!$AH$3:$HD$3,"L06",응답입력!$AH26:$HD26,"&lt;9")&gt;=3,SUMIFS(응답입력!$AH26:$HD26,응답입력!$AH$3:$HD$3,"L06",응답입력!$AH26:$HD26,"&lt;9")/COUNTIFS(응답입력!$AH$3:$HD$3,"L06",응답입력!$AH26:$HD26,"&lt;9"),"")</f>
        <v/>
      </c>
      <c r="H25" s="35" t="str">
        <f aca="false">IF(COUNTIFS(응답입력!$AH$3:$HD$3,"L07",응답입력!$AH26:$HD26,"&lt;9")&gt;=3,SUMIFS(응답입력!$AH26:$HD26,응답입력!$AH$3:$HD$3,"L07",응답입력!$AH26:$HD26,"&lt;9")/COUNTIFS(응답입력!$AH$3:$HD$3,"L07",응답입력!$AH26:$HD26,"&lt;9"),"")</f>
        <v/>
      </c>
      <c r="I25" s="35" t="str">
        <f aca="false">IF(COUNTIFS(응답입력!$AH$3:$HD$3,"L08",응답입력!$AH26:$HD26,"&lt;9")&gt;=3,SUMIFS(응답입력!$AH26:$HD26,응답입력!$AH$3:$HD$3,"L08",응답입력!$AH26:$HD26,"&lt;9")/COUNTIFS(응답입력!$AH$3:$HD$3,"L08",응답입력!$AH26:$HD26,"&lt;9"),"")</f>
        <v/>
      </c>
      <c r="J25" s="35" t="str">
        <f aca="false">IF(COUNTIFS(응답입력!$AH$3:$HD$3,"L09",응답입력!$AH26:$HD26,"&lt;9")&gt;=3,SUMIFS(응답입력!$AH26:$HD26,응답입력!$AH$3:$HD$3,"L09",응답입력!$AH26:$HD26,"&lt;9")/COUNTIFS(응답입력!$AH$3:$HD$3,"L09",응답입력!$AH26:$HD26,"&lt;9"),"")</f>
        <v/>
      </c>
      <c r="K25" s="35" t="str">
        <f aca="false">IF(COUNTIFS(응답입력!$AH$3:$HD$3,"L10",응답입력!$AH26:$HD26,"&lt;9")&gt;=3,SUMIFS(응답입력!$AH26:$HD26,응답입력!$AH$3:$HD$3,"L10",응답입력!$AH26:$HD26,"&lt;9")/COUNTIFS(응답입력!$AH$3:$HD$3,"L10",응답입력!$AH26:$HD26,"&lt;9"),"")</f>
        <v/>
      </c>
      <c r="L25" s="35" t="str">
        <f aca="false">IF(COUNTIFS(응답입력!$AH$3:$HD$3,"L11",응답입력!$AH26:$HD26,"&lt;9")&gt;=3,SUMIFS(응답입력!$AH26:$HD26,응답입력!$AH$3:$HD$3,"L11",응답입력!$AH26:$HD26,"&lt;9")/COUNTIFS(응답입력!$AH$3:$HD$3,"L11",응답입력!$AH26:$HD26,"&lt;9"),"")</f>
        <v/>
      </c>
      <c r="M25" s="35" t="str">
        <f aca="false">IF(COUNTIFS(응답입력!$AH$3:$HD$3,"L12",응답입력!$AH26:$HD26,"&lt;9")&gt;=3,SUMIFS(응답입력!$AH26:$HD26,응답입력!$AH$3:$HD$3,"L12",응답입력!$AH26:$HD26,"&lt;9")/COUNTIFS(응답입력!$AH$3:$HD$3,"L12",응답입력!$AH26:$HD26,"&lt;9"),"")</f>
        <v/>
      </c>
      <c r="N25" s="35" t="str">
        <f aca="false">IF(COUNTIFS(응답입력!$AH$3:$HD$3,"L13",응답입력!$AH26:$HD26,"&lt;9")&gt;=3,SUMIFS(응답입력!$AH26:$HD26,응답입력!$AH$3:$HD$3,"L13",응답입력!$AH26:$HD26,"&lt;9")/COUNTIFS(응답입력!$AH$3:$HD$3,"L13",응답입력!$AH26:$HD26,"&lt;9"),"")</f>
        <v/>
      </c>
      <c r="O25" s="35" t="str">
        <f aca="false">IF(COUNTIFS(응답입력!$AH$3:$HD$3,"L14",응답입력!$AH26:$HD26,"&lt;9")&gt;=3,SUMIFS(응답입력!$AH26:$HD26,응답입력!$AH$3:$HD$3,"L14",응답입력!$AH26:$HD26,"&lt;9")/COUNTIFS(응답입력!$AH$3:$HD$3,"L14",응답입력!$AH26:$HD26,"&lt;9"),"")</f>
        <v/>
      </c>
      <c r="P25" s="35" t="str">
        <f aca="false">IF(COUNTIFS(응답입력!$AH$3:$HD$3,"L15",응답입력!$AH26:$HD26,"&lt;9")&gt;=3,SUMIFS(응답입력!$AH26:$HD26,응답입력!$AH$3:$HD$3,"L15",응답입력!$AH26:$HD26,"&lt;9")/COUNTIFS(응답입력!$AH$3:$HD$3,"L15",응답입력!$AH26:$HD26,"&lt;9"),"")</f>
        <v/>
      </c>
      <c r="Q25" s="35" t="str">
        <f aca="false">IF(COUNTIFS(응답입력!$AH$3:$HD$3,"L16",응답입력!$AH26:$HD26,"&lt;9")&gt;=3,SUMIFS(응답입력!$AH26:$HD26,응답입력!$AH$3:$HD$3,"L16",응답입력!$AH26:$HD26,"&lt;9")/COUNTIFS(응답입력!$AH$3:$HD$3,"L16",응답입력!$AH26:$HD26,"&lt;9"),"")</f>
        <v/>
      </c>
      <c r="R25" s="35" t="str">
        <f aca="false">IF(COUNTIFS(응답입력!$AH$3:$HD$3,"L17",응답입력!$AH26:$HD26,"&lt;9")&gt;=3,SUMIFS(응답입력!$AH26:$HD26,응답입력!$AH$3:$HD$3,"L17",응답입력!$AH26:$HD26,"&lt;9")/COUNTIFS(응답입력!$AH$3:$HD$3,"L17",응답입력!$AH26:$HD26,"&lt;9"),"")</f>
        <v/>
      </c>
      <c r="S25" s="35" t="str">
        <f aca="false">IF(COUNTIFS(응답입력!$AH$3:$HD$3,"L18",응답입력!$AH26:$HD26,"&lt;9")&gt;=3,SUMIFS(응답입력!$AH26:$HD26,응답입력!$AH$3:$HD$3,"L18",응답입력!$AH26:$HD26,"&lt;9")/COUNTIFS(응답입력!$AH$3:$HD$3,"L18",응답입력!$AH26:$HD26,"&lt;9"),"")</f>
        <v/>
      </c>
      <c r="T25" s="35" t="str">
        <f aca="false">IF(COUNTIFS(응답입력!$AH$3:$HD$3,"L19",응답입력!$AH26:$HD26,"&lt;9")&gt;=3,SUMIFS(응답입력!$AH26:$HD26,응답입력!$AH$3:$HD$3,"L19",응답입력!$AH26:$HD26,"&lt;9")/COUNTIFS(응답입력!$AH$3:$HD$3,"L19",응답입력!$AH26:$HD26,"&lt;9"),"")</f>
        <v/>
      </c>
      <c r="U25" s="35" t="str">
        <f aca="false">IF(COUNTIFS(응답입력!$AH$3:$HD$3,"L20",응답입력!$AH26:$HD26,"&lt;9")&gt;=3,SUMIFS(응답입력!$AH26:$HD26,응답입력!$AH$3:$HD$3,"L20",응답입력!$AH26:$HD26,"&lt;9")/COUNTIFS(응답입력!$AH$3:$HD$3,"L20",응답입력!$AH26:$HD26,"&lt;9"),"")</f>
        <v/>
      </c>
      <c r="V25" s="35" t="str">
        <f aca="false">IF(COUNTIFS(응답입력!$AH$3:$HD$3,"L21",응답입력!$AH26:$HD26,"&lt;9")&gt;=3,SUMIFS(응답입력!$AH26:$HD26,응답입력!$AH$3:$HD$3,"L21",응답입력!$AH26:$HD26,"&lt;9")/COUNTIFS(응답입력!$AH$3:$HD$3,"L21",응답입력!$AH26:$HD26,"&lt;9"),"")</f>
        <v/>
      </c>
      <c r="W25" s="35" t="str">
        <f aca="false">IF(COUNTIFS(응답입력!$AH$3:$HD$3,"L22",응답입력!$AH26:$HD26,"&lt;9")&gt;=3,SUMIFS(응답입력!$AH26:$HD26,응답입력!$AH$3:$HD$3,"L22",응답입력!$AH26:$HD26,"&lt;9")/COUNTIFS(응답입력!$AH$3:$HD$3,"L22",응답입력!$AH26:$HD26,"&lt;9"),"")</f>
        <v/>
      </c>
      <c r="X25" s="35" t="str">
        <f aca="false">IF(COUNTIFS(응답입력!$AH$3:$HD$3,"L23",응답입력!$AH26:$HD26,"&lt;9")&gt;=3,SUMIFS(응답입력!$AH26:$HD26,응답입력!$AH$3:$HD$3,"L23",응답입력!$AH26:$HD26,"&lt;9")/COUNTIFS(응답입력!$AH$3:$HD$3,"L23",응답입력!$AH26:$HD26,"&lt;9"),"")</f>
        <v/>
      </c>
      <c r="Y25" s="35" t="str">
        <f aca="false">IF(COUNTIFS(응답입력!$AH$3:$HD$3,"L24",응답입력!$AH26:$HD26,"&lt;9")&gt;=3,SUMIFS(응답입력!$AH26:$HD26,응답입력!$AH$3:$HD$3,"L24",응답입력!$AH26:$HD26,"&lt;9")/COUNTIFS(응답입력!$AH$3:$HD$3,"L24",응답입력!$AH26:$HD26,"&lt;9"),"")</f>
        <v/>
      </c>
      <c r="Z25" s="35" t="str">
        <f aca="false">IF(COUNTIFS(응답입력!$AH$3:$HD$3,"L25",응답입력!$AH26:$HD26,"&lt;9")&gt;=3,SUMIFS(응답입력!$AH26:$HD26,응답입력!$AH$3:$HD$3,"L25",응답입력!$AH26:$HD26,"&lt;9")/COUNTIFS(응답입력!$AH$3:$HD$3,"L25",응답입력!$AH26:$HD26,"&lt;9"),"")</f>
        <v/>
      </c>
      <c r="AA25" s="35" t="str">
        <f aca="false">IF(COUNTIFS(응답입력!$AH$3:$HD$3,"L26",응답입력!$AH26:$HD26,"&lt;9")&gt;=3,SUMIFS(응답입력!$AH26:$HD26,응답입력!$AH$3:$HD$3,"L26",응답입력!$AH26:$HD26,"&lt;9")/COUNTIFS(응답입력!$AH$3:$HD$3,"L26",응답입력!$AH26:$HD26,"&lt;9"),"")</f>
        <v/>
      </c>
      <c r="AB25" s="35" t="str">
        <f aca="false">IF(COUNTIFS(응답입력!$AH$3:$HD$3,"L27",응답입력!$AH26:$HD26,"&lt;9")&gt;=3,SUMIFS(응답입력!$AH26:$HD26,응답입력!$AH$3:$HD$3,"L27",응답입력!$AH26:$HD26,"&lt;9")/COUNTIFS(응답입력!$AH$3:$HD$3,"L27",응답입력!$AH26:$HD26,"&lt;9"),"")</f>
        <v/>
      </c>
      <c r="AC25" s="35" t="str">
        <f aca="false">IF(COUNTIFS(응답입력!$AH$3:$HD$3,"L28",응답입력!$AH26:$HD26,"&lt;9")&gt;=3,SUMIFS(응답입력!$AH26:$HD26,응답입력!$AH$3:$HD$3,"L28",응답입력!$AH26:$HD26,"&lt;9")/COUNTIFS(응답입력!$AH$3:$HD$3,"L28",응답입력!$AH26:$HD26,"&lt;9"),"")</f>
        <v/>
      </c>
      <c r="AD25" s="35" t="str">
        <f aca="false">IF(COUNTIFS(응답입력!$AH$3:$HD$3,"L29",응답입력!$AH26:$HD26,"&lt;9")&gt;=3,SUMIFS(응답입력!$AH26:$HD26,응답입력!$AH$3:$HD$3,"L29",응답입력!$AH26:$HD26,"&lt;9")/COUNTIFS(응답입력!$AH$3:$HD$3,"L29",응답입력!$AH26:$HD26,"&lt;9"),"")</f>
        <v/>
      </c>
      <c r="AE25" s="35" t="str">
        <f aca="false">IF(COUNTIFS(응답입력!$AH$3:$HD$3,"L30",응답입력!$AH26:$HD26,"&lt;9")&gt;=3,SUMIFS(응답입력!$AH26:$HD26,응답입력!$AH$3:$HD$3,"L30",응답입력!$AH26:$HD26,"&lt;9")/COUNTIFS(응답입력!$AH$3:$HD$3,"L30",응답입력!$AH26:$HD26,"&lt;9"),"")</f>
        <v/>
      </c>
      <c r="AF25" s="35" t="str">
        <f aca="false">IF(COUNTIFS(응답입력!$AH$3:$HD$3,"L31",응답입력!$AH26:$HD26,"&lt;9")&gt;=3,SUMIFS(응답입력!$AH26:$HD26,응답입력!$AH$3:$HD$3,"L31",응답입력!$AH26:$HD26,"&lt;9")/COUNTIFS(응답입력!$AH$3:$HD$3,"L31",응답입력!$AH26:$HD26,"&lt;9"),"")</f>
        <v/>
      </c>
      <c r="AG25" s="41" t="str">
        <f aca="false">IFERROR(AVERAGE(B25:AF25),"")</f>
        <v/>
      </c>
    </row>
    <row r="26" customFormat="false" ht="15" hidden="false" customHeight="false" outlineLevel="0" collapsed="false">
      <c r="A26" s="27" t="str">
        <f aca="false">IF(응답입력!A27="","",응답입력!A27)</f>
        <v/>
      </c>
      <c r="B26" s="35" t="str">
        <f aca="false">IF(COUNTIFS(응답입력!$AH$3:$HD$3,"L01",응답입력!$AH27:$HD27,"&lt;9")&gt;=3,SUMIFS(응답입력!$AH27:$HD27,응답입력!$AH$3:$HD$3,"L01",응답입력!$AH27:$HD27,"&lt;9")/COUNTIFS(응답입력!$AH$3:$HD$3,"L01",응답입력!$AH27:$HD27,"&lt;9"),"")</f>
        <v/>
      </c>
      <c r="C26" s="35" t="str">
        <f aca="false">IF(COUNTIFS(응답입력!$AH$3:$HD$3,"L02",응답입력!$AH27:$HD27,"&lt;9")&gt;=3,SUMIFS(응답입력!$AH27:$HD27,응답입력!$AH$3:$HD$3,"L02",응답입력!$AH27:$HD27,"&lt;9")/COUNTIFS(응답입력!$AH$3:$HD$3,"L02",응답입력!$AH27:$HD27,"&lt;9"),"")</f>
        <v/>
      </c>
      <c r="D26" s="35" t="str">
        <f aca="false">IF(COUNTIFS(응답입력!$AH$3:$HD$3,"L03",응답입력!$AH27:$HD27,"&lt;9")&gt;=3,SUMIFS(응답입력!$AH27:$HD27,응답입력!$AH$3:$HD$3,"L03",응답입력!$AH27:$HD27,"&lt;9")/COUNTIFS(응답입력!$AH$3:$HD$3,"L03",응답입력!$AH27:$HD27,"&lt;9"),"")</f>
        <v/>
      </c>
      <c r="E26" s="35" t="str">
        <f aca="false">IF(COUNTIFS(응답입력!$AH$3:$HD$3,"L04",응답입력!$AH27:$HD27,"&lt;9")&gt;=3,SUMIFS(응답입력!$AH27:$HD27,응답입력!$AH$3:$HD$3,"L04",응답입력!$AH27:$HD27,"&lt;9")/COUNTIFS(응답입력!$AH$3:$HD$3,"L04",응답입력!$AH27:$HD27,"&lt;9"),"")</f>
        <v/>
      </c>
      <c r="F26" s="35" t="str">
        <f aca="false">IF(COUNTIFS(응답입력!$AH$3:$HD$3,"L05",응답입력!$AH27:$HD27,"&lt;9")&gt;=3,SUMIFS(응답입력!$AH27:$HD27,응답입력!$AH$3:$HD$3,"L05",응답입력!$AH27:$HD27,"&lt;9")/COUNTIFS(응답입력!$AH$3:$HD$3,"L05",응답입력!$AH27:$HD27,"&lt;9"),"")</f>
        <v/>
      </c>
      <c r="G26" s="35" t="str">
        <f aca="false">IF(COUNTIFS(응답입력!$AH$3:$HD$3,"L06",응답입력!$AH27:$HD27,"&lt;9")&gt;=3,SUMIFS(응답입력!$AH27:$HD27,응답입력!$AH$3:$HD$3,"L06",응답입력!$AH27:$HD27,"&lt;9")/COUNTIFS(응답입력!$AH$3:$HD$3,"L06",응답입력!$AH27:$HD27,"&lt;9"),"")</f>
        <v/>
      </c>
      <c r="H26" s="35" t="str">
        <f aca="false">IF(COUNTIFS(응답입력!$AH$3:$HD$3,"L07",응답입력!$AH27:$HD27,"&lt;9")&gt;=3,SUMIFS(응답입력!$AH27:$HD27,응답입력!$AH$3:$HD$3,"L07",응답입력!$AH27:$HD27,"&lt;9")/COUNTIFS(응답입력!$AH$3:$HD$3,"L07",응답입력!$AH27:$HD27,"&lt;9"),"")</f>
        <v/>
      </c>
      <c r="I26" s="35" t="str">
        <f aca="false">IF(COUNTIFS(응답입력!$AH$3:$HD$3,"L08",응답입력!$AH27:$HD27,"&lt;9")&gt;=3,SUMIFS(응답입력!$AH27:$HD27,응답입력!$AH$3:$HD$3,"L08",응답입력!$AH27:$HD27,"&lt;9")/COUNTIFS(응답입력!$AH$3:$HD$3,"L08",응답입력!$AH27:$HD27,"&lt;9"),"")</f>
        <v/>
      </c>
      <c r="J26" s="35" t="str">
        <f aca="false">IF(COUNTIFS(응답입력!$AH$3:$HD$3,"L09",응답입력!$AH27:$HD27,"&lt;9")&gt;=3,SUMIFS(응답입력!$AH27:$HD27,응답입력!$AH$3:$HD$3,"L09",응답입력!$AH27:$HD27,"&lt;9")/COUNTIFS(응답입력!$AH$3:$HD$3,"L09",응답입력!$AH27:$HD27,"&lt;9"),"")</f>
        <v/>
      </c>
      <c r="K26" s="35" t="str">
        <f aca="false">IF(COUNTIFS(응답입력!$AH$3:$HD$3,"L10",응답입력!$AH27:$HD27,"&lt;9")&gt;=3,SUMIFS(응답입력!$AH27:$HD27,응답입력!$AH$3:$HD$3,"L10",응답입력!$AH27:$HD27,"&lt;9")/COUNTIFS(응답입력!$AH$3:$HD$3,"L10",응답입력!$AH27:$HD27,"&lt;9"),"")</f>
        <v/>
      </c>
      <c r="L26" s="35" t="str">
        <f aca="false">IF(COUNTIFS(응답입력!$AH$3:$HD$3,"L11",응답입력!$AH27:$HD27,"&lt;9")&gt;=3,SUMIFS(응답입력!$AH27:$HD27,응답입력!$AH$3:$HD$3,"L11",응답입력!$AH27:$HD27,"&lt;9")/COUNTIFS(응답입력!$AH$3:$HD$3,"L11",응답입력!$AH27:$HD27,"&lt;9"),"")</f>
        <v/>
      </c>
      <c r="M26" s="35" t="str">
        <f aca="false">IF(COUNTIFS(응답입력!$AH$3:$HD$3,"L12",응답입력!$AH27:$HD27,"&lt;9")&gt;=3,SUMIFS(응답입력!$AH27:$HD27,응답입력!$AH$3:$HD$3,"L12",응답입력!$AH27:$HD27,"&lt;9")/COUNTIFS(응답입력!$AH$3:$HD$3,"L12",응답입력!$AH27:$HD27,"&lt;9"),"")</f>
        <v/>
      </c>
      <c r="N26" s="35" t="str">
        <f aca="false">IF(COUNTIFS(응답입력!$AH$3:$HD$3,"L13",응답입력!$AH27:$HD27,"&lt;9")&gt;=3,SUMIFS(응답입력!$AH27:$HD27,응답입력!$AH$3:$HD$3,"L13",응답입력!$AH27:$HD27,"&lt;9")/COUNTIFS(응답입력!$AH$3:$HD$3,"L13",응답입력!$AH27:$HD27,"&lt;9"),"")</f>
        <v/>
      </c>
      <c r="O26" s="35" t="str">
        <f aca="false">IF(COUNTIFS(응답입력!$AH$3:$HD$3,"L14",응답입력!$AH27:$HD27,"&lt;9")&gt;=3,SUMIFS(응답입력!$AH27:$HD27,응답입력!$AH$3:$HD$3,"L14",응답입력!$AH27:$HD27,"&lt;9")/COUNTIFS(응답입력!$AH$3:$HD$3,"L14",응답입력!$AH27:$HD27,"&lt;9"),"")</f>
        <v/>
      </c>
      <c r="P26" s="35" t="str">
        <f aca="false">IF(COUNTIFS(응답입력!$AH$3:$HD$3,"L15",응답입력!$AH27:$HD27,"&lt;9")&gt;=3,SUMIFS(응답입력!$AH27:$HD27,응답입력!$AH$3:$HD$3,"L15",응답입력!$AH27:$HD27,"&lt;9")/COUNTIFS(응답입력!$AH$3:$HD$3,"L15",응답입력!$AH27:$HD27,"&lt;9"),"")</f>
        <v/>
      </c>
      <c r="Q26" s="35" t="str">
        <f aca="false">IF(COUNTIFS(응답입력!$AH$3:$HD$3,"L16",응답입력!$AH27:$HD27,"&lt;9")&gt;=3,SUMIFS(응답입력!$AH27:$HD27,응답입력!$AH$3:$HD$3,"L16",응답입력!$AH27:$HD27,"&lt;9")/COUNTIFS(응답입력!$AH$3:$HD$3,"L16",응답입력!$AH27:$HD27,"&lt;9"),"")</f>
        <v/>
      </c>
      <c r="R26" s="35" t="str">
        <f aca="false">IF(COUNTIFS(응답입력!$AH$3:$HD$3,"L17",응답입력!$AH27:$HD27,"&lt;9")&gt;=3,SUMIFS(응답입력!$AH27:$HD27,응답입력!$AH$3:$HD$3,"L17",응답입력!$AH27:$HD27,"&lt;9")/COUNTIFS(응답입력!$AH$3:$HD$3,"L17",응답입력!$AH27:$HD27,"&lt;9"),"")</f>
        <v/>
      </c>
      <c r="S26" s="35" t="str">
        <f aca="false">IF(COUNTIFS(응답입력!$AH$3:$HD$3,"L18",응답입력!$AH27:$HD27,"&lt;9")&gt;=3,SUMIFS(응답입력!$AH27:$HD27,응답입력!$AH$3:$HD$3,"L18",응답입력!$AH27:$HD27,"&lt;9")/COUNTIFS(응답입력!$AH$3:$HD$3,"L18",응답입력!$AH27:$HD27,"&lt;9"),"")</f>
        <v/>
      </c>
      <c r="T26" s="35" t="str">
        <f aca="false">IF(COUNTIFS(응답입력!$AH$3:$HD$3,"L19",응답입력!$AH27:$HD27,"&lt;9")&gt;=3,SUMIFS(응답입력!$AH27:$HD27,응답입력!$AH$3:$HD$3,"L19",응답입력!$AH27:$HD27,"&lt;9")/COUNTIFS(응답입력!$AH$3:$HD$3,"L19",응답입력!$AH27:$HD27,"&lt;9"),"")</f>
        <v/>
      </c>
      <c r="U26" s="35" t="str">
        <f aca="false">IF(COUNTIFS(응답입력!$AH$3:$HD$3,"L20",응답입력!$AH27:$HD27,"&lt;9")&gt;=3,SUMIFS(응답입력!$AH27:$HD27,응답입력!$AH$3:$HD$3,"L20",응답입력!$AH27:$HD27,"&lt;9")/COUNTIFS(응답입력!$AH$3:$HD$3,"L20",응답입력!$AH27:$HD27,"&lt;9"),"")</f>
        <v/>
      </c>
      <c r="V26" s="35" t="str">
        <f aca="false">IF(COUNTIFS(응답입력!$AH$3:$HD$3,"L21",응답입력!$AH27:$HD27,"&lt;9")&gt;=3,SUMIFS(응답입력!$AH27:$HD27,응답입력!$AH$3:$HD$3,"L21",응답입력!$AH27:$HD27,"&lt;9")/COUNTIFS(응답입력!$AH$3:$HD$3,"L21",응답입력!$AH27:$HD27,"&lt;9"),"")</f>
        <v/>
      </c>
      <c r="W26" s="35" t="str">
        <f aca="false">IF(COUNTIFS(응답입력!$AH$3:$HD$3,"L22",응답입력!$AH27:$HD27,"&lt;9")&gt;=3,SUMIFS(응답입력!$AH27:$HD27,응답입력!$AH$3:$HD$3,"L22",응답입력!$AH27:$HD27,"&lt;9")/COUNTIFS(응답입력!$AH$3:$HD$3,"L22",응답입력!$AH27:$HD27,"&lt;9"),"")</f>
        <v/>
      </c>
      <c r="X26" s="35" t="str">
        <f aca="false">IF(COUNTIFS(응답입력!$AH$3:$HD$3,"L23",응답입력!$AH27:$HD27,"&lt;9")&gt;=3,SUMIFS(응답입력!$AH27:$HD27,응답입력!$AH$3:$HD$3,"L23",응답입력!$AH27:$HD27,"&lt;9")/COUNTIFS(응답입력!$AH$3:$HD$3,"L23",응답입력!$AH27:$HD27,"&lt;9"),"")</f>
        <v/>
      </c>
      <c r="Y26" s="35" t="str">
        <f aca="false">IF(COUNTIFS(응답입력!$AH$3:$HD$3,"L24",응답입력!$AH27:$HD27,"&lt;9")&gt;=3,SUMIFS(응답입력!$AH27:$HD27,응답입력!$AH$3:$HD$3,"L24",응답입력!$AH27:$HD27,"&lt;9")/COUNTIFS(응답입력!$AH$3:$HD$3,"L24",응답입력!$AH27:$HD27,"&lt;9"),"")</f>
        <v/>
      </c>
      <c r="Z26" s="35" t="str">
        <f aca="false">IF(COUNTIFS(응답입력!$AH$3:$HD$3,"L25",응답입력!$AH27:$HD27,"&lt;9")&gt;=3,SUMIFS(응답입력!$AH27:$HD27,응답입력!$AH$3:$HD$3,"L25",응답입력!$AH27:$HD27,"&lt;9")/COUNTIFS(응답입력!$AH$3:$HD$3,"L25",응답입력!$AH27:$HD27,"&lt;9"),"")</f>
        <v/>
      </c>
      <c r="AA26" s="35" t="str">
        <f aca="false">IF(COUNTIFS(응답입력!$AH$3:$HD$3,"L26",응답입력!$AH27:$HD27,"&lt;9")&gt;=3,SUMIFS(응답입력!$AH27:$HD27,응답입력!$AH$3:$HD$3,"L26",응답입력!$AH27:$HD27,"&lt;9")/COUNTIFS(응답입력!$AH$3:$HD$3,"L26",응답입력!$AH27:$HD27,"&lt;9"),"")</f>
        <v/>
      </c>
      <c r="AB26" s="35" t="str">
        <f aca="false">IF(COUNTIFS(응답입력!$AH$3:$HD$3,"L27",응답입력!$AH27:$HD27,"&lt;9")&gt;=3,SUMIFS(응답입력!$AH27:$HD27,응답입력!$AH$3:$HD$3,"L27",응답입력!$AH27:$HD27,"&lt;9")/COUNTIFS(응답입력!$AH$3:$HD$3,"L27",응답입력!$AH27:$HD27,"&lt;9"),"")</f>
        <v/>
      </c>
      <c r="AC26" s="35" t="str">
        <f aca="false">IF(COUNTIFS(응답입력!$AH$3:$HD$3,"L28",응답입력!$AH27:$HD27,"&lt;9")&gt;=3,SUMIFS(응답입력!$AH27:$HD27,응답입력!$AH$3:$HD$3,"L28",응답입력!$AH27:$HD27,"&lt;9")/COUNTIFS(응답입력!$AH$3:$HD$3,"L28",응답입력!$AH27:$HD27,"&lt;9"),"")</f>
        <v/>
      </c>
      <c r="AD26" s="35" t="str">
        <f aca="false">IF(COUNTIFS(응답입력!$AH$3:$HD$3,"L29",응답입력!$AH27:$HD27,"&lt;9")&gt;=3,SUMIFS(응답입력!$AH27:$HD27,응답입력!$AH$3:$HD$3,"L29",응답입력!$AH27:$HD27,"&lt;9")/COUNTIFS(응답입력!$AH$3:$HD$3,"L29",응답입력!$AH27:$HD27,"&lt;9"),"")</f>
        <v/>
      </c>
      <c r="AE26" s="35" t="str">
        <f aca="false">IF(COUNTIFS(응답입력!$AH$3:$HD$3,"L30",응답입력!$AH27:$HD27,"&lt;9")&gt;=3,SUMIFS(응답입력!$AH27:$HD27,응답입력!$AH$3:$HD$3,"L30",응답입력!$AH27:$HD27,"&lt;9")/COUNTIFS(응답입력!$AH$3:$HD$3,"L30",응답입력!$AH27:$HD27,"&lt;9"),"")</f>
        <v/>
      </c>
      <c r="AF26" s="35" t="str">
        <f aca="false">IF(COUNTIFS(응답입력!$AH$3:$HD$3,"L31",응답입력!$AH27:$HD27,"&lt;9")&gt;=3,SUMIFS(응답입력!$AH27:$HD27,응답입력!$AH$3:$HD$3,"L31",응답입력!$AH27:$HD27,"&lt;9")/COUNTIFS(응답입력!$AH$3:$HD$3,"L31",응답입력!$AH27:$HD27,"&lt;9"),"")</f>
        <v/>
      </c>
      <c r="AG26" s="41" t="str">
        <f aca="false">IFERROR(AVERAGE(B26:AF26),"")</f>
        <v/>
      </c>
    </row>
    <row r="27" customFormat="false" ht="15" hidden="false" customHeight="false" outlineLevel="0" collapsed="false">
      <c r="A27" s="27" t="str">
        <f aca="false">IF(응답입력!A28="","",응답입력!A28)</f>
        <v/>
      </c>
      <c r="B27" s="35" t="str">
        <f aca="false">IF(COUNTIFS(응답입력!$AH$3:$HD$3,"L01",응답입력!$AH28:$HD28,"&lt;9")&gt;=3,SUMIFS(응답입력!$AH28:$HD28,응답입력!$AH$3:$HD$3,"L01",응답입력!$AH28:$HD28,"&lt;9")/COUNTIFS(응답입력!$AH$3:$HD$3,"L01",응답입력!$AH28:$HD28,"&lt;9"),"")</f>
        <v/>
      </c>
      <c r="C27" s="35" t="str">
        <f aca="false">IF(COUNTIFS(응답입력!$AH$3:$HD$3,"L02",응답입력!$AH28:$HD28,"&lt;9")&gt;=3,SUMIFS(응답입력!$AH28:$HD28,응답입력!$AH$3:$HD$3,"L02",응답입력!$AH28:$HD28,"&lt;9")/COUNTIFS(응답입력!$AH$3:$HD$3,"L02",응답입력!$AH28:$HD28,"&lt;9"),"")</f>
        <v/>
      </c>
      <c r="D27" s="35" t="str">
        <f aca="false">IF(COUNTIFS(응답입력!$AH$3:$HD$3,"L03",응답입력!$AH28:$HD28,"&lt;9")&gt;=3,SUMIFS(응답입력!$AH28:$HD28,응답입력!$AH$3:$HD$3,"L03",응답입력!$AH28:$HD28,"&lt;9")/COUNTIFS(응답입력!$AH$3:$HD$3,"L03",응답입력!$AH28:$HD28,"&lt;9"),"")</f>
        <v/>
      </c>
      <c r="E27" s="35" t="str">
        <f aca="false">IF(COUNTIFS(응답입력!$AH$3:$HD$3,"L04",응답입력!$AH28:$HD28,"&lt;9")&gt;=3,SUMIFS(응답입력!$AH28:$HD28,응답입력!$AH$3:$HD$3,"L04",응답입력!$AH28:$HD28,"&lt;9")/COUNTIFS(응답입력!$AH$3:$HD$3,"L04",응답입력!$AH28:$HD28,"&lt;9"),"")</f>
        <v/>
      </c>
      <c r="F27" s="35" t="str">
        <f aca="false">IF(COUNTIFS(응답입력!$AH$3:$HD$3,"L05",응답입력!$AH28:$HD28,"&lt;9")&gt;=3,SUMIFS(응답입력!$AH28:$HD28,응답입력!$AH$3:$HD$3,"L05",응답입력!$AH28:$HD28,"&lt;9")/COUNTIFS(응답입력!$AH$3:$HD$3,"L05",응답입력!$AH28:$HD28,"&lt;9"),"")</f>
        <v/>
      </c>
      <c r="G27" s="35" t="str">
        <f aca="false">IF(COUNTIFS(응답입력!$AH$3:$HD$3,"L06",응답입력!$AH28:$HD28,"&lt;9")&gt;=3,SUMIFS(응답입력!$AH28:$HD28,응답입력!$AH$3:$HD$3,"L06",응답입력!$AH28:$HD28,"&lt;9")/COUNTIFS(응답입력!$AH$3:$HD$3,"L06",응답입력!$AH28:$HD28,"&lt;9"),"")</f>
        <v/>
      </c>
      <c r="H27" s="35" t="str">
        <f aca="false">IF(COUNTIFS(응답입력!$AH$3:$HD$3,"L07",응답입력!$AH28:$HD28,"&lt;9")&gt;=3,SUMIFS(응답입력!$AH28:$HD28,응답입력!$AH$3:$HD$3,"L07",응답입력!$AH28:$HD28,"&lt;9")/COUNTIFS(응답입력!$AH$3:$HD$3,"L07",응답입력!$AH28:$HD28,"&lt;9"),"")</f>
        <v/>
      </c>
      <c r="I27" s="35" t="str">
        <f aca="false">IF(COUNTIFS(응답입력!$AH$3:$HD$3,"L08",응답입력!$AH28:$HD28,"&lt;9")&gt;=3,SUMIFS(응답입력!$AH28:$HD28,응답입력!$AH$3:$HD$3,"L08",응답입력!$AH28:$HD28,"&lt;9")/COUNTIFS(응답입력!$AH$3:$HD$3,"L08",응답입력!$AH28:$HD28,"&lt;9"),"")</f>
        <v/>
      </c>
      <c r="J27" s="35" t="str">
        <f aca="false">IF(COUNTIFS(응답입력!$AH$3:$HD$3,"L09",응답입력!$AH28:$HD28,"&lt;9")&gt;=3,SUMIFS(응답입력!$AH28:$HD28,응답입력!$AH$3:$HD$3,"L09",응답입력!$AH28:$HD28,"&lt;9")/COUNTIFS(응답입력!$AH$3:$HD$3,"L09",응답입력!$AH28:$HD28,"&lt;9"),"")</f>
        <v/>
      </c>
      <c r="K27" s="35" t="str">
        <f aca="false">IF(COUNTIFS(응답입력!$AH$3:$HD$3,"L10",응답입력!$AH28:$HD28,"&lt;9")&gt;=3,SUMIFS(응답입력!$AH28:$HD28,응답입력!$AH$3:$HD$3,"L10",응답입력!$AH28:$HD28,"&lt;9")/COUNTIFS(응답입력!$AH$3:$HD$3,"L10",응답입력!$AH28:$HD28,"&lt;9"),"")</f>
        <v/>
      </c>
      <c r="L27" s="35" t="str">
        <f aca="false">IF(COUNTIFS(응답입력!$AH$3:$HD$3,"L11",응답입력!$AH28:$HD28,"&lt;9")&gt;=3,SUMIFS(응답입력!$AH28:$HD28,응답입력!$AH$3:$HD$3,"L11",응답입력!$AH28:$HD28,"&lt;9")/COUNTIFS(응답입력!$AH$3:$HD$3,"L11",응답입력!$AH28:$HD28,"&lt;9"),"")</f>
        <v/>
      </c>
      <c r="M27" s="35" t="str">
        <f aca="false">IF(COUNTIFS(응답입력!$AH$3:$HD$3,"L12",응답입력!$AH28:$HD28,"&lt;9")&gt;=3,SUMIFS(응답입력!$AH28:$HD28,응답입력!$AH$3:$HD$3,"L12",응답입력!$AH28:$HD28,"&lt;9")/COUNTIFS(응답입력!$AH$3:$HD$3,"L12",응답입력!$AH28:$HD28,"&lt;9"),"")</f>
        <v/>
      </c>
      <c r="N27" s="35" t="str">
        <f aca="false">IF(COUNTIFS(응답입력!$AH$3:$HD$3,"L13",응답입력!$AH28:$HD28,"&lt;9")&gt;=3,SUMIFS(응답입력!$AH28:$HD28,응답입력!$AH$3:$HD$3,"L13",응답입력!$AH28:$HD28,"&lt;9")/COUNTIFS(응답입력!$AH$3:$HD$3,"L13",응답입력!$AH28:$HD28,"&lt;9"),"")</f>
        <v/>
      </c>
      <c r="O27" s="35" t="str">
        <f aca="false">IF(COUNTIFS(응답입력!$AH$3:$HD$3,"L14",응답입력!$AH28:$HD28,"&lt;9")&gt;=3,SUMIFS(응답입력!$AH28:$HD28,응답입력!$AH$3:$HD$3,"L14",응답입력!$AH28:$HD28,"&lt;9")/COUNTIFS(응답입력!$AH$3:$HD$3,"L14",응답입력!$AH28:$HD28,"&lt;9"),"")</f>
        <v/>
      </c>
      <c r="P27" s="35" t="str">
        <f aca="false">IF(COUNTIFS(응답입력!$AH$3:$HD$3,"L15",응답입력!$AH28:$HD28,"&lt;9")&gt;=3,SUMIFS(응답입력!$AH28:$HD28,응답입력!$AH$3:$HD$3,"L15",응답입력!$AH28:$HD28,"&lt;9")/COUNTIFS(응답입력!$AH$3:$HD$3,"L15",응답입력!$AH28:$HD28,"&lt;9"),"")</f>
        <v/>
      </c>
      <c r="Q27" s="35" t="str">
        <f aca="false">IF(COUNTIFS(응답입력!$AH$3:$HD$3,"L16",응답입력!$AH28:$HD28,"&lt;9")&gt;=3,SUMIFS(응답입력!$AH28:$HD28,응답입력!$AH$3:$HD$3,"L16",응답입력!$AH28:$HD28,"&lt;9")/COUNTIFS(응답입력!$AH$3:$HD$3,"L16",응답입력!$AH28:$HD28,"&lt;9"),"")</f>
        <v/>
      </c>
      <c r="R27" s="35" t="str">
        <f aca="false">IF(COUNTIFS(응답입력!$AH$3:$HD$3,"L17",응답입력!$AH28:$HD28,"&lt;9")&gt;=3,SUMIFS(응답입력!$AH28:$HD28,응답입력!$AH$3:$HD$3,"L17",응답입력!$AH28:$HD28,"&lt;9")/COUNTIFS(응답입력!$AH$3:$HD$3,"L17",응답입력!$AH28:$HD28,"&lt;9"),"")</f>
        <v/>
      </c>
      <c r="S27" s="35" t="str">
        <f aca="false">IF(COUNTIFS(응답입력!$AH$3:$HD$3,"L18",응답입력!$AH28:$HD28,"&lt;9")&gt;=3,SUMIFS(응답입력!$AH28:$HD28,응답입력!$AH$3:$HD$3,"L18",응답입력!$AH28:$HD28,"&lt;9")/COUNTIFS(응답입력!$AH$3:$HD$3,"L18",응답입력!$AH28:$HD28,"&lt;9"),"")</f>
        <v/>
      </c>
      <c r="T27" s="35" t="str">
        <f aca="false">IF(COUNTIFS(응답입력!$AH$3:$HD$3,"L19",응답입력!$AH28:$HD28,"&lt;9")&gt;=3,SUMIFS(응답입력!$AH28:$HD28,응답입력!$AH$3:$HD$3,"L19",응답입력!$AH28:$HD28,"&lt;9")/COUNTIFS(응답입력!$AH$3:$HD$3,"L19",응답입력!$AH28:$HD28,"&lt;9"),"")</f>
        <v/>
      </c>
      <c r="U27" s="35" t="str">
        <f aca="false">IF(COUNTIFS(응답입력!$AH$3:$HD$3,"L20",응답입력!$AH28:$HD28,"&lt;9")&gt;=3,SUMIFS(응답입력!$AH28:$HD28,응답입력!$AH$3:$HD$3,"L20",응답입력!$AH28:$HD28,"&lt;9")/COUNTIFS(응답입력!$AH$3:$HD$3,"L20",응답입력!$AH28:$HD28,"&lt;9"),"")</f>
        <v/>
      </c>
      <c r="V27" s="35" t="str">
        <f aca="false">IF(COUNTIFS(응답입력!$AH$3:$HD$3,"L21",응답입력!$AH28:$HD28,"&lt;9")&gt;=3,SUMIFS(응답입력!$AH28:$HD28,응답입력!$AH$3:$HD$3,"L21",응답입력!$AH28:$HD28,"&lt;9")/COUNTIFS(응답입력!$AH$3:$HD$3,"L21",응답입력!$AH28:$HD28,"&lt;9"),"")</f>
        <v/>
      </c>
      <c r="W27" s="35" t="str">
        <f aca="false">IF(COUNTIFS(응답입력!$AH$3:$HD$3,"L22",응답입력!$AH28:$HD28,"&lt;9")&gt;=3,SUMIFS(응답입력!$AH28:$HD28,응답입력!$AH$3:$HD$3,"L22",응답입력!$AH28:$HD28,"&lt;9")/COUNTIFS(응답입력!$AH$3:$HD$3,"L22",응답입력!$AH28:$HD28,"&lt;9"),"")</f>
        <v/>
      </c>
      <c r="X27" s="35" t="str">
        <f aca="false">IF(COUNTIFS(응답입력!$AH$3:$HD$3,"L23",응답입력!$AH28:$HD28,"&lt;9")&gt;=3,SUMIFS(응답입력!$AH28:$HD28,응답입력!$AH$3:$HD$3,"L23",응답입력!$AH28:$HD28,"&lt;9")/COUNTIFS(응답입력!$AH$3:$HD$3,"L23",응답입력!$AH28:$HD28,"&lt;9"),"")</f>
        <v/>
      </c>
      <c r="Y27" s="35" t="str">
        <f aca="false">IF(COUNTIFS(응답입력!$AH$3:$HD$3,"L24",응답입력!$AH28:$HD28,"&lt;9")&gt;=3,SUMIFS(응답입력!$AH28:$HD28,응답입력!$AH$3:$HD$3,"L24",응답입력!$AH28:$HD28,"&lt;9")/COUNTIFS(응답입력!$AH$3:$HD$3,"L24",응답입력!$AH28:$HD28,"&lt;9"),"")</f>
        <v/>
      </c>
      <c r="Z27" s="35" t="str">
        <f aca="false">IF(COUNTIFS(응답입력!$AH$3:$HD$3,"L25",응답입력!$AH28:$HD28,"&lt;9")&gt;=3,SUMIFS(응답입력!$AH28:$HD28,응답입력!$AH$3:$HD$3,"L25",응답입력!$AH28:$HD28,"&lt;9")/COUNTIFS(응답입력!$AH$3:$HD$3,"L25",응답입력!$AH28:$HD28,"&lt;9"),"")</f>
        <v/>
      </c>
      <c r="AA27" s="35" t="str">
        <f aca="false">IF(COUNTIFS(응답입력!$AH$3:$HD$3,"L26",응답입력!$AH28:$HD28,"&lt;9")&gt;=3,SUMIFS(응답입력!$AH28:$HD28,응답입력!$AH$3:$HD$3,"L26",응답입력!$AH28:$HD28,"&lt;9")/COUNTIFS(응답입력!$AH$3:$HD$3,"L26",응답입력!$AH28:$HD28,"&lt;9"),"")</f>
        <v/>
      </c>
      <c r="AB27" s="35" t="str">
        <f aca="false">IF(COUNTIFS(응답입력!$AH$3:$HD$3,"L27",응답입력!$AH28:$HD28,"&lt;9")&gt;=3,SUMIFS(응답입력!$AH28:$HD28,응답입력!$AH$3:$HD$3,"L27",응답입력!$AH28:$HD28,"&lt;9")/COUNTIFS(응답입력!$AH$3:$HD$3,"L27",응답입력!$AH28:$HD28,"&lt;9"),"")</f>
        <v/>
      </c>
      <c r="AC27" s="35" t="str">
        <f aca="false">IF(COUNTIFS(응답입력!$AH$3:$HD$3,"L28",응답입력!$AH28:$HD28,"&lt;9")&gt;=3,SUMIFS(응답입력!$AH28:$HD28,응답입력!$AH$3:$HD$3,"L28",응답입력!$AH28:$HD28,"&lt;9")/COUNTIFS(응답입력!$AH$3:$HD$3,"L28",응답입력!$AH28:$HD28,"&lt;9"),"")</f>
        <v/>
      </c>
      <c r="AD27" s="35" t="str">
        <f aca="false">IF(COUNTIFS(응답입력!$AH$3:$HD$3,"L29",응답입력!$AH28:$HD28,"&lt;9")&gt;=3,SUMIFS(응답입력!$AH28:$HD28,응답입력!$AH$3:$HD$3,"L29",응답입력!$AH28:$HD28,"&lt;9")/COUNTIFS(응답입력!$AH$3:$HD$3,"L29",응답입력!$AH28:$HD28,"&lt;9"),"")</f>
        <v/>
      </c>
      <c r="AE27" s="35" t="str">
        <f aca="false">IF(COUNTIFS(응답입력!$AH$3:$HD$3,"L30",응답입력!$AH28:$HD28,"&lt;9")&gt;=3,SUMIFS(응답입력!$AH28:$HD28,응답입력!$AH$3:$HD$3,"L30",응답입력!$AH28:$HD28,"&lt;9")/COUNTIFS(응답입력!$AH$3:$HD$3,"L30",응답입력!$AH28:$HD28,"&lt;9"),"")</f>
        <v/>
      </c>
      <c r="AF27" s="35" t="str">
        <f aca="false">IF(COUNTIFS(응답입력!$AH$3:$HD$3,"L31",응답입력!$AH28:$HD28,"&lt;9")&gt;=3,SUMIFS(응답입력!$AH28:$HD28,응답입력!$AH$3:$HD$3,"L31",응답입력!$AH28:$HD28,"&lt;9")/COUNTIFS(응답입력!$AH$3:$HD$3,"L31",응답입력!$AH28:$HD28,"&lt;9"),"")</f>
        <v/>
      </c>
      <c r="AG27" s="41" t="str">
        <f aca="false">IFERROR(AVERAGE(B27:AF27),"")</f>
        <v/>
      </c>
    </row>
    <row r="28" customFormat="false" ht="15" hidden="false" customHeight="false" outlineLevel="0" collapsed="false">
      <c r="A28" s="27" t="str">
        <f aca="false">IF(응답입력!A29="","",응답입력!A29)</f>
        <v/>
      </c>
      <c r="B28" s="35" t="str">
        <f aca="false">IF(COUNTIFS(응답입력!$AH$3:$HD$3,"L01",응답입력!$AH29:$HD29,"&lt;9")&gt;=3,SUMIFS(응답입력!$AH29:$HD29,응답입력!$AH$3:$HD$3,"L01",응답입력!$AH29:$HD29,"&lt;9")/COUNTIFS(응답입력!$AH$3:$HD$3,"L01",응답입력!$AH29:$HD29,"&lt;9"),"")</f>
        <v/>
      </c>
      <c r="C28" s="35" t="str">
        <f aca="false">IF(COUNTIFS(응답입력!$AH$3:$HD$3,"L02",응답입력!$AH29:$HD29,"&lt;9")&gt;=3,SUMIFS(응답입력!$AH29:$HD29,응답입력!$AH$3:$HD$3,"L02",응답입력!$AH29:$HD29,"&lt;9")/COUNTIFS(응답입력!$AH$3:$HD$3,"L02",응답입력!$AH29:$HD29,"&lt;9"),"")</f>
        <v/>
      </c>
      <c r="D28" s="35" t="str">
        <f aca="false">IF(COUNTIFS(응답입력!$AH$3:$HD$3,"L03",응답입력!$AH29:$HD29,"&lt;9")&gt;=3,SUMIFS(응답입력!$AH29:$HD29,응답입력!$AH$3:$HD$3,"L03",응답입력!$AH29:$HD29,"&lt;9")/COUNTIFS(응답입력!$AH$3:$HD$3,"L03",응답입력!$AH29:$HD29,"&lt;9"),"")</f>
        <v/>
      </c>
      <c r="E28" s="35" t="str">
        <f aca="false">IF(COUNTIFS(응답입력!$AH$3:$HD$3,"L04",응답입력!$AH29:$HD29,"&lt;9")&gt;=3,SUMIFS(응답입력!$AH29:$HD29,응답입력!$AH$3:$HD$3,"L04",응답입력!$AH29:$HD29,"&lt;9")/COUNTIFS(응답입력!$AH$3:$HD$3,"L04",응답입력!$AH29:$HD29,"&lt;9"),"")</f>
        <v/>
      </c>
      <c r="F28" s="35" t="str">
        <f aca="false">IF(COUNTIFS(응답입력!$AH$3:$HD$3,"L05",응답입력!$AH29:$HD29,"&lt;9")&gt;=3,SUMIFS(응답입력!$AH29:$HD29,응답입력!$AH$3:$HD$3,"L05",응답입력!$AH29:$HD29,"&lt;9")/COUNTIFS(응답입력!$AH$3:$HD$3,"L05",응답입력!$AH29:$HD29,"&lt;9"),"")</f>
        <v/>
      </c>
      <c r="G28" s="35" t="str">
        <f aca="false">IF(COUNTIFS(응답입력!$AH$3:$HD$3,"L06",응답입력!$AH29:$HD29,"&lt;9")&gt;=3,SUMIFS(응답입력!$AH29:$HD29,응답입력!$AH$3:$HD$3,"L06",응답입력!$AH29:$HD29,"&lt;9")/COUNTIFS(응답입력!$AH$3:$HD$3,"L06",응답입력!$AH29:$HD29,"&lt;9"),"")</f>
        <v/>
      </c>
      <c r="H28" s="35" t="str">
        <f aca="false">IF(COUNTIFS(응답입력!$AH$3:$HD$3,"L07",응답입력!$AH29:$HD29,"&lt;9")&gt;=3,SUMIFS(응답입력!$AH29:$HD29,응답입력!$AH$3:$HD$3,"L07",응답입력!$AH29:$HD29,"&lt;9")/COUNTIFS(응답입력!$AH$3:$HD$3,"L07",응답입력!$AH29:$HD29,"&lt;9"),"")</f>
        <v/>
      </c>
      <c r="I28" s="35" t="str">
        <f aca="false">IF(COUNTIFS(응답입력!$AH$3:$HD$3,"L08",응답입력!$AH29:$HD29,"&lt;9")&gt;=3,SUMIFS(응답입력!$AH29:$HD29,응답입력!$AH$3:$HD$3,"L08",응답입력!$AH29:$HD29,"&lt;9")/COUNTIFS(응답입력!$AH$3:$HD$3,"L08",응답입력!$AH29:$HD29,"&lt;9"),"")</f>
        <v/>
      </c>
      <c r="J28" s="35" t="str">
        <f aca="false">IF(COUNTIFS(응답입력!$AH$3:$HD$3,"L09",응답입력!$AH29:$HD29,"&lt;9")&gt;=3,SUMIFS(응답입력!$AH29:$HD29,응답입력!$AH$3:$HD$3,"L09",응답입력!$AH29:$HD29,"&lt;9")/COUNTIFS(응답입력!$AH$3:$HD$3,"L09",응답입력!$AH29:$HD29,"&lt;9"),"")</f>
        <v/>
      </c>
      <c r="K28" s="35" t="str">
        <f aca="false">IF(COUNTIFS(응답입력!$AH$3:$HD$3,"L10",응답입력!$AH29:$HD29,"&lt;9")&gt;=3,SUMIFS(응답입력!$AH29:$HD29,응답입력!$AH$3:$HD$3,"L10",응답입력!$AH29:$HD29,"&lt;9")/COUNTIFS(응답입력!$AH$3:$HD$3,"L10",응답입력!$AH29:$HD29,"&lt;9"),"")</f>
        <v/>
      </c>
      <c r="L28" s="35" t="str">
        <f aca="false">IF(COUNTIFS(응답입력!$AH$3:$HD$3,"L11",응답입력!$AH29:$HD29,"&lt;9")&gt;=3,SUMIFS(응답입력!$AH29:$HD29,응답입력!$AH$3:$HD$3,"L11",응답입력!$AH29:$HD29,"&lt;9")/COUNTIFS(응답입력!$AH$3:$HD$3,"L11",응답입력!$AH29:$HD29,"&lt;9"),"")</f>
        <v/>
      </c>
      <c r="M28" s="35" t="str">
        <f aca="false">IF(COUNTIFS(응답입력!$AH$3:$HD$3,"L12",응답입력!$AH29:$HD29,"&lt;9")&gt;=3,SUMIFS(응답입력!$AH29:$HD29,응답입력!$AH$3:$HD$3,"L12",응답입력!$AH29:$HD29,"&lt;9")/COUNTIFS(응답입력!$AH$3:$HD$3,"L12",응답입력!$AH29:$HD29,"&lt;9"),"")</f>
        <v/>
      </c>
      <c r="N28" s="35" t="str">
        <f aca="false">IF(COUNTIFS(응답입력!$AH$3:$HD$3,"L13",응답입력!$AH29:$HD29,"&lt;9")&gt;=3,SUMIFS(응답입력!$AH29:$HD29,응답입력!$AH$3:$HD$3,"L13",응답입력!$AH29:$HD29,"&lt;9")/COUNTIFS(응답입력!$AH$3:$HD$3,"L13",응답입력!$AH29:$HD29,"&lt;9"),"")</f>
        <v/>
      </c>
      <c r="O28" s="35" t="str">
        <f aca="false">IF(COUNTIFS(응답입력!$AH$3:$HD$3,"L14",응답입력!$AH29:$HD29,"&lt;9")&gt;=3,SUMIFS(응답입력!$AH29:$HD29,응답입력!$AH$3:$HD$3,"L14",응답입력!$AH29:$HD29,"&lt;9")/COUNTIFS(응답입력!$AH$3:$HD$3,"L14",응답입력!$AH29:$HD29,"&lt;9"),"")</f>
        <v/>
      </c>
      <c r="P28" s="35" t="str">
        <f aca="false">IF(COUNTIFS(응답입력!$AH$3:$HD$3,"L15",응답입력!$AH29:$HD29,"&lt;9")&gt;=3,SUMIFS(응답입력!$AH29:$HD29,응답입력!$AH$3:$HD$3,"L15",응답입력!$AH29:$HD29,"&lt;9")/COUNTIFS(응답입력!$AH$3:$HD$3,"L15",응답입력!$AH29:$HD29,"&lt;9"),"")</f>
        <v/>
      </c>
      <c r="Q28" s="35" t="str">
        <f aca="false">IF(COUNTIFS(응답입력!$AH$3:$HD$3,"L16",응답입력!$AH29:$HD29,"&lt;9")&gt;=3,SUMIFS(응답입력!$AH29:$HD29,응답입력!$AH$3:$HD$3,"L16",응답입력!$AH29:$HD29,"&lt;9")/COUNTIFS(응답입력!$AH$3:$HD$3,"L16",응답입력!$AH29:$HD29,"&lt;9"),"")</f>
        <v/>
      </c>
      <c r="R28" s="35" t="str">
        <f aca="false">IF(COUNTIFS(응답입력!$AH$3:$HD$3,"L17",응답입력!$AH29:$HD29,"&lt;9")&gt;=3,SUMIFS(응답입력!$AH29:$HD29,응답입력!$AH$3:$HD$3,"L17",응답입력!$AH29:$HD29,"&lt;9")/COUNTIFS(응답입력!$AH$3:$HD$3,"L17",응답입력!$AH29:$HD29,"&lt;9"),"")</f>
        <v/>
      </c>
      <c r="S28" s="35" t="str">
        <f aca="false">IF(COUNTIFS(응답입력!$AH$3:$HD$3,"L18",응답입력!$AH29:$HD29,"&lt;9")&gt;=3,SUMIFS(응답입력!$AH29:$HD29,응답입력!$AH$3:$HD$3,"L18",응답입력!$AH29:$HD29,"&lt;9")/COUNTIFS(응답입력!$AH$3:$HD$3,"L18",응답입력!$AH29:$HD29,"&lt;9"),"")</f>
        <v/>
      </c>
      <c r="T28" s="35" t="str">
        <f aca="false">IF(COUNTIFS(응답입력!$AH$3:$HD$3,"L19",응답입력!$AH29:$HD29,"&lt;9")&gt;=3,SUMIFS(응답입력!$AH29:$HD29,응답입력!$AH$3:$HD$3,"L19",응답입력!$AH29:$HD29,"&lt;9")/COUNTIFS(응답입력!$AH$3:$HD$3,"L19",응답입력!$AH29:$HD29,"&lt;9"),"")</f>
        <v/>
      </c>
      <c r="U28" s="35" t="str">
        <f aca="false">IF(COUNTIFS(응답입력!$AH$3:$HD$3,"L20",응답입력!$AH29:$HD29,"&lt;9")&gt;=3,SUMIFS(응답입력!$AH29:$HD29,응답입력!$AH$3:$HD$3,"L20",응답입력!$AH29:$HD29,"&lt;9")/COUNTIFS(응답입력!$AH$3:$HD$3,"L20",응답입력!$AH29:$HD29,"&lt;9"),"")</f>
        <v/>
      </c>
      <c r="V28" s="35" t="str">
        <f aca="false">IF(COUNTIFS(응답입력!$AH$3:$HD$3,"L21",응답입력!$AH29:$HD29,"&lt;9")&gt;=3,SUMIFS(응답입력!$AH29:$HD29,응답입력!$AH$3:$HD$3,"L21",응답입력!$AH29:$HD29,"&lt;9")/COUNTIFS(응답입력!$AH$3:$HD$3,"L21",응답입력!$AH29:$HD29,"&lt;9"),"")</f>
        <v/>
      </c>
      <c r="W28" s="35" t="str">
        <f aca="false">IF(COUNTIFS(응답입력!$AH$3:$HD$3,"L22",응답입력!$AH29:$HD29,"&lt;9")&gt;=3,SUMIFS(응답입력!$AH29:$HD29,응답입력!$AH$3:$HD$3,"L22",응답입력!$AH29:$HD29,"&lt;9")/COUNTIFS(응답입력!$AH$3:$HD$3,"L22",응답입력!$AH29:$HD29,"&lt;9"),"")</f>
        <v/>
      </c>
      <c r="X28" s="35" t="str">
        <f aca="false">IF(COUNTIFS(응답입력!$AH$3:$HD$3,"L23",응답입력!$AH29:$HD29,"&lt;9")&gt;=3,SUMIFS(응답입력!$AH29:$HD29,응답입력!$AH$3:$HD$3,"L23",응답입력!$AH29:$HD29,"&lt;9")/COUNTIFS(응답입력!$AH$3:$HD$3,"L23",응답입력!$AH29:$HD29,"&lt;9"),"")</f>
        <v/>
      </c>
      <c r="Y28" s="35" t="str">
        <f aca="false">IF(COUNTIFS(응답입력!$AH$3:$HD$3,"L24",응답입력!$AH29:$HD29,"&lt;9")&gt;=3,SUMIFS(응답입력!$AH29:$HD29,응답입력!$AH$3:$HD$3,"L24",응답입력!$AH29:$HD29,"&lt;9")/COUNTIFS(응답입력!$AH$3:$HD$3,"L24",응답입력!$AH29:$HD29,"&lt;9"),"")</f>
        <v/>
      </c>
      <c r="Z28" s="35" t="str">
        <f aca="false">IF(COUNTIFS(응답입력!$AH$3:$HD$3,"L25",응답입력!$AH29:$HD29,"&lt;9")&gt;=3,SUMIFS(응답입력!$AH29:$HD29,응답입력!$AH$3:$HD$3,"L25",응답입력!$AH29:$HD29,"&lt;9")/COUNTIFS(응답입력!$AH$3:$HD$3,"L25",응답입력!$AH29:$HD29,"&lt;9"),"")</f>
        <v/>
      </c>
      <c r="AA28" s="35" t="str">
        <f aca="false">IF(COUNTIFS(응답입력!$AH$3:$HD$3,"L26",응답입력!$AH29:$HD29,"&lt;9")&gt;=3,SUMIFS(응답입력!$AH29:$HD29,응답입력!$AH$3:$HD$3,"L26",응답입력!$AH29:$HD29,"&lt;9")/COUNTIFS(응답입력!$AH$3:$HD$3,"L26",응답입력!$AH29:$HD29,"&lt;9"),"")</f>
        <v/>
      </c>
      <c r="AB28" s="35" t="str">
        <f aca="false">IF(COUNTIFS(응답입력!$AH$3:$HD$3,"L27",응답입력!$AH29:$HD29,"&lt;9")&gt;=3,SUMIFS(응답입력!$AH29:$HD29,응답입력!$AH$3:$HD$3,"L27",응답입력!$AH29:$HD29,"&lt;9")/COUNTIFS(응답입력!$AH$3:$HD$3,"L27",응답입력!$AH29:$HD29,"&lt;9"),"")</f>
        <v/>
      </c>
      <c r="AC28" s="35" t="str">
        <f aca="false">IF(COUNTIFS(응답입력!$AH$3:$HD$3,"L28",응답입력!$AH29:$HD29,"&lt;9")&gt;=3,SUMIFS(응답입력!$AH29:$HD29,응답입력!$AH$3:$HD$3,"L28",응답입력!$AH29:$HD29,"&lt;9")/COUNTIFS(응답입력!$AH$3:$HD$3,"L28",응답입력!$AH29:$HD29,"&lt;9"),"")</f>
        <v/>
      </c>
      <c r="AD28" s="35" t="str">
        <f aca="false">IF(COUNTIFS(응답입력!$AH$3:$HD$3,"L29",응답입력!$AH29:$HD29,"&lt;9")&gt;=3,SUMIFS(응답입력!$AH29:$HD29,응답입력!$AH$3:$HD$3,"L29",응답입력!$AH29:$HD29,"&lt;9")/COUNTIFS(응답입력!$AH$3:$HD$3,"L29",응답입력!$AH29:$HD29,"&lt;9"),"")</f>
        <v/>
      </c>
      <c r="AE28" s="35" t="str">
        <f aca="false">IF(COUNTIFS(응답입력!$AH$3:$HD$3,"L30",응답입력!$AH29:$HD29,"&lt;9")&gt;=3,SUMIFS(응답입력!$AH29:$HD29,응답입력!$AH$3:$HD$3,"L30",응답입력!$AH29:$HD29,"&lt;9")/COUNTIFS(응답입력!$AH$3:$HD$3,"L30",응답입력!$AH29:$HD29,"&lt;9"),"")</f>
        <v/>
      </c>
      <c r="AF28" s="35" t="str">
        <f aca="false">IF(COUNTIFS(응답입력!$AH$3:$HD$3,"L31",응답입력!$AH29:$HD29,"&lt;9")&gt;=3,SUMIFS(응답입력!$AH29:$HD29,응답입력!$AH$3:$HD$3,"L31",응답입력!$AH29:$HD29,"&lt;9")/COUNTIFS(응답입력!$AH$3:$HD$3,"L31",응답입력!$AH29:$HD29,"&lt;9"),"")</f>
        <v/>
      </c>
      <c r="AG28" s="41" t="str">
        <f aca="false">IFERROR(AVERAGE(B28:AF28),"")</f>
        <v/>
      </c>
    </row>
    <row r="29" customFormat="false" ht="15" hidden="false" customHeight="false" outlineLevel="0" collapsed="false">
      <c r="A29" s="27" t="str">
        <f aca="false">IF(응답입력!A30="","",응답입력!A30)</f>
        <v/>
      </c>
      <c r="B29" s="35" t="str">
        <f aca="false">IF(COUNTIFS(응답입력!$AH$3:$HD$3,"L01",응답입력!$AH30:$HD30,"&lt;9")&gt;=3,SUMIFS(응답입력!$AH30:$HD30,응답입력!$AH$3:$HD$3,"L01",응답입력!$AH30:$HD30,"&lt;9")/COUNTIFS(응답입력!$AH$3:$HD$3,"L01",응답입력!$AH30:$HD30,"&lt;9"),"")</f>
        <v/>
      </c>
      <c r="C29" s="35" t="str">
        <f aca="false">IF(COUNTIFS(응답입력!$AH$3:$HD$3,"L02",응답입력!$AH30:$HD30,"&lt;9")&gt;=3,SUMIFS(응답입력!$AH30:$HD30,응답입력!$AH$3:$HD$3,"L02",응답입력!$AH30:$HD30,"&lt;9")/COUNTIFS(응답입력!$AH$3:$HD$3,"L02",응답입력!$AH30:$HD30,"&lt;9"),"")</f>
        <v/>
      </c>
      <c r="D29" s="35" t="str">
        <f aca="false">IF(COUNTIFS(응답입력!$AH$3:$HD$3,"L03",응답입력!$AH30:$HD30,"&lt;9")&gt;=3,SUMIFS(응답입력!$AH30:$HD30,응답입력!$AH$3:$HD$3,"L03",응답입력!$AH30:$HD30,"&lt;9")/COUNTIFS(응답입력!$AH$3:$HD$3,"L03",응답입력!$AH30:$HD30,"&lt;9"),"")</f>
        <v/>
      </c>
      <c r="E29" s="35" t="str">
        <f aca="false">IF(COUNTIFS(응답입력!$AH$3:$HD$3,"L04",응답입력!$AH30:$HD30,"&lt;9")&gt;=3,SUMIFS(응답입력!$AH30:$HD30,응답입력!$AH$3:$HD$3,"L04",응답입력!$AH30:$HD30,"&lt;9")/COUNTIFS(응답입력!$AH$3:$HD$3,"L04",응답입력!$AH30:$HD30,"&lt;9"),"")</f>
        <v/>
      </c>
      <c r="F29" s="35" t="str">
        <f aca="false">IF(COUNTIFS(응답입력!$AH$3:$HD$3,"L05",응답입력!$AH30:$HD30,"&lt;9")&gt;=3,SUMIFS(응답입력!$AH30:$HD30,응답입력!$AH$3:$HD$3,"L05",응답입력!$AH30:$HD30,"&lt;9")/COUNTIFS(응답입력!$AH$3:$HD$3,"L05",응답입력!$AH30:$HD30,"&lt;9"),"")</f>
        <v/>
      </c>
      <c r="G29" s="35" t="str">
        <f aca="false">IF(COUNTIFS(응답입력!$AH$3:$HD$3,"L06",응답입력!$AH30:$HD30,"&lt;9")&gt;=3,SUMIFS(응답입력!$AH30:$HD30,응답입력!$AH$3:$HD$3,"L06",응답입력!$AH30:$HD30,"&lt;9")/COUNTIFS(응답입력!$AH$3:$HD$3,"L06",응답입력!$AH30:$HD30,"&lt;9"),"")</f>
        <v/>
      </c>
      <c r="H29" s="35" t="str">
        <f aca="false">IF(COUNTIFS(응답입력!$AH$3:$HD$3,"L07",응답입력!$AH30:$HD30,"&lt;9")&gt;=3,SUMIFS(응답입력!$AH30:$HD30,응답입력!$AH$3:$HD$3,"L07",응답입력!$AH30:$HD30,"&lt;9")/COUNTIFS(응답입력!$AH$3:$HD$3,"L07",응답입력!$AH30:$HD30,"&lt;9"),"")</f>
        <v/>
      </c>
      <c r="I29" s="35" t="str">
        <f aca="false">IF(COUNTIFS(응답입력!$AH$3:$HD$3,"L08",응답입력!$AH30:$HD30,"&lt;9")&gt;=3,SUMIFS(응답입력!$AH30:$HD30,응답입력!$AH$3:$HD$3,"L08",응답입력!$AH30:$HD30,"&lt;9")/COUNTIFS(응답입력!$AH$3:$HD$3,"L08",응답입력!$AH30:$HD30,"&lt;9"),"")</f>
        <v/>
      </c>
      <c r="J29" s="35" t="str">
        <f aca="false">IF(COUNTIFS(응답입력!$AH$3:$HD$3,"L09",응답입력!$AH30:$HD30,"&lt;9")&gt;=3,SUMIFS(응답입력!$AH30:$HD30,응답입력!$AH$3:$HD$3,"L09",응답입력!$AH30:$HD30,"&lt;9")/COUNTIFS(응답입력!$AH$3:$HD$3,"L09",응답입력!$AH30:$HD30,"&lt;9"),"")</f>
        <v/>
      </c>
      <c r="K29" s="35" t="str">
        <f aca="false">IF(COUNTIFS(응답입력!$AH$3:$HD$3,"L10",응답입력!$AH30:$HD30,"&lt;9")&gt;=3,SUMIFS(응답입력!$AH30:$HD30,응답입력!$AH$3:$HD$3,"L10",응답입력!$AH30:$HD30,"&lt;9")/COUNTIFS(응답입력!$AH$3:$HD$3,"L10",응답입력!$AH30:$HD30,"&lt;9"),"")</f>
        <v/>
      </c>
      <c r="L29" s="35" t="str">
        <f aca="false">IF(COUNTIFS(응답입력!$AH$3:$HD$3,"L11",응답입력!$AH30:$HD30,"&lt;9")&gt;=3,SUMIFS(응답입력!$AH30:$HD30,응답입력!$AH$3:$HD$3,"L11",응답입력!$AH30:$HD30,"&lt;9")/COUNTIFS(응답입력!$AH$3:$HD$3,"L11",응답입력!$AH30:$HD30,"&lt;9"),"")</f>
        <v/>
      </c>
      <c r="M29" s="35" t="str">
        <f aca="false">IF(COUNTIFS(응답입력!$AH$3:$HD$3,"L12",응답입력!$AH30:$HD30,"&lt;9")&gt;=3,SUMIFS(응답입력!$AH30:$HD30,응답입력!$AH$3:$HD$3,"L12",응답입력!$AH30:$HD30,"&lt;9")/COUNTIFS(응답입력!$AH$3:$HD$3,"L12",응답입력!$AH30:$HD30,"&lt;9"),"")</f>
        <v/>
      </c>
      <c r="N29" s="35" t="str">
        <f aca="false">IF(COUNTIFS(응답입력!$AH$3:$HD$3,"L13",응답입력!$AH30:$HD30,"&lt;9")&gt;=3,SUMIFS(응답입력!$AH30:$HD30,응답입력!$AH$3:$HD$3,"L13",응답입력!$AH30:$HD30,"&lt;9")/COUNTIFS(응답입력!$AH$3:$HD$3,"L13",응답입력!$AH30:$HD30,"&lt;9"),"")</f>
        <v/>
      </c>
      <c r="O29" s="35" t="str">
        <f aca="false">IF(COUNTIFS(응답입력!$AH$3:$HD$3,"L14",응답입력!$AH30:$HD30,"&lt;9")&gt;=3,SUMIFS(응답입력!$AH30:$HD30,응답입력!$AH$3:$HD$3,"L14",응답입력!$AH30:$HD30,"&lt;9")/COUNTIFS(응답입력!$AH$3:$HD$3,"L14",응답입력!$AH30:$HD30,"&lt;9"),"")</f>
        <v/>
      </c>
      <c r="P29" s="35" t="str">
        <f aca="false">IF(COUNTIFS(응답입력!$AH$3:$HD$3,"L15",응답입력!$AH30:$HD30,"&lt;9")&gt;=3,SUMIFS(응답입력!$AH30:$HD30,응답입력!$AH$3:$HD$3,"L15",응답입력!$AH30:$HD30,"&lt;9")/COUNTIFS(응답입력!$AH$3:$HD$3,"L15",응답입력!$AH30:$HD30,"&lt;9"),"")</f>
        <v/>
      </c>
      <c r="Q29" s="35" t="str">
        <f aca="false">IF(COUNTIFS(응답입력!$AH$3:$HD$3,"L16",응답입력!$AH30:$HD30,"&lt;9")&gt;=3,SUMIFS(응답입력!$AH30:$HD30,응답입력!$AH$3:$HD$3,"L16",응답입력!$AH30:$HD30,"&lt;9")/COUNTIFS(응답입력!$AH$3:$HD$3,"L16",응답입력!$AH30:$HD30,"&lt;9"),"")</f>
        <v/>
      </c>
      <c r="R29" s="35" t="str">
        <f aca="false">IF(COUNTIFS(응답입력!$AH$3:$HD$3,"L17",응답입력!$AH30:$HD30,"&lt;9")&gt;=3,SUMIFS(응답입력!$AH30:$HD30,응답입력!$AH$3:$HD$3,"L17",응답입력!$AH30:$HD30,"&lt;9")/COUNTIFS(응답입력!$AH$3:$HD$3,"L17",응답입력!$AH30:$HD30,"&lt;9"),"")</f>
        <v/>
      </c>
      <c r="S29" s="35" t="str">
        <f aca="false">IF(COUNTIFS(응답입력!$AH$3:$HD$3,"L18",응답입력!$AH30:$HD30,"&lt;9")&gt;=3,SUMIFS(응답입력!$AH30:$HD30,응답입력!$AH$3:$HD$3,"L18",응답입력!$AH30:$HD30,"&lt;9")/COUNTIFS(응답입력!$AH$3:$HD$3,"L18",응답입력!$AH30:$HD30,"&lt;9"),"")</f>
        <v/>
      </c>
      <c r="T29" s="35" t="str">
        <f aca="false">IF(COUNTIFS(응답입력!$AH$3:$HD$3,"L19",응답입력!$AH30:$HD30,"&lt;9")&gt;=3,SUMIFS(응답입력!$AH30:$HD30,응답입력!$AH$3:$HD$3,"L19",응답입력!$AH30:$HD30,"&lt;9")/COUNTIFS(응답입력!$AH$3:$HD$3,"L19",응답입력!$AH30:$HD30,"&lt;9"),"")</f>
        <v/>
      </c>
      <c r="U29" s="35" t="str">
        <f aca="false">IF(COUNTIFS(응답입력!$AH$3:$HD$3,"L20",응답입력!$AH30:$HD30,"&lt;9")&gt;=3,SUMIFS(응답입력!$AH30:$HD30,응답입력!$AH$3:$HD$3,"L20",응답입력!$AH30:$HD30,"&lt;9")/COUNTIFS(응답입력!$AH$3:$HD$3,"L20",응답입력!$AH30:$HD30,"&lt;9"),"")</f>
        <v/>
      </c>
      <c r="V29" s="35" t="str">
        <f aca="false">IF(COUNTIFS(응답입력!$AH$3:$HD$3,"L21",응답입력!$AH30:$HD30,"&lt;9")&gt;=3,SUMIFS(응답입력!$AH30:$HD30,응답입력!$AH$3:$HD$3,"L21",응답입력!$AH30:$HD30,"&lt;9")/COUNTIFS(응답입력!$AH$3:$HD$3,"L21",응답입력!$AH30:$HD30,"&lt;9"),"")</f>
        <v/>
      </c>
      <c r="W29" s="35" t="str">
        <f aca="false">IF(COUNTIFS(응답입력!$AH$3:$HD$3,"L22",응답입력!$AH30:$HD30,"&lt;9")&gt;=3,SUMIFS(응답입력!$AH30:$HD30,응답입력!$AH$3:$HD$3,"L22",응답입력!$AH30:$HD30,"&lt;9")/COUNTIFS(응답입력!$AH$3:$HD$3,"L22",응답입력!$AH30:$HD30,"&lt;9"),"")</f>
        <v/>
      </c>
      <c r="X29" s="35" t="str">
        <f aca="false">IF(COUNTIFS(응답입력!$AH$3:$HD$3,"L23",응답입력!$AH30:$HD30,"&lt;9")&gt;=3,SUMIFS(응답입력!$AH30:$HD30,응답입력!$AH$3:$HD$3,"L23",응답입력!$AH30:$HD30,"&lt;9")/COUNTIFS(응답입력!$AH$3:$HD$3,"L23",응답입력!$AH30:$HD30,"&lt;9"),"")</f>
        <v/>
      </c>
      <c r="Y29" s="35" t="str">
        <f aca="false">IF(COUNTIFS(응답입력!$AH$3:$HD$3,"L24",응답입력!$AH30:$HD30,"&lt;9")&gt;=3,SUMIFS(응답입력!$AH30:$HD30,응답입력!$AH$3:$HD$3,"L24",응답입력!$AH30:$HD30,"&lt;9")/COUNTIFS(응답입력!$AH$3:$HD$3,"L24",응답입력!$AH30:$HD30,"&lt;9"),"")</f>
        <v/>
      </c>
      <c r="Z29" s="35" t="str">
        <f aca="false">IF(COUNTIFS(응답입력!$AH$3:$HD$3,"L25",응답입력!$AH30:$HD30,"&lt;9")&gt;=3,SUMIFS(응답입력!$AH30:$HD30,응답입력!$AH$3:$HD$3,"L25",응답입력!$AH30:$HD30,"&lt;9")/COUNTIFS(응답입력!$AH$3:$HD$3,"L25",응답입력!$AH30:$HD30,"&lt;9"),"")</f>
        <v/>
      </c>
      <c r="AA29" s="35" t="str">
        <f aca="false">IF(COUNTIFS(응답입력!$AH$3:$HD$3,"L26",응답입력!$AH30:$HD30,"&lt;9")&gt;=3,SUMIFS(응답입력!$AH30:$HD30,응답입력!$AH$3:$HD$3,"L26",응답입력!$AH30:$HD30,"&lt;9")/COUNTIFS(응답입력!$AH$3:$HD$3,"L26",응답입력!$AH30:$HD30,"&lt;9"),"")</f>
        <v/>
      </c>
      <c r="AB29" s="35" t="str">
        <f aca="false">IF(COUNTIFS(응답입력!$AH$3:$HD$3,"L27",응답입력!$AH30:$HD30,"&lt;9")&gt;=3,SUMIFS(응답입력!$AH30:$HD30,응답입력!$AH$3:$HD$3,"L27",응답입력!$AH30:$HD30,"&lt;9")/COUNTIFS(응답입력!$AH$3:$HD$3,"L27",응답입력!$AH30:$HD30,"&lt;9"),"")</f>
        <v/>
      </c>
      <c r="AC29" s="35" t="str">
        <f aca="false">IF(COUNTIFS(응답입력!$AH$3:$HD$3,"L28",응답입력!$AH30:$HD30,"&lt;9")&gt;=3,SUMIFS(응답입력!$AH30:$HD30,응답입력!$AH$3:$HD$3,"L28",응답입력!$AH30:$HD30,"&lt;9")/COUNTIFS(응답입력!$AH$3:$HD$3,"L28",응답입력!$AH30:$HD30,"&lt;9"),"")</f>
        <v/>
      </c>
      <c r="AD29" s="35" t="str">
        <f aca="false">IF(COUNTIFS(응답입력!$AH$3:$HD$3,"L29",응답입력!$AH30:$HD30,"&lt;9")&gt;=3,SUMIFS(응답입력!$AH30:$HD30,응답입력!$AH$3:$HD$3,"L29",응답입력!$AH30:$HD30,"&lt;9")/COUNTIFS(응답입력!$AH$3:$HD$3,"L29",응답입력!$AH30:$HD30,"&lt;9"),"")</f>
        <v/>
      </c>
      <c r="AE29" s="35" t="str">
        <f aca="false">IF(COUNTIFS(응답입력!$AH$3:$HD$3,"L30",응답입력!$AH30:$HD30,"&lt;9")&gt;=3,SUMIFS(응답입력!$AH30:$HD30,응답입력!$AH$3:$HD$3,"L30",응답입력!$AH30:$HD30,"&lt;9")/COUNTIFS(응답입력!$AH$3:$HD$3,"L30",응답입력!$AH30:$HD30,"&lt;9"),"")</f>
        <v/>
      </c>
      <c r="AF29" s="35" t="str">
        <f aca="false">IF(COUNTIFS(응답입력!$AH$3:$HD$3,"L31",응답입력!$AH30:$HD30,"&lt;9")&gt;=3,SUMIFS(응답입력!$AH30:$HD30,응답입력!$AH$3:$HD$3,"L31",응답입력!$AH30:$HD30,"&lt;9")/COUNTIFS(응답입력!$AH$3:$HD$3,"L31",응답입력!$AH30:$HD30,"&lt;9"),"")</f>
        <v/>
      </c>
      <c r="AG29" s="41" t="str">
        <f aca="false">IFERROR(AVERAGE(B29:AF29),"")</f>
        <v/>
      </c>
    </row>
    <row r="30" customFormat="false" ht="15" hidden="false" customHeight="false" outlineLevel="0" collapsed="false">
      <c r="A30" s="27" t="str">
        <f aca="false">IF(응답입력!A31="","",응답입력!A31)</f>
        <v/>
      </c>
      <c r="B30" s="35" t="str">
        <f aca="false">IF(COUNTIFS(응답입력!$AH$3:$HD$3,"L01",응답입력!$AH31:$HD31,"&lt;9")&gt;=3,SUMIFS(응답입력!$AH31:$HD31,응답입력!$AH$3:$HD$3,"L01",응답입력!$AH31:$HD31,"&lt;9")/COUNTIFS(응답입력!$AH$3:$HD$3,"L01",응답입력!$AH31:$HD31,"&lt;9"),"")</f>
        <v/>
      </c>
      <c r="C30" s="35" t="str">
        <f aca="false">IF(COUNTIFS(응답입력!$AH$3:$HD$3,"L02",응답입력!$AH31:$HD31,"&lt;9")&gt;=3,SUMIFS(응답입력!$AH31:$HD31,응답입력!$AH$3:$HD$3,"L02",응답입력!$AH31:$HD31,"&lt;9")/COUNTIFS(응답입력!$AH$3:$HD$3,"L02",응답입력!$AH31:$HD31,"&lt;9"),"")</f>
        <v/>
      </c>
      <c r="D30" s="35" t="str">
        <f aca="false">IF(COUNTIFS(응답입력!$AH$3:$HD$3,"L03",응답입력!$AH31:$HD31,"&lt;9")&gt;=3,SUMIFS(응답입력!$AH31:$HD31,응답입력!$AH$3:$HD$3,"L03",응답입력!$AH31:$HD31,"&lt;9")/COUNTIFS(응답입력!$AH$3:$HD$3,"L03",응답입력!$AH31:$HD31,"&lt;9"),"")</f>
        <v/>
      </c>
      <c r="E30" s="35" t="str">
        <f aca="false">IF(COUNTIFS(응답입력!$AH$3:$HD$3,"L04",응답입력!$AH31:$HD31,"&lt;9")&gt;=3,SUMIFS(응답입력!$AH31:$HD31,응답입력!$AH$3:$HD$3,"L04",응답입력!$AH31:$HD31,"&lt;9")/COUNTIFS(응답입력!$AH$3:$HD$3,"L04",응답입력!$AH31:$HD31,"&lt;9"),"")</f>
        <v/>
      </c>
      <c r="F30" s="35" t="str">
        <f aca="false">IF(COUNTIFS(응답입력!$AH$3:$HD$3,"L05",응답입력!$AH31:$HD31,"&lt;9")&gt;=3,SUMIFS(응답입력!$AH31:$HD31,응답입력!$AH$3:$HD$3,"L05",응답입력!$AH31:$HD31,"&lt;9")/COUNTIFS(응답입력!$AH$3:$HD$3,"L05",응답입력!$AH31:$HD31,"&lt;9"),"")</f>
        <v/>
      </c>
      <c r="G30" s="35" t="str">
        <f aca="false">IF(COUNTIFS(응답입력!$AH$3:$HD$3,"L06",응답입력!$AH31:$HD31,"&lt;9")&gt;=3,SUMIFS(응답입력!$AH31:$HD31,응답입력!$AH$3:$HD$3,"L06",응답입력!$AH31:$HD31,"&lt;9")/COUNTIFS(응답입력!$AH$3:$HD$3,"L06",응답입력!$AH31:$HD31,"&lt;9"),"")</f>
        <v/>
      </c>
      <c r="H30" s="35" t="str">
        <f aca="false">IF(COUNTIFS(응답입력!$AH$3:$HD$3,"L07",응답입력!$AH31:$HD31,"&lt;9")&gt;=3,SUMIFS(응답입력!$AH31:$HD31,응답입력!$AH$3:$HD$3,"L07",응답입력!$AH31:$HD31,"&lt;9")/COUNTIFS(응답입력!$AH$3:$HD$3,"L07",응답입력!$AH31:$HD31,"&lt;9"),"")</f>
        <v/>
      </c>
      <c r="I30" s="35" t="str">
        <f aca="false">IF(COUNTIFS(응답입력!$AH$3:$HD$3,"L08",응답입력!$AH31:$HD31,"&lt;9")&gt;=3,SUMIFS(응답입력!$AH31:$HD31,응답입력!$AH$3:$HD$3,"L08",응답입력!$AH31:$HD31,"&lt;9")/COUNTIFS(응답입력!$AH$3:$HD$3,"L08",응답입력!$AH31:$HD31,"&lt;9"),"")</f>
        <v/>
      </c>
      <c r="J30" s="35" t="str">
        <f aca="false">IF(COUNTIFS(응답입력!$AH$3:$HD$3,"L09",응답입력!$AH31:$HD31,"&lt;9")&gt;=3,SUMIFS(응답입력!$AH31:$HD31,응답입력!$AH$3:$HD$3,"L09",응답입력!$AH31:$HD31,"&lt;9")/COUNTIFS(응답입력!$AH$3:$HD$3,"L09",응답입력!$AH31:$HD31,"&lt;9"),"")</f>
        <v/>
      </c>
      <c r="K30" s="35" t="str">
        <f aca="false">IF(COUNTIFS(응답입력!$AH$3:$HD$3,"L10",응답입력!$AH31:$HD31,"&lt;9")&gt;=3,SUMIFS(응답입력!$AH31:$HD31,응답입력!$AH$3:$HD$3,"L10",응답입력!$AH31:$HD31,"&lt;9")/COUNTIFS(응답입력!$AH$3:$HD$3,"L10",응답입력!$AH31:$HD31,"&lt;9"),"")</f>
        <v/>
      </c>
      <c r="L30" s="35" t="str">
        <f aca="false">IF(COUNTIFS(응답입력!$AH$3:$HD$3,"L11",응답입력!$AH31:$HD31,"&lt;9")&gt;=3,SUMIFS(응답입력!$AH31:$HD31,응답입력!$AH$3:$HD$3,"L11",응답입력!$AH31:$HD31,"&lt;9")/COUNTIFS(응답입력!$AH$3:$HD$3,"L11",응답입력!$AH31:$HD31,"&lt;9"),"")</f>
        <v/>
      </c>
      <c r="M30" s="35" t="str">
        <f aca="false">IF(COUNTIFS(응답입력!$AH$3:$HD$3,"L12",응답입력!$AH31:$HD31,"&lt;9")&gt;=3,SUMIFS(응답입력!$AH31:$HD31,응답입력!$AH$3:$HD$3,"L12",응답입력!$AH31:$HD31,"&lt;9")/COUNTIFS(응답입력!$AH$3:$HD$3,"L12",응답입력!$AH31:$HD31,"&lt;9"),"")</f>
        <v/>
      </c>
      <c r="N30" s="35" t="str">
        <f aca="false">IF(COUNTIFS(응답입력!$AH$3:$HD$3,"L13",응답입력!$AH31:$HD31,"&lt;9")&gt;=3,SUMIFS(응답입력!$AH31:$HD31,응답입력!$AH$3:$HD$3,"L13",응답입력!$AH31:$HD31,"&lt;9")/COUNTIFS(응답입력!$AH$3:$HD$3,"L13",응답입력!$AH31:$HD31,"&lt;9"),"")</f>
        <v/>
      </c>
      <c r="O30" s="35" t="str">
        <f aca="false">IF(COUNTIFS(응답입력!$AH$3:$HD$3,"L14",응답입력!$AH31:$HD31,"&lt;9")&gt;=3,SUMIFS(응답입력!$AH31:$HD31,응답입력!$AH$3:$HD$3,"L14",응답입력!$AH31:$HD31,"&lt;9")/COUNTIFS(응답입력!$AH$3:$HD$3,"L14",응답입력!$AH31:$HD31,"&lt;9"),"")</f>
        <v/>
      </c>
      <c r="P30" s="35" t="str">
        <f aca="false">IF(COUNTIFS(응답입력!$AH$3:$HD$3,"L15",응답입력!$AH31:$HD31,"&lt;9")&gt;=3,SUMIFS(응답입력!$AH31:$HD31,응답입력!$AH$3:$HD$3,"L15",응답입력!$AH31:$HD31,"&lt;9")/COUNTIFS(응답입력!$AH$3:$HD$3,"L15",응답입력!$AH31:$HD31,"&lt;9"),"")</f>
        <v/>
      </c>
      <c r="Q30" s="35" t="str">
        <f aca="false">IF(COUNTIFS(응답입력!$AH$3:$HD$3,"L16",응답입력!$AH31:$HD31,"&lt;9")&gt;=3,SUMIFS(응답입력!$AH31:$HD31,응답입력!$AH$3:$HD$3,"L16",응답입력!$AH31:$HD31,"&lt;9")/COUNTIFS(응답입력!$AH$3:$HD$3,"L16",응답입력!$AH31:$HD31,"&lt;9"),"")</f>
        <v/>
      </c>
      <c r="R30" s="35" t="str">
        <f aca="false">IF(COUNTIFS(응답입력!$AH$3:$HD$3,"L17",응답입력!$AH31:$HD31,"&lt;9")&gt;=3,SUMIFS(응답입력!$AH31:$HD31,응답입력!$AH$3:$HD$3,"L17",응답입력!$AH31:$HD31,"&lt;9")/COUNTIFS(응답입력!$AH$3:$HD$3,"L17",응답입력!$AH31:$HD31,"&lt;9"),"")</f>
        <v/>
      </c>
      <c r="S30" s="35" t="str">
        <f aca="false">IF(COUNTIFS(응답입력!$AH$3:$HD$3,"L18",응답입력!$AH31:$HD31,"&lt;9")&gt;=3,SUMIFS(응답입력!$AH31:$HD31,응답입력!$AH$3:$HD$3,"L18",응답입력!$AH31:$HD31,"&lt;9")/COUNTIFS(응답입력!$AH$3:$HD$3,"L18",응답입력!$AH31:$HD31,"&lt;9"),"")</f>
        <v/>
      </c>
      <c r="T30" s="35" t="str">
        <f aca="false">IF(COUNTIFS(응답입력!$AH$3:$HD$3,"L19",응답입력!$AH31:$HD31,"&lt;9")&gt;=3,SUMIFS(응답입력!$AH31:$HD31,응답입력!$AH$3:$HD$3,"L19",응답입력!$AH31:$HD31,"&lt;9")/COUNTIFS(응답입력!$AH$3:$HD$3,"L19",응답입력!$AH31:$HD31,"&lt;9"),"")</f>
        <v/>
      </c>
      <c r="U30" s="35" t="str">
        <f aca="false">IF(COUNTIFS(응답입력!$AH$3:$HD$3,"L20",응답입력!$AH31:$HD31,"&lt;9")&gt;=3,SUMIFS(응답입력!$AH31:$HD31,응답입력!$AH$3:$HD$3,"L20",응답입력!$AH31:$HD31,"&lt;9")/COUNTIFS(응답입력!$AH$3:$HD$3,"L20",응답입력!$AH31:$HD31,"&lt;9"),"")</f>
        <v/>
      </c>
      <c r="V30" s="35" t="str">
        <f aca="false">IF(COUNTIFS(응답입력!$AH$3:$HD$3,"L21",응답입력!$AH31:$HD31,"&lt;9")&gt;=3,SUMIFS(응답입력!$AH31:$HD31,응답입력!$AH$3:$HD$3,"L21",응답입력!$AH31:$HD31,"&lt;9")/COUNTIFS(응답입력!$AH$3:$HD$3,"L21",응답입력!$AH31:$HD31,"&lt;9"),"")</f>
        <v/>
      </c>
      <c r="W30" s="35" t="str">
        <f aca="false">IF(COUNTIFS(응답입력!$AH$3:$HD$3,"L22",응답입력!$AH31:$HD31,"&lt;9")&gt;=3,SUMIFS(응답입력!$AH31:$HD31,응답입력!$AH$3:$HD$3,"L22",응답입력!$AH31:$HD31,"&lt;9")/COUNTIFS(응답입력!$AH$3:$HD$3,"L22",응답입력!$AH31:$HD31,"&lt;9"),"")</f>
        <v/>
      </c>
      <c r="X30" s="35" t="str">
        <f aca="false">IF(COUNTIFS(응답입력!$AH$3:$HD$3,"L23",응답입력!$AH31:$HD31,"&lt;9")&gt;=3,SUMIFS(응답입력!$AH31:$HD31,응답입력!$AH$3:$HD$3,"L23",응답입력!$AH31:$HD31,"&lt;9")/COUNTIFS(응답입력!$AH$3:$HD$3,"L23",응답입력!$AH31:$HD31,"&lt;9"),"")</f>
        <v/>
      </c>
      <c r="Y30" s="35" t="str">
        <f aca="false">IF(COUNTIFS(응답입력!$AH$3:$HD$3,"L24",응답입력!$AH31:$HD31,"&lt;9")&gt;=3,SUMIFS(응답입력!$AH31:$HD31,응답입력!$AH$3:$HD$3,"L24",응답입력!$AH31:$HD31,"&lt;9")/COUNTIFS(응답입력!$AH$3:$HD$3,"L24",응답입력!$AH31:$HD31,"&lt;9"),"")</f>
        <v/>
      </c>
      <c r="Z30" s="35" t="str">
        <f aca="false">IF(COUNTIFS(응답입력!$AH$3:$HD$3,"L25",응답입력!$AH31:$HD31,"&lt;9")&gt;=3,SUMIFS(응답입력!$AH31:$HD31,응답입력!$AH$3:$HD$3,"L25",응답입력!$AH31:$HD31,"&lt;9")/COUNTIFS(응답입력!$AH$3:$HD$3,"L25",응답입력!$AH31:$HD31,"&lt;9"),"")</f>
        <v/>
      </c>
      <c r="AA30" s="35" t="str">
        <f aca="false">IF(COUNTIFS(응답입력!$AH$3:$HD$3,"L26",응답입력!$AH31:$HD31,"&lt;9")&gt;=3,SUMIFS(응답입력!$AH31:$HD31,응답입력!$AH$3:$HD$3,"L26",응답입력!$AH31:$HD31,"&lt;9")/COUNTIFS(응답입력!$AH$3:$HD$3,"L26",응답입력!$AH31:$HD31,"&lt;9"),"")</f>
        <v/>
      </c>
      <c r="AB30" s="35" t="str">
        <f aca="false">IF(COUNTIFS(응답입력!$AH$3:$HD$3,"L27",응답입력!$AH31:$HD31,"&lt;9")&gt;=3,SUMIFS(응답입력!$AH31:$HD31,응답입력!$AH$3:$HD$3,"L27",응답입력!$AH31:$HD31,"&lt;9")/COUNTIFS(응답입력!$AH$3:$HD$3,"L27",응답입력!$AH31:$HD31,"&lt;9"),"")</f>
        <v/>
      </c>
      <c r="AC30" s="35" t="str">
        <f aca="false">IF(COUNTIFS(응답입력!$AH$3:$HD$3,"L28",응답입력!$AH31:$HD31,"&lt;9")&gt;=3,SUMIFS(응답입력!$AH31:$HD31,응답입력!$AH$3:$HD$3,"L28",응답입력!$AH31:$HD31,"&lt;9")/COUNTIFS(응답입력!$AH$3:$HD$3,"L28",응답입력!$AH31:$HD31,"&lt;9"),"")</f>
        <v/>
      </c>
      <c r="AD30" s="35" t="str">
        <f aca="false">IF(COUNTIFS(응답입력!$AH$3:$HD$3,"L29",응답입력!$AH31:$HD31,"&lt;9")&gt;=3,SUMIFS(응답입력!$AH31:$HD31,응답입력!$AH$3:$HD$3,"L29",응답입력!$AH31:$HD31,"&lt;9")/COUNTIFS(응답입력!$AH$3:$HD$3,"L29",응답입력!$AH31:$HD31,"&lt;9"),"")</f>
        <v/>
      </c>
      <c r="AE30" s="35" t="str">
        <f aca="false">IF(COUNTIFS(응답입력!$AH$3:$HD$3,"L30",응답입력!$AH31:$HD31,"&lt;9")&gt;=3,SUMIFS(응답입력!$AH31:$HD31,응답입력!$AH$3:$HD$3,"L30",응답입력!$AH31:$HD31,"&lt;9")/COUNTIFS(응답입력!$AH$3:$HD$3,"L30",응답입력!$AH31:$HD31,"&lt;9"),"")</f>
        <v/>
      </c>
      <c r="AF30" s="35" t="str">
        <f aca="false">IF(COUNTIFS(응답입력!$AH$3:$HD$3,"L31",응답입력!$AH31:$HD31,"&lt;9")&gt;=3,SUMIFS(응답입력!$AH31:$HD31,응답입력!$AH$3:$HD$3,"L31",응답입력!$AH31:$HD31,"&lt;9")/COUNTIFS(응답입력!$AH$3:$HD$3,"L31",응답입력!$AH31:$HD31,"&lt;9"),"")</f>
        <v/>
      </c>
      <c r="AG30" s="41" t="str">
        <f aca="false">IFERROR(AVERAGE(B30:AF30),"")</f>
        <v/>
      </c>
    </row>
    <row r="31" customFormat="false" ht="15" hidden="false" customHeight="false" outlineLevel="0" collapsed="false">
      <c r="A31" s="27" t="str">
        <f aca="false">IF(응답입력!A32="","",응답입력!A32)</f>
        <v/>
      </c>
      <c r="B31" s="35" t="str">
        <f aca="false">IF(COUNTIFS(응답입력!$AH$3:$HD$3,"L01",응답입력!$AH32:$HD32,"&lt;9")&gt;=3,SUMIFS(응답입력!$AH32:$HD32,응답입력!$AH$3:$HD$3,"L01",응답입력!$AH32:$HD32,"&lt;9")/COUNTIFS(응답입력!$AH$3:$HD$3,"L01",응답입력!$AH32:$HD32,"&lt;9"),"")</f>
        <v/>
      </c>
      <c r="C31" s="35" t="str">
        <f aca="false">IF(COUNTIFS(응답입력!$AH$3:$HD$3,"L02",응답입력!$AH32:$HD32,"&lt;9")&gt;=3,SUMIFS(응답입력!$AH32:$HD32,응답입력!$AH$3:$HD$3,"L02",응답입력!$AH32:$HD32,"&lt;9")/COUNTIFS(응답입력!$AH$3:$HD$3,"L02",응답입력!$AH32:$HD32,"&lt;9"),"")</f>
        <v/>
      </c>
      <c r="D31" s="35" t="str">
        <f aca="false">IF(COUNTIFS(응답입력!$AH$3:$HD$3,"L03",응답입력!$AH32:$HD32,"&lt;9")&gt;=3,SUMIFS(응답입력!$AH32:$HD32,응답입력!$AH$3:$HD$3,"L03",응답입력!$AH32:$HD32,"&lt;9")/COUNTIFS(응답입력!$AH$3:$HD$3,"L03",응답입력!$AH32:$HD32,"&lt;9"),"")</f>
        <v/>
      </c>
      <c r="E31" s="35" t="str">
        <f aca="false">IF(COUNTIFS(응답입력!$AH$3:$HD$3,"L04",응답입력!$AH32:$HD32,"&lt;9")&gt;=3,SUMIFS(응답입력!$AH32:$HD32,응답입력!$AH$3:$HD$3,"L04",응답입력!$AH32:$HD32,"&lt;9")/COUNTIFS(응답입력!$AH$3:$HD$3,"L04",응답입력!$AH32:$HD32,"&lt;9"),"")</f>
        <v/>
      </c>
      <c r="F31" s="35" t="str">
        <f aca="false">IF(COUNTIFS(응답입력!$AH$3:$HD$3,"L05",응답입력!$AH32:$HD32,"&lt;9")&gt;=3,SUMIFS(응답입력!$AH32:$HD32,응답입력!$AH$3:$HD$3,"L05",응답입력!$AH32:$HD32,"&lt;9")/COUNTIFS(응답입력!$AH$3:$HD$3,"L05",응답입력!$AH32:$HD32,"&lt;9"),"")</f>
        <v/>
      </c>
      <c r="G31" s="35" t="str">
        <f aca="false">IF(COUNTIFS(응답입력!$AH$3:$HD$3,"L06",응답입력!$AH32:$HD32,"&lt;9")&gt;=3,SUMIFS(응답입력!$AH32:$HD32,응답입력!$AH$3:$HD$3,"L06",응답입력!$AH32:$HD32,"&lt;9")/COUNTIFS(응답입력!$AH$3:$HD$3,"L06",응답입력!$AH32:$HD32,"&lt;9"),"")</f>
        <v/>
      </c>
      <c r="H31" s="35" t="str">
        <f aca="false">IF(COUNTIFS(응답입력!$AH$3:$HD$3,"L07",응답입력!$AH32:$HD32,"&lt;9")&gt;=3,SUMIFS(응답입력!$AH32:$HD32,응답입력!$AH$3:$HD$3,"L07",응답입력!$AH32:$HD32,"&lt;9")/COUNTIFS(응답입력!$AH$3:$HD$3,"L07",응답입력!$AH32:$HD32,"&lt;9"),"")</f>
        <v/>
      </c>
      <c r="I31" s="35" t="str">
        <f aca="false">IF(COUNTIFS(응답입력!$AH$3:$HD$3,"L08",응답입력!$AH32:$HD32,"&lt;9")&gt;=3,SUMIFS(응답입력!$AH32:$HD32,응답입력!$AH$3:$HD$3,"L08",응답입력!$AH32:$HD32,"&lt;9")/COUNTIFS(응답입력!$AH$3:$HD$3,"L08",응답입력!$AH32:$HD32,"&lt;9"),"")</f>
        <v/>
      </c>
      <c r="J31" s="35" t="str">
        <f aca="false">IF(COUNTIFS(응답입력!$AH$3:$HD$3,"L09",응답입력!$AH32:$HD32,"&lt;9")&gt;=3,SUMIFS(응답입력!$AH32:$HD32,응답입력!$AH$3:$HD$3,"L09",응답입력!$AH32:$HD32,"&lt;9")/COUNTIFS(응답입력!$AH$3:$HD$3,"L09",응답입력!$AH32:$HD32,"&lt;9"),"")</f>
        <v/>
      </c>
      <c r="K31" s="35" t="str">
        <f aca="false">IF(COUNTIFS(응답입력!$AH$3:$HD$3,"L10",응답입력!$AH32:$HD32,"&lt;9")&gt;=3,SUMIFS(응답입력!$AH32:$HD32,응답입력!$AH$3:$HD$3,"L10",응답입력!$AH32:$HD32,"&lt;9")/COUNTIFS(응답입력!$AH$3:$HD$3,"L10",응답입력!$AH32:$HD32,"&lt;9"),"")</f>
        <v/>
      </c>
      <c r="L31" s="35" t="str">
        <f aca="false">IF(COUNTIFS(응답입력!$AH$3:$HD$3,"L11",응답입력!$AH32:$HD32,"&lt;9")&gt;=3,SUMIFS(응답입력!$AH32:$HD32,응답입력!$AH$3:$HD$3,"L11",응답입력!$AH32:$HD32,"&lt;9")/COUNTIFS(응답입력!$AH$3:$HD$3,"L11",응답입력!$AH32:$HD32,"&lt;9"),"")</f>
        <v/>
      </c>
      <c r="M31" s="35" t="str">
        <f aca="false">IF(COUNTIFS(응답입력!$AH$3:$HD$3,"L12",응답입력!$AH32:$HD32,"&lt;9")&gt;=3,SUMIFS(응답입력!$AH32:$HD32,응답입력!$AH$3:$HD$3,"L12",응답입력!$AH32:$HD32,"&lt;9")/COUNTIFS(응답입력!$AH$3:$HD$3,"L12",응답입력!$AH32:$HD32,"&lt;9"),"")</f>
        <v/>
      </c>
      <c r="N31" s="35" t="str">
        <f aca="false">IF(COUNTIFS(응답입력!$AH$3:$HD$3,"L13",응답입력!$AH32:$HD32,"&lt;9")&gt;=3,SUMIFS(응답입력!$AH32:$HD32,응답입력!$AH$3:$HD$3,"L13",응답입력!$AH32:$HD32,"&lt;9")/COUNTIFS(응답입력!$AH$3:$HD$3,"L13",응답입력!$AH32:$HD32,"&lt;9"),"")</f>
        <v/>
      </c>
      <c r="O31" s="35" t="str">
        <f aca="false">IF(COUNTIFS(응답입력!$AH$3:$HD$3,"L14",응답입력!$AH32:$HD32,"&lt;9")&gt;=3,SUMIFS(응답입력!$AH32:$HD32,응답입력!$AH$3:$HD$3,"L14",응답입력!$AH32:$HD32,"&lt;9")/COUNTIFS(응답입력!$AH$3:$HD$3,"L14",응답입력!$AH32:$HD32,"&lt;9"),"")</f>
        <v/>
      </c>
      <c r="P31" s="35" t="str">
        <f aca="false">IF(COUNTIFS(응답입력!$AH$3:$HD$3,"L15",응답입력!$AH32:$HD32,"&lt;9")&gt;=3,SUMIFS(응답입력!$AH32:$HD32,응답입력!$AH$3:$HD$3,"L15",응답입력!$AH32:$HD32,"&lt;9")/COUNTIFS(응답입력!$AH$3:$HD$3,"L15",응답입력!$AH32:$HD32,"&lt;9"),"")</f>
        <v/>
      </c>
      <c r="Q31" s="35" t="str">
        <f aca="false">IF(COUNTIFS(응답입력!$AH$3:$HD$3,"L16",응답입력!$AH32:$HD32,"&lt;9")&gt;=3,SUMIFS(응답입력!$AH32:$HD32,응답입력!$AH$3:$HD$3,"L16",응답입력!$AH32:$HD32,"&lt;9")/COUNTIFS(응답입력!$AH$3:$HD$3,"L16",응답입력!$AH32:$HD32,"&lt;9"),"")</f>
        <v/>
      </c>
      <c r="R31" s="35" t="str">
        <f aca="false">IF(COUNTIFS(응답입력!$AH$3:$HD$3,"L17",응답입력!$AH32:$HD32,"&lt;9")&gt;=3,SUMIFS(응답입력!$AH32:$HD32,응답입력!$AH$3:$HD$3,"L17",응답입력!$AH32:$HD32,"&lt;9")/COUNTIFS(응답입력!$AH$3:$HD$3,"L17",응답입력!$AH32:$HD32,"&lt;9"),"")</f>
        <v/>
      </c>
      <c r="S31" s="35" t="str">
        <f aca="false">IF(COUNTIFS(응답입력!$AH$3:$HD$3,"L18",응답입력!$AH32:$HD32,"&lt;9")&gt;=3,SUMIFS(응답입력!$AH32:$HD32,응답입력!$AH$3:$HD$3,"L18",응답입력!$AH32:$HD32,"&lt;9")/COUNTIFS(응답입력!$AH$3:$HD$3,"L18",응답입력!$AH32:$HD32,"&lt;9"),"")</f>
        <v/>
      </c>
      <c r="T31" s="35" t="str">
        <f aca="false">IF(COUNTIFS(응답입력!$AH$3:$HD$3,"L19",응답입력!$AH32:$HD32,"&lt;9")&gt;=3,SUMIFS(응답입력!$AH32:$HD32,응답입력!$AH$3:$HD$3,"L19",응답입력!$AH32:$HD32,"&lt;9")/COUNTIFS(응답입력!$AH$3:$HD$3,"L19",응답입력!$AH32:$HD32,"&lt;9"),"")</f>
        <v/>
      </c>
      <c r="U31" s="35" t="str">
        <f aca="false">IF(COUNTIFS(응답입력!$AH$3:$HD$3,"L20",응답입력!$AH32:$HD32,"&lt;9")&gt;=3,SUMIFS(응답입력!$AH32:$HD32,응답입력!$AH$3:$HD$3,"L20",응답입력!$AH32:$HD32,"&lt;9")/COUNTIFS(응답입력!$AH$3:$HD$3,"L20",응답입력!$AH32:$HD32,"&lt;9"),"")</f>
        <v/>
      </c>
      <c r="V31" s="35" t="str">
        <f aca="false">IF(COUNTIFS(응답입력!$AH$3:$HD$3,"L21",응답입력!$AH32:$HD32,"&lt;9")&gt;=3,SUMIFS(응답입력!$AH32:$HD32,응답입력!$AH$3:$HD$3,"L21",응답입력!$AH32:$HD32,"&lt;9")/COUNTIFS(응답입력!$AH$3:$HD$3,"L21",응답입력!$AH32:$HD32,"&lt;9"),"")</f>
        <v/>
      </c>
      <c r="W31" s="35" t="str">
        <f aca="false">IF(COUNTIFS(응답입력!$AH$3:$HD$3,"L22",응답입력!$AH32:$HD32,"&lt;9")&gt;=3,SUMIFS(응답입력!$AH32:$HD32,응답입력!$AH$3:$HD$3,"L22",응답입력!$AH32:$HD32,"&lt;9")/COUNTIFS(응답입력!$AH$3:$HD$3,"L22",응답입력!$AH32:$HD32,"&lt;9"),"")</f>
        <v/>
      </c>
      <c r="X31" s="35" t="str">
        <f aca="false">IF(COUNTIFS(응답입력!$AH$3:$HD$3,"L23",응답입력!$AH32:$HD32,"&lt;9")&gt;=3,SUMIFS(응답입력!$AH32:$HD32,응답입력!$AH$3:$HD$3,"L23",응답입력!$AH32:$HD32,"&lt;9")/COUNTIFS(응답입력!$AH$3:$HD$3,"L23",응답입력!$AH32:$HD32,"&lt;9"),"")</f>
        <v/>
      </c>
      <c r="Y31" s="35" t="str">
        <f aca="false">IF(COUNTIFS(응답입력!$AH$3:$HD$3,"L24",응답입력!$AH32:$HD32,"&lt;9")&gt;=3,SUMIFS(응답입력!$AH32:$HD32,응답입력!$AH$3:$HD$3,"L24",응답입력!$AH32:$HD32,"&lt;9")/COUNTIFS(응답입력!$AH$3:$HD$3,"L24",응답입력!$AH32:$HD32,"&lt;9"),"")</f>
        <v/>
      </c>
      <c r="Z31" s="35" t="str">
        <f aca="false">IF(COUNTIFS(응답입력!$AH$3:$HD$3,"L25",응답입력!$AH32:$HD32,"&lt;9")&gt;=3,SUMIFS(응답입력!$AH32:$HD32,응답입력!$AH$3:$HD$3,"L25",응답입력!$AH32:$HD32,"&lt;9")/COUNTIFS(응답입력!$AH$3:$HD$3,"L25",응답입력!$AH32:$HD32,"&lt;9"),"")</f>
        <v/>
      </c>
      <c r="AA31" s="35" t="str">
        <f aca="false">IF(COUNTIFS(응답입력!$AH$3:$HD$3,"L26",응답입력!$AH32:$HD32,"&lt;9")&gt;=3,SUMIFS(응답입력!$AH32:$HD32,응답입력!$AH$3:$HD$3,"L26",응답입력!$AH32:$HD32,"&lt;9")/COUNTIFS(응답입력!$AH$3:$HD$3,"L26",응답입력!$AH32:$HD32,"&lt;9"),"")</f>
        <v/>
      </c>
      <c r="AB31" s="35" t="str">
        <f aca="false">IF(COUNTIFS(응답입력!$AH$3:$HD$3,"L27",응답입력!$AH32:$HD32,"&lt;9")&gt;=3,SUMIFS(응답입력!$AH32:$HD32,응답입력!$AH$3:$HD$3,"L27",응답입력!$AH32:$HD32,"&lt;9")/COUNTIFS(응답입력!$AH$3:$HD$3,"L27",응답입력!$AH32:$HD32,"&lt;9"),"")</f>
        <v/>
      </c>
      <c r="AC31" s="35" t="str">
        <f aca="false">IF(COUNTIFS(응답입력!$AH$3:$HD$3,"L28",응답입력!$AH32:$HD32,"&lt;9")&gt;=3,SUMIFS(응답입력!$AH32:$HD32,응답입력!$AH$3:$HD$3,"L28",응답입력!$AH32:$HD32,"&lt;9")/COUNTIFS(응답입력!$AH$3:$HD$3,"L28",응답입력!$AH32:$HD32,"&lt;9"),"")</f>
        <v/>
      </c>
      <c r="AD31" s="35" t="str">
        <f aca="false">IF(COUNTIFS(응답입력!$AH$3:$HD$3,"L29",응답입력!$AH32:$HD32,"&lt;9")&gt;=3,SUMIFS(응답입력!$AH32:$HD32,응답입력!$AH$3:$HD$3,"L29",응답입력!$AH32:$HD32,"&lt;9")/COUNTIFS(응답입력!$AH$3:$HD$3,"L29",응답입력!$AH32:$HD32,"&lt;9"),"")</f>
        <v/>
      </c>
      <c r="AE31" s="35" t="str">
        <f aca="false">IF(COUNTIFS(응답입력!$AH$3:$HD$3,"L30",응답입력!$AH32:$HD32,"&lt;9")&gt;=3,SUMIFS(응답입력!$AH32:$HD32,응답입력!$AH$3:$HD$3,"L30",응답입력!$AH32:$HD32,"&lt;9")/COUNTIFS(응답입력!$AH$3:$HD$3,"L30",응답입력!$AH32:$HD32,"&lt;9"),"")</f>
        <v/>
      </c>
      <c r="AF31" s="35" t="str">
        <f aca="false">IF(COUNTIFS(응답입력!$AH$3:$HD$3,"L31",응답입력!$AH32:$HD32,"&lt;9")&gt;=3,SUMIFS(응답입력!$AH32:$HD32,응답입력!$AH$3:$HD$3,"L31",응답입력!$AH32:$HD32,"&lt;9")/COUNTIFS(응답입력!$AH$3:$HD$3,"L31",응답입력!$AH32:$HD32,"&lt;9"),"")</f>
        <v/>
      </c>
      <c r="AG31" s="41" t="str">
        <f aca="false">IFERROR(AVERAGE(B31:AF31),"")</f>
        <v/>
      </c>
    </row>
    <row r="32" customFormat="false" ht="15" hidden="false" customHeight="false" outlineLevel="0" collapsed="false">
      <c r="A32" s="27" t="str">
        <f aca="false">IF(응답입력!A33="","",응답입력!A33)</f>
        <v/>
      </c>
      <c r="B32" s="35" t="str">
        <f aca="false">IF(COUNTIFS(응답입력!$AH$3:$HD$3,"L01",응답입력!$AH33:$HD33,"&lt;9")&gt;=3,SUMIFS(응답입력!$AH33:$HD33,응답입력!$AH$3:$HD$3,"L01",응답입력!$AH33:$HD33,"&lt;9")/COUNTIFS(응답입력!$AH$3:$HD$3,"L01",응답입력!$AH33:$HD33,"&lt;9"),"")</f>
        <v/>
      </c>
      <c r="C32" s="35" t="str">
        <f aca="false">IF(COUNTIFS(응답입력!$AH$3:$HD$3,"L02",응답입력!$AH33:$HD33,"&lt;9")&gt;=3,SUMIFS(응답입력!$AH33:$HD33,응답입력!$AH$3:$HD$3,"L02",응답입력!$AH33:$HD33,"&lt;9")/COUNTIFS(응답입력!$AH$3:$HD$3,"L02",응답입력!$AH33:$HD33,"&lt;9"),"")</f>
        <v/>
      </c>
      <c r="D32" s="35" t="str">
        <f aca="false">IF(COUNTIFS(응답입력!$AH$3:$HD$3,"L03",응답입력!$AH33:$HD33,"&lt;9")&gt;=3,SUMIFS(응답입력!$AH33:$HD33,응답입력!$AH$3:$HD$3,"L03",응답입력!$AH33:$HD33,"&lt;9")/COUNTIFS(응답입력!$AH$3:$HD$3,"L03",응답입력!$AH33:$HD33,"&lt;9"),"")</f>
        <v/>
      </c>
      <c r="E32" s="35" t="str">
        <f aca="false">IF(COUNTIFS(응답입력!$AH$3:$HD$3,"L04",응답입력!$AH33:$HD33,"&lt;9")&gt;=3,SUMIFS(응답입력!$AH33:$HD33,응답입력!$AH$3:$HD$3,"L04",응답입력!$AH33:$HD33,"&lt;9")/COUNTIFS(응답입력!$AH$3:$HD$3,"L04",응답입력!$AH33:$HD33,"&lt;9"),"")</f>
        <v/>
      </c>
      <c r="F32" s="35" t="str">
        <f aca="false">IF(COUNTIFS(응답입력!$AH$3:$HD$3,"L05",응답입력!$AH33:$HD33,"&lt;9")&gt;=3,SUMIFS(응답입력!$AH33:$HD33,응답입력!$AH$3:$HD$3,"L05",응답입력!$AH33:$HD33,"&lt;9")/COUNTIFS(응답입력!$AH$3:$HD$3,"L05",응답입력!$AH33:$HD33,"&lt;9"),"")</f>
        <v/>
      </c>
      <c r="G32" s="35" t="str">
        <f aca="false">IF(COUNTIFS(응답입력!$AH$3:$HD$3,"L06",응답입력!$AH33:$HD33,"&lt;9")&gt;=3,SUMIFS(응답입력!$AH33:$HD33,응답입력!$AH$3:$HD$3,"L06",응답입력!$AH33:$HD33,"&lt;9")/COUNTIFS(응답입력!$AH$3:$HD$3,"L06",응답입력!$AH33:$HD33,"&lt;9"),"")</f>
        <v/>
      </c>
      <c r="H32" s="35" t="str">
        <f aca="false">IF(COUNTIFS(응답입력!$AH$3:$HD$3,"L07",응답입력!$AH33:$HD33,"&lt;9")&gt;=3,SUMIFS(응답입력!$AH33:$HD33,응답입력!$AH$3:$HD$3,"L07",응답입력!$AH33:$HD33,"&lt;9")/COUNTIFS(응답입력!$AH$3:$HD$3,"L07",응답입력!$AH33:$HD33,"&lt;9"),"")</f>
        <v/>
      </c>
      <c r="I32" s="35" t="str">
        <f aca="false">IF(COUNTIFS(응답입력!$AH$3:$HD$3,"L08",응답입력!$AH33:$HD33,"&lt;9")&gt;=3,SUMIFS(응답입력!$AH33:$HD33,응답입력!$AH$3:$HD$3,"L08",응답입력!$AH33:$HD33,"&lt;9")/COUNTIFS(응답입력!$AH$3:$HD$3,"L08",응답입력!$AH33:$HD33,"&lt;9"),"")</f>
        <v/>
      </c>
      <c r="J32" s="35" t="str">
        <f aca="false">IF(COUNTIFS(응답입력!$AH$3:$HD$3,"L09",응답입력!$AH33:$HD33,"&lt;9")&gt;=3,SUMIFS(응답입력!$AH33:$HD33,응답입력!$AH$3:$HD$3,"L09",응답입력!$AH33:$HD33,"&lt;9")/COUNTIFS(응답입력!$AH$3:$HD$3,"L09",응답입력!$AH33:$HD33,"&lt;9"),"")</f>
        <v/>
      </c>
      <c r="K32" s="35" t="str">
        <f aca="false">IF(COUNTIFS(응답입력!$AH$3:$HD$3,"L10",응답입력!$AH33:$HD33,"&lt;9")&gt;=3,SUMIFS(응답입력!$AH33:$HD33,응답입력!$AH$3:$HD$3,"L10",응답입력!$AH33:$HD33,"&lt;9")/COUNTIFS(응답입력!$AH$3:$HD$3,"L10",응답입력!$AH33:$HD33,"&lt;9"),"")</f>
        <v/>
      </c>
      <c r="L32" s="35" t="str">
        <f aca="false">IF(COUNTIFS(응답입력!$AH$3:$HD$3,"L11",응답입력!$AH33:$HD33,"&lt;9")&gt;=3,SUMIFS(응답입력!$AH33:$HD33,응답입력!$AH$3:$HD$3,"L11",응답입력!$AH33:$HD33,"&lt;9")/COUNTIFS(응답입력!$AH$3:$HD$3,"L11",응답입력!$AH33:$HD33,"&lt;9"),"")</f>
        <v/>
      </c>
      <c r="M32" s="35" t="str">
        <f aca="false">IF(COUNTIFS(응답입력!$AH$3:$HD$3,"L12",응답입력!$AH33:$HD33,"&lt;9")&gt;=3,SUMIFS(응답입력!$AH33:$HD33,응답입력!$AH$3:$HD$3,"L12",응답입력!$AH33:$HD33,"&lt;9")/COUNTIFS(응답입력!$AH$3:$HD$3,"L12",응답입력!$AH33:$HD33,"&lt;9"),"")</f>
        <v/>
      </c>
      <c r="N32" s="35" t="str">
        <f aca="false">IF(COUNTIFS(응답입력!$AH$3:$HD$3,"L13",응답입력!$AH33:$HD33,"&lt;9")&gt;=3,SUMIFS(응답입력!$AH33:$HD33,응답입력!$AH$3:$HD$3,"L13",응답입력!$AH33:$HD33,"&lt;9")/COUNTIFS(응답입력!$AH$3:$HD$3,"L13",응답입력!$AH33:$HD33,"&lt;9"),"")</f>
        <v/>
      </c>
      <c r="O32" s="35" t="str">
        <f aca="false">IF(COUNTIFS(응답입력!$AH$3:$HD$3,"L14",응답입력!$AH33:$HD33,"&lt;9")&gt;=3,SUMIFS(응답입력!$AH33:$HD33,응답입력!$AH$3:$HD$3,"L14",응답입력!$AH33:$HD33,"&lt;9")/COUNTIFS(응답입력!$AH$3:$HD$3,"L14",응답입력!$AH33:$HD33,"&lt;9"),"")</f>
        <v/>
      </c>
      <c r="P32" s="35" t="str">
        <f aca="false">IF(COUNTIFS(응답입력!$AH$3:$HD$3,"L15",응답입력!$AH33:$HD33,"&lt;9")&gt;=3,SUMIFS(응답입력!$AH33:$HD33,응답입력!$AH$3:$HD$3,"L15",응답입력!$AH33:$HD33,"&lt;9")/COUNTIFS(응답입력!$AH$3:$HD$3,"L15",응답입력!$AH33:$HD33,"&lt;9"),"")</f>
        <v/>
      </c>
      <c r="Q32" s="35" t="str">
        <f aca="false">IF(COUNTIFS(응답입력!$AH$3:$HD$3,"L16",응답입력!$AH33:$HD33,"&lt;9")&gt;=3,SUMIFS(응답입력!$AH33:$HD33,응답입력!$AH$3:$HD$3,"L16",응답입력!$AH33:$HD33,"&lt;9")/COUNTIFS(응답입력!$AH$3:$HD$3,"L16",응답입력!$AH33:$HD33,"&lt;9"),"")</f>
        <v/>
      </c>
      <c r="R32" s="35" t="str">
        <f aca="false">IF(COUNTIFS(응답입력!$AH$3:$HD$3,"L17",응답입력!$AH33:$HD33,"&lt;9")&gt;=3,SUMIFS(응답입력!$AH33:$HD33,응답입력!$AH$3:$HD$3,"L17",응답입력!$AH33:$HD33,"&lt;9")/COUNTIFS(응답입력!$AH$3:$HD$3,"L17",응답입력!$AH33:$HD33,"&lt;9"),"")</f>
        <v/>
      </c>
      <c r="S32" s="35" t="str">
        <f aca="false">IF(COUNTIFS(응답입력!$AH$3:$HD$3,"L18",응답입력!$AH33:$HD33,"&lt;9")&gt;=3,SUMIFS(응답입력!$AH33:$HD33,응답입력!$AH$3:$HD$3,"L18",응답입력!$AH33:$HD33,"&lt;9")/COUNTIFS(응답입력!$AH$3:$HD$3,"L18",응답입력!$AH33:$HD33,"&lt;9"),"")</f>
        <v/>
      </c>
      <c r="T32" s="35" t="str">
        <f aca="false">IF(COUNTIFS(응답입력!$AH$3:$HD$3,"L19",응답입력!$AH33:$HD33,"&lt;9")&gt;=3,SUMIFS(응답입력!$AH33:$HD33,응답입력!$AH$3:$HD$3,"L19",응답입력!$AH33:$HD33,"&lt;9")/COUNTIFS(응답입력!$AH$3:$HD$3,"L19",응답입력!$AH33:$HD33,"&lt;9"),"")</f>
        <v/>
      </c>
      <c r="U32" s="35" t="str">
        <f aca="false">IF(COUNTIFS(응답입력!$AH$3:$HD$3,"L20",응답입력!$AH33:$HD33,"&lt;9")&gt;=3,SUMIFS(응답입력!$AH33:$HD33,응답입력!$AH$3:$HD$3,"L20",응답입력!$AH33:$HD33,"&lt;9")/COUNTIFS(응답입력!$AH$3:$HD$3,"L20",응답입력!$AH33:$HD33,"&lt;9"),"")</f>
        <v/>
      </c>
      <c r="V32" s="35" t="str">
        <f aca="false">IF(COUNTIFS(응답입력!$AH$3:$HD$3,"L21",응답입력!$AH33:$HD33,"&lt;9")&gt;=3,SUMIFS(응답입력!$AH33:$HD33,응답입력!$AH$3:$HD$3,"L21",응답입력!$AH33:$HD33,"&lt;9")/COUNTIFS(응답입력!$AH$3:$HD$3,"L21",응답입력!$AH33:$HD33,"&lt;9"),"")</f>
        <v/>
      </c>
      <c r="W32" s="35" t="str">
        <f aca="false">IF(COUNTIFS(응답입력!$AH$3:$HD$3,"L22",응답입력!$AH33:$HD33,"&lt;9")&gt;=3,SUMIFS(응답입력!$AH33:$HD33,응답입력!$AH$3:$HD$3,"L22",응답입력!$AH33:$HD33,"&lt;9")/COUNTIFS(응답입력!$AH$3:$HD$3,"L22",응답입력!$AH33:$HD33,"&lt;9"),"")</f>
        <v/>
      </c>
      <c r="X32" s="35" t="str">
        <f aca="false">IF(COUNTIFS(응답입력!$AH$3:$HD$3,"L23",응답입력!$AH33:$HD33,"&lt;9")&gt;=3,SUMIFS(응답입력!$AH33:$HD33,응답입력!$AH$3:$HD$3,"L23",응답입력!$AH33:$HD33,"&lt;9")/COUNTIFS(응답입력!$AH$3:$HD$3,"L23",응답입력!$AH33:$HD33,"&lt;9"),"")</f>
        <v/>
      </c>
      <c r="Y32" s="35" t="str">
        <f aca="false">IF(COUNTIFS(응답입력!$AH$3:$HD$3,"L24",응답입력!$AH33:$HD33,"&lt;9")&gt;=3,SUMIFS(응답입력!$AH33:$HD33,응답입력!$AH$3:$HD$3,"L24",응답입력!$AH33:$HD33,"&lt;9")/COUNTIFS(응답입력!$AH$3:$HD$3,"L24",응답입력!$AH33:$HD33,"&lt;9"),"")</f>
        <v/>
      </c>
      <c r="Z32" s="35" t="str">
        <f aca="false">IF(COUNTIFS(응답입력!$AH$3:$HD$3,"L25",응답입력!$AH33:$HD33,"&lt;9")&gt;=3,SUMIFS(응답입력!$AH33:$HD33,응답입력!$AH$3:$HD$3,"L25",응답입력!$AH33:$HD33,"&lt;9")/COUNTIFS(응답입력!$AH$3:$HD$3,"L25",응답입력!$AH33:$HD33,"&lt;9"),"")</f>
        <v/>
      </c>
      <c r="AA32" s="35" t="str">
        <f aca="false">IF(COUNTIFS(응답입력!$AH$3:$HD$3,"L26",응답입력!$AH33:$HD33,"&lt;9")&gt;=3,SUMIFS(응답입력!$AH33:$HD33,응답입력!$AH$3:$HD$3,"L26",응답입력!$AH33:$HD33,"&lt;9")/COUNTIFS(응답입력!$AH$3:$HD$3,"L26",응답입력!$AH33:$HD33,"&lt;9"),"")</f>
        <v/>
      </c>
      <c r="AB32" s="35" t="str">
        <f aca="false">IF(COUNTIFS(응답입력!$AH$3:$HD$3,"L27",응답입력!$AH33:$HD33,"&lt;9")&gt;=3,SUMIFS(응답입력!$AH33:$HD33,응답입력!$AH$3:$HD$3,"L27",응답입력!$AH33:$HD33,"&lt;9")/COUNTIFS(응답입력!$AH$3:$HD$3,"L27",응답입력!$AH33:$HD33,"&lt;9"),"")</f>
        <v/>
      </c>
      <c r="AC32" s="35" t="str">
        <f aca="false">IF(COUNTIFS(응답입력!$AH$3:$HD$3,"L28",응답입력!$AH33:$HD33,"&lt;9")&gt;=3,SUMIFS(응답입력!$AH33:$HD33,응답입력!$AH$3:$HD$3,"L28",응답입력!$AH33:$HD33,"&lt;9")/COUNTIFS(응답입력!$AH$3:$HD$3,"L28",응답입력!$AH33:$HD33,"&lt;9"),"")</f>
        <v/>
      </c>
      <c r="AD32" s="35" t="str">
        <f aca="false">IF(COUNTIFS(응답입력!$AH$3:$HD$3,"L29",응답입력!$AH33:$HD33,"&lt;9")&gt;=3,SUMIFS(응답입력!$AH33:$HD33,응답입력!$AH$3:$HD$3,"L29",응답입력!$AH33:$HD33,"&lt;9")/COUNTIFS(응답입력!$AH$3:$HD$3,"L29",응답입력!$AH33:$HD33,"&lt;9"),"")</f>
        <v/>
      </c>
      <c r="AE32" s="35" t="str">
        <f aca="false">IF(COUNTIFS(응답입력!$AH$3:$HD$3,"L30",응답입력!$AH33:$HD33,"&lt;9")&gt;=3,SUMIFS(응답입력!$AH33:$HD33,응답입력!$AH$3:$HD$3,"L30",응답입력!$AH33:$HD33,"&lt;9")/COUNTIFS(응답입력!$AH$3:$HD$3,"L30",응답입력!$AH33:$HD33,"&lt;9"),"")</f>
        <v/>
      </c>
      <c r="AF32" s="35" t="str">
        <f aca="false">IF(COUNTIFS(응답입력!$AH$3:$HD$3,"L31",응답입력!$AH33:$HD33,"&lt;9")&gt;=3,SUMIFS(응답입력!$AH33:$HD33,응답입력!$AH$3:$HD$3,"L31",응답입력!$AH33:$HD33,"&lt;9")/COUNTIFS(응답입력!$AH$3:$HD$3,"L31",응답입력!$AH33:$HD33,"&lt;9"),"")</f>
        <v/>
      </c>
      <c r="AG32" s="41" t="str">
        <f aca="false">IFERROR(AVERAGE(B32:AF32),"")</f>
        <v/>
      </c>
    </row>
    <row r="33" customFormat="false" ht="15" hidden="false" customHeight="false" outlineLevel="0" collapsed="false">
      <c r="A33" s="27" t="str">
        <f aca="false">IF(응답입력!A34="","",응답입력!A34)</f>
        <v/>
      </c>
      <c r="B33" s="35" t="str">
        <f aca="false">IF(COUNTIFS(응답입력!$AH$3:$HD$3,"L01",응답입력!$AH34:$HD34,"&lt;9")&gt;=3,SUMIFS(응답입력!$AH34:$HD34,응답입력!$AH$3:$HD$3,"L01",응답입력!$AH34:$HD34,"&lt;9")/COUNTIFS(응답입력!$AH$3:$HD$3,"L01",응답입력!$AH34:$HD34,"&lt;9"),"")</f>
        <v/>
      </c>
      <c r="C33" s="35" t="str">
        <f aca="false">IF(COUNTIFS(응답입력!$AH$3:$HD$3,"L02",응답입력!$AH34:$HD34,"&lt;9")&gt;=3,SUMIFS(응답입력!$AH34:$HD34,응답입력!$AH$3:$HD$3,"L02",응답입력!$AH34:$HD34,"&lt;9")/COUNTIFS(응답입력!$AH$3:$HD$3,"L02",응답입력!$AH34:$HD34,"&lt;9"),"")</f>
        <v/>
      </c>
      <c r="D33" s="35" t="str">
        <f aca="false">IF(COUNTIFS(응답입력!$AH$3:$HD$3,"L03",응답입력!$AH34:$HD34,"&lt;9")&gt;=3,SUMIFS(응답입력!$AH34:$HD34,응답입력!$AH$3:$HD$3,"L03",응답입력!$AH34:$HD34,"&lt;9")/COUNTIFS(응답입력!$AH$3:$HD$3,"L03",응답입력!$AH34:$HD34,"&lt;9"),"")</f>
        <v/>
      </c>
      <c r="E33" s="35" t="str">
        <f aca="false">IF(COUNTIFS(응답입력!$AH$3:$HD$3,"L04",응답입력!$AH34:$HD34,"&lt;9")&gt;=3,SUMIFS(응답입력!$AH34:$HD34,응답입력!$AH$3:$HD$3,"L04",응답입력!$AH34:$HD34,"&lt;9")/COUNTIFS(응답입력!$AH$3:$HD$3,"L04",응답입력!$AH34:$HD34,"&lt;9"),"")</f>
        <v/>
      </c>
      <c r="F33" s="35" t="str">
        <f aca="false">IF(COUNTIFS(응답입력!$AH$3:$HD$3,"L05",응답입력!$AH34:$HD34,"&lt;9")&gt;=3,SUMIFS(응답입력!$AH34:$HD34,응답입력!$AH$3:$HD$3,"L05",응답입력!$AH34:$HD34,"&lt;9")/COUNTIFS(응답입력!$AH$3:$HD$3,"L05",응답입력!$AH34:$HD34,"&lt;9"),"")</f>
        <v/>
      </c>
      <c r="G33" s="35" t="str">
        <f aca="false">IF(COUNTIFS(응답입력!$AH$3:$HD$3,"L06",응답입력!$AH34:$HD34,"&lt;9")&gt;=3,SUMIFS(응답입력!$AH34:$HD34,응답입력!$AH$3:$HD$3,"L06",응답입력!$AH34:$HD34,"&lt;9")/COUNTIFS(응답입력!$AH$3:$HD$3,"L06",응답입력!$AH34:$HD34,"&lt;9"),"")</f>
        <v/>
      </c>
      <c r="H33" s="35" t="str">
        <f aca="false">IF(COUNTIFS(응답입력!$AH$3:$HD$3,"L07",응답입력!$AH34:$HD34,"&lt;9")&gt;=3,SUMIFS(응답입력!$AH34:$HD34,응답입력!$AH$3:$HD$3,"L07",응답입력!$AH34:$HD34,"&lt;9")/COUNTIFS(응답입력!$AH$3:$HD$3,"L07",응답입력!$AH34:$HD34,"&lt;9"),"")</f>
        <v/>
      </c>
      <c r="I33" s="35" t="str">
        <f aca="false">IF(COUNTIFS(응답입력!$AH$3:$HD$3,"L08",응답입력!$AH34:$HD34,"&lt;9")&gt;=3,SUMIFS(응답입력!$AH34:$HD34,응답입력!$AH$3:$HD$3,"L08",응답입력!$AH34:$HD34,"&lt;9")/COUNTIFS(응답입력!$AH$3:$HD$3,"L08",응답입력!$AH34:$HD34,"&lt;9"),"")</f>
        <v/>
      </c>
      <c r="J33" s="35" t="str">
        <f aca="false">IF(COUNTIFS(응답입력!$AH$3:$HD$3,"L09",응답입력!$AH34:$HD34,"&lt;9")&gt;=3,SUMIFS(응답입력!$AH34:$HD34,응답입력!$AH$3:$HD$3,"L09",응답입력!$AH34:$HD34,"&lt;9")/COUNTIFS(응답입력!$AH$3:$HD$3,"L09",응답입력!$AH34:$HD34,"&lt;9"),"")</f>
        <v/>
      </c>
      <c r="K33" s="35" t="str">
        <f aca="false">IF(COUNTIFS(응답입력!$AH$3:$HD$3,"L10",응답입력!$AH34:$HD34,"&lt;9")&gt;=3,SUMIFS(응답입력!$AH34:$HD34,응답입력!$AH$3:$HD$3,"L10",응답입력!$AH34:$HD34,"&lt;9")/COUNTIFS(응답입력!$AH$3:$HD$3,"L10",응답입력!$AH34:$HD34,"&lt;9"),"")</f>
        <v/>
      </c>
      <c r="L33" s="35" t="str">
        <f aca="false">IF(COUNTIFS(응답입력!$AH$3:$HD$3,"L11",응답입력!$AH34:$HD34,"&lt;9")&gt;=3,SUMIFS(응답입력!$AH34:$HD34,응답입력!$AH$3:$HD$3,"L11",응답입력!$AH34:$HD34,"&lt;9")/COUNTIFS(응답입력!$AH$3:$HD$3,"L11",응답입력!$AH34:$HD34,"&lt;9"),"")</f>
        <v/>
      </c>
      <c r="M33" s="35" t="str">
        <f aca="false">IF(COUNTIFS(응답입력!$AH$3:$HD$3,"L12",응답입력!$AH34:$HD34,"&lt;9")&gt;=3,SUMIFS(응답입력!$AH34:$HD34,응답입력!$AH$3:$HD$3,"L12",응답입력!$AH34:$HD34,"&lt;9")/COUNTIFS(응답입력!$AH$3:$HD$3,"L12",응답입력!$AH34:$HD34,"&lt;9"),"")</f>
        <v/>
      </c>
      <c r="N33" s="35" t="str">
        <f aca="false">IF(COUNTIFS(응답입력!$AH$3:$HD$3,"L13",응답입력!$AH34:$HD34,"&lt;9")&gt;=3,SUMIFS(응답입력!$AH34:$HD34,응답입력!$AH$3:$HD$3,"L13",응답입력!$AH34:$HD34,"&lt;9")/COUNTIFS(응답입력!$AH$3:$HD$3,"L13",응답입력!$AH34:$HD34,"&lt;9"),"")</f>
        <v/>
      </c>
      <c r="O33" s="35" t="str">
        <f aca="false">IF(COUNTIFS(응답입력!$AH$3:$HD$3,"L14",응답입력!$AH34:$HD34,"&lt;9")&gt;=3,SUMIFS(응답입력!$AH34:$HD34,응답입력!$AH$3:$HD$3,"L14",응답입력!$AH34:$HD34,"&lt;9")/COUNTIFS(응답입력!$AH$3:$HD$3,"L14",응답입력!$AH34:$HD34,"&lt;9"),"")</f>
        <v/>
      </c>
      <c r="P33" s="35" t="str">
        <f aca="false">IF(COUNTIFS(응답입력!$AH$3:$HD$3,"L15",응답입력!$AH34:$HD34,"&lt;9")&gt;=3,SUMIFS(응답입력!$AH34:$HD34,응답입력!$AH$3:$HD$3,"L15",응답입력!$AH34:$HD34,"&lt;9")/COUNTIFS(응답입력!$AH$3:$HD$3,"L15",응답입력!$AH34:$HD34,"&lt;9"),"")</f>
        <v/>
      </c>
      <c r="Q33" s="35" t="str">
        <f aca="false">IF(COUNTIFS(응답입력!$AH$3:$HD$3,"L16",응답입력!$AH34:$HD34,"&lt;9")&gt;=3,SUMIFS(응답입력!$AH34:$HD34,응답입력!$AH$3:$HD$3,"L16",응답입력!$AH34:$HD34,"&lt;9")/COUNTIFS(응답입력!$AH$3:$HD$3,"L16",응답입력!$AH34:$HD34,"&lt;9"),"")</f>
        <v/>
      </c>
      <c r="R33" s="35" t="str">
        <f aca="false">IF(COUNTIFS(응답입력!$AH$3:$HD$3,"L17",응답입력!$AH34:$HD34,"&lt;9")&gt;=3,SUMIFS(응답입력!$AH34:$HD34,응답입력!$AH$3:$HD$3,"L17",응답입력!$AH34:$HD34,"&lt;9")/COUNTIFS(응답입력!$AH$3:$HD$3,"L17",응답입력!$AH34:$HD34,"&lt;9"),"")</f>
        <v/>
      </c>
      <c r="S33" s="35" t="str">
        <f aca="false">IF(COUNTIFS(응답입력!$AH$3:$HD$3,"L18",응답입력!$AH34:$HD34,"&lt;9")&gt;=3,SUMIFS(응답입력!$AH34:$HD34,응답입력!$AH$3:$HD$3,"L18",응답입력!$AH34:$HD34,"&lt;9")/COUNTIFS(응답입력!$AH$3:$HD$3,"L18",응답입력!$AH34:$HD34,"&lt;9"),"")</f>
        <v/>
      </c>
      <c r="T33" s="35" t="str">
        <f aca="false">IF(COUNTIFS(응답입력!$AH$3:$HD$3,"L19",응답입력!$AH34:$HD34,"&lt;9")&gt;=3,SUMIFS(응답입력!$AH34:$HD34,응답입력!$AH$3:$HD$3,"L19",응답입력!$AH34:$HD34,"&lt;9")/COUNTIFS(응답입력!$AH$3:$HD$3,"L19",응답입력!$AH34:$HD34,"&lt;9"),"")</f>
        <v/>
      </c>
      <c r="U33" s="35" t="str">
        <f aca="false">IF(COUNTIFS(응답입력!$AH$3:$HD$3,"L20",응답입력!$AH34:$HD34,"&lt;9")&gt;=3,SUMIFS(응답입력!$AH34:$HD34,응답입력!$AH$3:$HD$3,"L20",응답입력!$AH34:$HD34,"&lt;9")/COUNTIFS(응답입력!$AH$3:$HD$3,"L20",응답입력!$AH34:$HD34,"&lt;9"),"")</f>
        <v/>
      </c>
      <c r="V33" s="35" t="str">
        <f aca="false">IF(COUNTIFS(응답입력!$AH$3:$HD$3,"L21",응답입력!$AH34:$HD34,"&lt;9")&gt;=3,SUMIFS(응답입력!$AH34:$HD34,응답입력!$AH$3:$HD$3,"L21",응답입력!$AH34:$HD34,"&lt;9")/COUNTIFS(응답입력!$AH$3:$HD$3,"L21",응답입력!$AH34:$HD34,"&lt;9"),"")</f>
        <v/>
      </c>
      <c r="W33" s="35" t="str">
        <f aca="false">IF(COUNTIFS(응답입력!$AH$3:$HD$3,"L22",응답입력!$AH34:$HD34,"&lt;9")&gt;=3,SUMIFS(응답입력!$AH34:$HD34,응답입력!$AH$3:$HD$3,"L22",응답입력!$AH34:$HD34,"&lt;9")/COUNTIFS(응답입력!$AH$3:$HD$3,"L22",응답입력!$AH34:$HD34,"&lt;9"),"")</f>
        <v/>
      </c>
      <c r="X33" s="35" t="str">
        <f aca="false">IF(COUNTIFS(응답입력!$AH$3:$HD$3,"L23",응답입력!$AH34:$HD34,"&lt;9")&gt;=3,SUMIFS(응답입력!$AH34:$HD34,응답입력!$AH$3:$HD$3,"L23",응답입력!$AH34:$HD34,"&lt;9")/COUNTIFS(응답입력!$AH$3:$HD$3,"L23",응답입력!$AH34:$HD34,"&lt;9"),"")</f>
        <v/>
      </c>
      <c r="Y33" s="35" t="str">
        <f aca="false">IF(COUNTIFS(응답입력!$AH$3:$HD$3,"L24",응답입력!$AH34:$HD34,"&lt;9")&gt;=3,SUMIFS(응답입력!$AH34:$HD34,응답입력!$AH$3:$HD$3,"L24",응답입력!$AH34:$HD34,"&lt;9")/COUNTIFS(응답입력!$AH$3:$HD$3,"L24",응답입력!$AH34:$HD34,"&lt;9"),"")</f>
        <v/>
      </c>
      <c r="Z33" s="35" t="str">
        <f aca="false">IF(COUNTIFS(응답입력!$AH$3:$HD$3,"L25",응답입력!$AH34:$HD34,"&lt;9")&gt;=3,SUMIFS(응답입력!$AH34:$HD34,응답입력!$AH$3:$HD$3,"L25",응답입력!$AH34:$HD34,"&lt;9")/COUNTIFS(응답입력!$AH$3:$HD$3,"L25",응답입력!$AH34:$HD34,"&lt;9"),"")</f>
        <v/>
      </c>
      <c r="AA33" s="35" t="str">
        <f aca="false">IF(COUNTIFS(응답입력!$AH$3:$HD$3,"L26",응답입력!$AH34:$HD34,"&lt;9")&gt;=3,SUMIFS(응답입력!$AH34:$HD34,응답입력!$AH$3:$HD$3,"L26",응답입력!$AH34:$HD34,"&lt;9")/COUNTIFS(응답입력!$AH$3:$HD$3,"L26",응답입력!$AH34:$HD34,"&lt;9"),"")</f>
        <v/>
      </c>
      <c r="AB33" s="35" t="str">
        <f aca="false">IF(COUNTIFS(응답입력!$AH$3:$HD$3,"L27",응답입력!$AH34:$HD34,"&lt;9")&gt;=3,SUMIFS(응답입력!$AH34:$HD34,응답입력!$AH$3:$HD$3,"L27",응답입력!$AH34:$HD34,"&lt;9")/COUNTIFS(응답입력!$AH$3:$HD$3,"L27",응답입력!$AH34:$HD34,"&lt;9"),"")</f>
        <v/>
      </c>
      <c r="AC33" s="35" t="str">
        <f aca="false">IF(COUNTIFS(응답입력!$AH$3:$HD$3,"L28",응답입력!$AH34:$HD34,"&lt;9")&gt;=3,SUMIFS(응답입력!$AH34:$HD34,응답입력!$AH$3:$HD$3,"L28",응답입력!$AH34:$HD34,"&lt;9")/COUNTIFS(응답입력!$AH$3:$HD$3,"L28",응답입력!$AH34:$HD34,"&lt;9"),"")</f>
        <v/>
      </c>
      <c r="AD33" s="35" t="str">
        <f aca="false">IF(COUNTIFS(응답입력!$AH$3:$HD$3,"L29",응답입력!$AH34:$HD34,"&lt;9")&gt;=3,SUMIFS(응답입력!$AH34:$HD34,응답입력!$AH$3:$HD$3,"L29",응답입력!$AH34:$HD34,"&lt;9")/COUNTIFS(응답입력!$AH$3:$HD$3,"L29",응답입력!$AH34:$HD34,"&lt;9"),"")</f>
        <v/>
      </c>
      <c r="AE33" s="35" t="str">
        <f aca="false">IF(COUNTIFS(응답입력!$AH$3:$HD$3,"L30",응답입력!$AH34:$HD34,"&lt;9")&gt;=3,SUMIFS(응답입력!$AH34:$HD34,응답입력!$AH$3:$HD$3,"L30",응답입력!$AH34:$HD34,"&lt;9")/COUNTIFS(응답입력!$AH$3:$HD$3,"L30",응답입력!$AH34:$HD34,"&lt;9"),"")</f>
        <v/>
      </c>
      <c r="AF33" s="35" t="str">
        <f aca="false">IF(COUNTIFS(응답입력!$AH$3:$HD$3,"L31",응답입력!$AH34:$HD34,"&lt;9")&gt;=3,SUMIFS(응답입력!$AH34:$HD34,응답입력!$AH$3:$HD$3,"L31",응답입력!$AH34:$HD34,"&lt;9")/COUNTIFS(응답입력!$AH$3:$HD$3,"L31",응답입력!$AH34:$HD34,"&lt;9"),"")</f>
        <v/>
      </c>
      <c r="AG33" s="41" t="str">
        <f aca="false">IFERROR(AVERAGE(B33:AF33),"")</f>
        <v/>
      </c>
    </row>
    <row r="34" customFormat="false" ht="15" hidden="false" customHeight="false" outlineLevel="0" collapsed="false">
      <c r="A34" s="27" t="str">
        <f aca="false">IF(응답입력!A35="","",응답입력!A35)</f>
        <v/>
      </c>
      <c r="B34" s="35" t="str">
        <f aca="false">IF(COUNTIFS(응답입력!$AH$3:$HD$3,"L01",응답입력!$AH35:$HD35,"&lt;9")&gt;=3,SUMIFS(응답입력!$AH35:$HD35,응답입력!$AH$3:$HD$3,"L01",응답입력!$AH35:$HD35,"&lt;9")/COUNTIFS(응답입력!$AH$3:$HD$3,"L01",응답입력!$AH35:$HD35,"&lt;9"),"")</f>
        <v/>
      </c>
      <c r="C34" s="35" t="str">
        <f aca="false">IF(COUNTIFS(응답입력!$AH$3:$HD$3,"L02",응답입력!$AH35:$HD35,"&lt;9")&gt;=3,SUMIFS(응답입력!$AH35:$HD35,응답입력!$AH$3:$HD$3,"L02",응답입력!$AH35:$HD35,"&lt;9")/COUNTIFS(응답입력!$AH$3:$HD$3,"L02",응답입력!$AH35:$HD35,"&lt;9"),"")</f>
        <v/>
      </c>
      <c r="D34" s="35" t="str">
        <f aca="false">IF(COUNTIFS(응답입력!$AH$3:$HD$3,"L03",응답입력!$AH35:$HD35,"&lt;9")&gt;=3,SUMIFS(응답입력!$AH35:$HD35,응답입력!$AH$3:$HD$3,"L03",응답입력!$AH35:$HD35,"&lt;9")/COUNTIFS(응답입력!$AH$3:$HD$3,"L03",응답입력!$AH35:$HD35,"&lt;9"),"")</f>
        <v/>
      </c>
      <c r="E34" s="35" t="str">
        <f aca="false">IF(COUNTIFS(응답입력!$AH$3:$HD$3,"L04",응답입력!$AH35:$HD35,"&lt;9")&gt;=3,SUMIFS(응답입력!$AH35:$HD35,응답입력!$AH$3:$HD$3,"L04",응답입력!$AH35:$HD35,"&lt;9")/COUNTIFS(응답입력!$AH$3:$HD$3,"L04",응답입력!$AH35:$HD35,"&lt;9"),"")</f>
        <v/>
      </c>
      <c r="F34" s="35" t="str">
        <f aca="false">IF(COUNTIFS(응답입력!$AH$3:$HD$3,"L05",응답입력!$AH35:$HD35,"&lt;9")&gt;=3,SUMIFS(응답입력!$AH35:$HD35,응답입력!$AH$3:$HD$3,"L05",응답입력!$AH35:$HD35,"&lt;9")/COUNTIFS(응답입력!$AH$3:$HD$3,"L05",응답입력!$AH35:$HD35,"&lt;9"),"")</f>
        <v/>
      </c>
      <c r="G34" s="35" t="str">
        <f aca="false">IF(COUNTIFS(응답입력!$AH$3:$HD$3,"L06",응답입력!$AH35:$HD35,"&lt;9")&gt;=3,SUMIFS(응답입력!$AH35:$HD35,응답입력!$AH$3:$HD$3,"L06",응답입력!$AH35:$HD35,"&lt;9")/COUNTIFS(응답입력!$AH$3:$HD$3,"L06",응답입력!$AH35:$HD35,"&lt;9"),"")</f>
        <v/>
      </c>
      <c r="H34" s="35" t="str">
        <f aca="false">IF(COUNTIFS(응답입력!$AH$3:$HD$3,"L07",응답입력!$AH35:$HD35,"&lt;9")&gt;=3,SUMIFS(응답입력!$AH35:$HD35,응답입력!$AH$3:$HD$3,"L07",응답입력!$AH35:$HD35,"&lt;9")/COUNTIFS(응답입력!$AH$3:$HD$3,"L07",응답입력!$AH35:$HD35,"&lt;9"),"")</f>
        <v/>
      </c>
      <c r="I34" s="35" t="str">
        <f aca="false">IF(COUNTIFS(응답입력!$AH$3:$HD$3,"L08",응답입력!$AH35:$HD35,"&lt;9")&gt;=3,SUMIFS(응답입력!$AH35:$HD35,응답입력!$AH$3:$HD$3,"L08",응답입력!$AH35:$HD35,"&lt;9")/COUNTIFS(응답입력!$AH$3:$HD$3,"L08",응답입력!$AH35:$HD35,"&lt;9"),"")</f>
        <v/>
      </c>
      <c r="J34" s="35" t="str">
        <f aca="false">IF(COUNTIFS(응답입력!$AH$3:$HD$3,"L09",응답입력!$AH35:$HD35,"&lt;9")&gt;=3,SUMIFS(응답입력!$AH35:$HD35,응답입력!$AH$3:$HD$3,"L09",응답입력!$AH35:$HD35,"&lt;9")/COUNTIFS(응답입력!$AH$3:$HD$3,"L09",응답입력!$AH35:$HD35,"&lt;9"),"")</f>
        <v/>
      </c>
      <c r="K34" s="35" t="str">
        <f aca="false">IF(COUNTIFS(응답입력!$AH$3:$HD$3,"L10",응답입력!$AH35:$HD35,"&lt;9")&gt;=3,SUMIFS(응답입력!$AH35:$HD35,응답입력!$AH$3:$HD$3,"L10",응답입력!$AH35:$HD35,"&lt;9")/COUNTIFS(응답입력!$AH$3:$HD$3,"L10",응답입력!$AH35:$HD35,"&lt;9"),"")</f>
        <v/>
      </c>
      <c r="L34" s="35" t="str">
        <f aca="false">IF(COUNTIFS(응답입력!$AH$3:$HD$3,"L11",응답입력!$AH35:$HD35,"&lt;9")&gt;=3,SUMIFS(응답입력!$AH35:$HD35,응답입력!$AH$3:$HD$3,"L11",응답입력!$AH35:$HD35,"&lt;9")/COUNTIFS(응답입력!$AH$3:$HD$3,"L11",응답입력!$AH35:$HD35,"&lt;9"),"")</f>
        <v/>
      </c>
      <c r="M34" s="35" t="str">
        <f aca="false">IF(COUNTIFS(응답입력!$AH$3:$HD$3,"L12",응답입력!$AH35:$HD35,"&lt;9")&gt;=3,SUMIFS(응답입력!$AH35:$HD35,응답입력!$AH$3:$HD$3,"L12",응답입력!$AH35:$HD35,"&lt;9")/COUNTIFS(응답입력!$AH$3:$HD$3,"L12",응답입력!$AH35:$HD35,"&lt;9"),"")</f>
        <v/>
      </c>
      <c r="N34" s="35" t="str">
        <f aca="false">IF(COUNTIFS(응답입력!$AH$3:$HD$3,"L13",응답입력!$AH35:$HD35,"&lt;9")&gt;=3,SUMIFS(응답입력!$AH35:$HD35,응답입력!$AH$3:$HD$3,"L13",응답입력!$AH35:$HD35,"&lt;9")/COUNTIFS(응답입력!$AH$3:$HD$3,"L13",응답입력!$AH35:$HD35,"&lt;9"),"")</f>
        <v/>
      </c>
      <c r="O34" s="35" t="str">
        <f aca="false">IF(COUNTIFS(응답입력!$AH$3:$HD$3,"L14",응답입력!$AH35:$HD35,"&lt;9")&gt;=3,SUMIFS(응답입력!$AH35:$HD35,응답입력!$AH$3:$HD$3,"L14",응답입력!$AH35:$HD35,"&lt;9")/COUNTIFS(응답입력!$AH$3:$HD$3,"L14",응답입력!$AH35:$HD35,"&lt;9"),"")</f>
        <v/>
      </c>
      <c r="P34" s="35" t="str">
        <f aca="false">IF(COUNTIFS(응답입력!$AH$3:$HD$3,"L15",응답입력!$AH35:$HD35,"&lt;9")&gt;=3,SUMIFS(응답입력!$AH35:$HD35,응답입력!$AH$3:$HD$3,"L15",응답입력!$AH35:$HD35,"&lt;9")/COUNTIFS(응답입력!$AH$3:$HD$3,"L15",응답입력!$AH35:$HD35,"&lt;9"),"")</f>
        <v/>
      </c>
      <c r="Q34" s="35" t="str">
        <f aca="false">IF(COUNTIFS(응답입력!$AH$3:$HD$3,"L16",응답입력!$AH35:$HD35,"&lt;9")&gt;=3,SUMIFS(응답입력!$AH35:$HD35,응답입력!$AH$3:$HD$3,"L16",응답입력!$AH35:$HD35,"&lt;9")/COUNTIFS(응답입력!$AH$3:$HD$3,"L16",응답입력!$AH35:$HD35,"&lt;9"),"")</f>
        <v/>
      </c>
      <c r="R34" s="35" t="str">
        <f aca="false">IF(COUNTIFS(응답입력!$AH$3:$HD$3,"L17",응답입력!$AH35:$HD35,"&lt;9")&gt;=3,SUMIFS(응답입력!$AH35:$HD35,응답입력!$AH$3:$HD$3,"L17",응답입력!$AH35:$HD35,"&lt;9")/COUNTIFS(응답입력!$AH$3:$HD$3,"L17",응답입력!$AH35:$HD35,"&lt;9"),"")</f>
        <v/>
      </c>
      <c r="S34" s="35" t="str">
        <f aca="false">IF(COUNTIFS(응답입력!$AH$3:$HD$3,"L18",응답입력!$AH35:$HD35,"&lt;9")&gt;=3,SUMIFS(응답입력!$AH35:$HD35,응답입력!$AH$3:$HD$3,"L18",응답입력!$AH35:$HD35,"&lt;9")/COUNTIFS(응답입력!$AH$3:$HD$3,"L18",응답입력!$AH35:$HD35,"&lt;9"),"")</f>
        <v/>
      </c>
      <c r="T34" s="35" t="str">
        <f aca="false">IF(COUNTIFS(응답입력!$AH$3:$HD$3,"L19",응답입력!$AH35:$HD35,"&lt;9")&gt;=3,SUMIFS(응답입력!$AH35:$HD35,응답입력!$AH$3:$HD$3,"L19",응답입력!$AH35:$HD35,"&lt;9")/COUNTIFS(응답입력!$AH$3:$HD$3,"L19",응답입력!$AH35:$HD35,"&lt;9"),"")</f>
        <v/>
      </c>
      <c r="U34" s="35" t="str">
        <f aca="false">IF(COUNTIFS(응답입력!$AH$3:$HD$3,"L20",응답입력!$AH35:$HD35,"&lt;9")&gt;=3,SUMIFS(응답입력!$AH35:$HD35,응답입력!$AH$3:$HD$3,"L20",응답입력!$AH35:$HD35,"&lt;9")/COUNTIFS(응답입력!$AH$3:$HD$3,"L20",응답입력!$AH35:$HD35,"&lt;9"),"")</f>
        <v/>
      </c>
      <c r="V34" s="35" t="str">
        <f aca="false">IF(COUNTIFS(응답입력!$AH$3:$HD$3,"L21",응답입력!$AH35:$HD35,"&lt;9")&gt;=3,SUMIFS(응답입력!$AH35:$HD35,응답입력!$AH$3:$HD$3,"L21",응답입력!$AH35:$HD35,"&lt;9")/COUNTIFS(응답입력!$AH$3:$HD$3,"L21",응답입력!$AH35:$HD35,"&lt;9"),"")</f>
        <v/>
      </c>
      <c r="W34" s="35" t="str">
        <f aca="false">IF(COUNTIFS(응답입력!$AH$3:$HD$3,"L22",응답입력!$AH35:$HD35,"&lt;9")&gt;=3,SUMIFS(응답입력!$AH35:$HD35,응답입력!$AH$3:$HD$3,"L22",응답입력!$AH35:$HD35,"&lt;9")/COUNTIFS(응답입력!$AH$3:$HD$3,"L22",응답입력!$AH35:$HD35,"&lt;9"),"")</f>
        <v/>
      </c>
      <c r="X34" s="35" t="str">
        <f aca="false">IF(COUNTIFS(응답입력!$AH$3:$HD$3,"L23",응답입력!$AH35:$HD35,"&lt;9")&gt;=3,SUMIFS(응답입력!$AH35:$HD35,응답입력!$AH$3:$HD$3,"L23",응답입력!$AH35:$HD35,"&lt;9")/COUNTIFS(응답입력!$AH$3:$HD$3,"L23",응답입력!$AH35:$HD35,"&lt;9"),"")</f>
        <v/>
      </c>
      <c r="Y34" s="35" t="str">
        <f aca="false">IF(COUNTIFS(응답입력!$AH$3:$HD$3,"L24",응답입력!$AH35:$HD35,"&lt;9")&gt;=3,SUMIFS(응답입력!$AH35:$HD35,응답입력!$AH$3:$HD$3,"L24",응답입력!$AH35:$HD35,"&lt;9")/COUNTIFS(응답입력!$AH$3:$HD$3,"L24",응답입력!$AH35:$HD35,"&lt;9"),"")</f>
        <v/>
      </c>
      <c r="Z34" s="35" t="str">
        <f aca="false">IF(COUNTIFS(응답입력!$AH$3:$HD$3,"L25",응답입력!$AH35:$HD35,"&lt;9")&gt;=3,SUMIFS(응답입력!$AH35:$HD35,응답입력!$AH$3:$HD$3,"L25",응답입력!$AH35:$HD35,"&lt;9")/COUNTIFS(응답입력!$AH$3:$HD$3,"L25",응답입력!$AH35:$HD35,"&lt;9"),"")</f>
        <v/>
      </c>
      <c r="AA34" s="35" t="str">
        <f aca="false">IF(COUNTIFS(응답입력!$AH$3:$HD$3,"L26",응답입력!$AH35:$HD35,"&lt;9")&gt;=3,SUMIFS(응답입력!$AH35:$HD35,응답입력!$AH$3:$HD$3,"L26",응답입력!$AH35:$HD35,"&lt;9")/COUNTIFS(응답입력!$AH$3:$HD$3,"L26",응답입력!$AH35:$HD35,"&lt;9"),"")</f>
        <v/>
      </c>
      <c r="AB34" s="35" t="str">
        <f aca="false">IF(COUNTIFS(응답입력!$AH$3:$HD$3,"L27",응답입력!$AH35:$HD35,"&lt;9")&gt;=3,SUMIFS(응답입력!$AH35:$HD35,응답입력!$AH$3:$HD$3,"L27",응답입력!$AH35:$HD35,"&lt;9")/COUNTIFS(응답입력!$AH$3:$HD$3,"L27",응답입력!$AH35:$HD35,"&lt;9"),"")</f>
        <v/>
      </c>
      <c r="AC34" s="35" t="str">
        <f aca="false">IF(COUNTIFS(응답입력!$AH$3:$HD$3,"L28",응답입력!$AH35:$HD35,"&lt;9")&gt;=3,SUMIFS(응답입력!$AH35:$HD35,응답입력!$AH$3:$HD$3,"L28",응답입력!$AH35:$HD35,"&lt;9")/COUNTIFS(응답입력!$AH$3:$HD$3,"L28",응답입력!$AH35:$HD35,"&lt;9"),"")</f>
        <v/>
      </c>
      <c r="AD34" s="35" t="str">
        <f aca="false">IF(COUNTIFS(응답입력!$AH$3:$HD$3,"L29",응답입력!$AH35:$HD35,"&lt;9")&gt;=3,SUMIFS(응답입력!$AH35:$HD35,응답입력!$AH$3:$HD$3,"L29",응답입력!$AH35:$HD35,"&lt;9")/COUNTIFS(응답입력!$AH$3:$HD$3,"L29",응답입력!$AH35:$HD35,"&lt;9"),"")</f>
        <v/>
      </c>
      <c r="AE34" s="35" t="str">
        <f aca="false">IF(COUNTIFS(응답입력!$AH$3:$HD$3,"L30",응답입력!$AH35:$HD35,"&lt;9")&gt;=3,SUMIFS(응답입력!$AH35:$HD35,응답입력!$AH$3:$HD$3,"L30",응답입력!$AH35:$HD35,"&lt;9")/COUNTIFS(응답입력!$AH$3:$HD$3,"L30",응답입력!$AH35:$HD35,"&lt;9"),"")</f>
        <v/>
      </c>
      <c r="AF34" s="35" t="str">
        <f aca="false">IF(COUNTIFS(응답입력!$AH$3:$HD$3,"L31",응답입력!$AH35:$HD35,"&lt;9")&gt;=3,SUMIFS(응답입력!$AH35:$HD35,응답입력!$AH$3:$HD$3,"L31",응답입력!$AH35:$HD35,"&lt;9")/COUNTIFS(응답입력!$AH$3:$HD$3,"L31",응답입력!$AH35:$HD35,"&lt;9"),"")</f>
        <v/>
      </c>
      <c r="AG34" s="41" t="str">
        <f aca="false">IFERROR(AVERAGE(B34:AF34),"")</f>
        <v/>
      </c>
    </row>
    <row r="35" customFormat="false" ht="15" hidden="false" customHeight="false" outlineLevel="0" collapsed="false">
      <c r="A35" s="27" t="str">
        <f aca="false">IF(응답입력!A36="","",응답입력!A36)</f>
        <v/>
      </c>
      <c r="B35" s="35" t="str">
        <f aca="false">IF(COUNTIFS(응답입력!$AH$3:$HD$3,"L01",응답입력!$AH36:$HD36,"&lt;9")&gt;=3,SUMIFS(응답입력!$AH36:$HD36,응답입력!$AH$3:$HD$3,"L01",응답입력!$AH36:$HD36,"&lt;9")/COUNTIFS(응답입력!$AH$3:$HD$3,"L01",응답입력!$AH36:$HD36,"&lt;9"),"")</f>
        <v/>
      </c>
      <c r="C35" s="35" t="str">
        <f aca="false">IF(COUNTIFS(응답입력!$AH$3:$HD$3,"L02",응답입력!$AH36:$HD36,"&lt;9")&gt;=3,SUMIFS(응답입력!$AH36:$HD36,응답입력!$AH$3:$HD$3,"L02",응답입력!$AH36:$HD36,"&lt;9")/COUNTIFS(응답입력!$AH$3:$HD$3,"L02",응답입력!$AH36:$HD36,"&lt;9"),"")</f>
        <v/>
      </c>
      <c r="D35" s="35" t="str">
        <f aca="false">IF(COUNTIFS(응답입력!$AH$3:$HD$3,"L03",응답입력!$AH36:$HD36,"&lt;9")&gt;=3,SUMIFS(응답입력!$AH36:$HD36,응답입력!$AH$3:$HD$3,"L03",응답입력!$AH36:$HD36,"&lt;9")/COUNTIFS(응답입력!$AH$3:$HD$3,"L03",응답입력!$AH36:$HD36,"&lt;9"),"")</f>
        <v/>
      </c>
      <c r="E35" s="35" t="str">
        <f aca="false">IF(COUNTIFS(응답입력!$AH$3:$HD$3,"L04",응답입력!$AH36:$HD36,"&lt;9")&gt;=3,SUMIFS(응답입력!$AH36:$HD36,응답입력!$AH$3:$HD$3,"L04",응답입력!$AH36:$HD36,"&lt;9")/COUNTIFS(응답입력!$AH$3:$HD$3,"L04",응답입력!$AH36:$HD36,"&lt;9"),"")</f>
        <v/>
      </c>
      <c r="F35" s="35" t="str">
        <f aca="false">IF(COUNTIFS(응답입력!$AH$3:$HD$3,"L05",응답입력!$AH36:$HD36,"&lt;9")&gt;=3,SUMIFS(응답입력!$AH36:$HD36,응답입력!$AH$3:$HD$3,"L05",응답입력!$AH36:$HD36,"&lt;9")/COUNTIFS(응답입력!$AH$3:$HD$3,"L05",응답입력!$AH36:$HD36,"&lt;9"),"")</f>
        <v/>
      </c>
      <c r="G35" s="35" t="str">
        <f aca="false">IF(COUNTIFS(응답입력!$AH$3:$HD$3,"L06",응답입력!$AH36:$HD36,"&lt;9")&gt;=3,SUMIFS(응답입력!$AH36:$HD36,응답입력!$AH$3:$HD$3,"L06",응답입력!$AH36:$HD36,"&lt;9")/COUNTIFS(응답입력!$AH$3:$HD$3,"L06",응답입력!$AH36:$HD36,"&lt;9"),"")</f>
        <v/>
      </c>
      <c r="H35" s="35" t="str">
        <f aca="false">IF(COUNTIFS(응답입력!$AH$3:$HD$3,"L07",응답입력!$AH36:$HD36,"&lt;9")&gt;=3,SUMIFS(응답입력!$AH36:$HD36,응답입력!$AH$3:$HD$3,"L07",응답입력!$AH36:$HD36,"&lt;9")/COUNTIFS(응답입력!$AH$3:$HD$3,"L07",응답입력!$AH36:$HD36,"&lt;9"),"")</f>
        <v/>
      </c>
      <c r="I35" s="35" t="str">
        <f aca="false">IF(COUNTIFS(응답입력!$AH$3:$HD$3,"L08",응답입력!$AH36:$HD36,"&lt;9")&gt;=3,SUMIFS(응답입력!$AH36:$HD36,응답입력!$AH$3:$HD$3,"L08",응답입력!$AH36:$HD36,"&lt;9")/COUNTIFS(응답입력!$AH$3:$HD$3,"L08",응답입력!$AH36:$HD36,"&lt;9"),"")</f>
        <v/>
      </c>
      <c r="J35" s="35" t="str">
        <f aca="false">IF(COUNTIFS(응답입력!$AH$3:$HD$3,"L09",응답입력!$AH36:$HD36,"&lt;9")&gt;=3,SUMIFS(응답입력!$AH36:$HD36,응답입력!$AH$3:$HD$3,"L09",응답입력!$AH36:$HD36,"&lt;9")/COUNTIFS(응답입력!$AH$3:$HD$3,"L09",응답입력!$AH36:$HD36,"&lt;9"),"")</f>
        <v/>
      </c>
      <c r="K35" s="35" t="str">
        <f aca="false">IF(COUNTIFS(응답입력!$AH$3:$HD$3,"L10",응답입력!$AH36:$HD36,"&lt;9")&gt;=3,SUMIFS(응답입력!$AH36:$HD36,응답입력!$AH$3:$HD$3,"L10",응답입력!$AH36:$HD36,"&lt;9")/COUNTIFS(응답입력!$AH$3:$HD$3,"L10",응답입력!$AH36:$HD36,"&lt;9"),"")</f>
        <v/>
      </c>
      <c r="L35" s="35" t="str">
        <f aca="false">IF(COUNTIFS(응답입력!$AH$3:$HD$3,"L11",응답입력!$AH36:$HD36,"&lt;9")&gt;=3,SUMIFS(응답입력!$AH36:$HD36,응답입력!$AH$3:$HD$3,"L11",응답입력!$AH36:$HD36,"&lt;9")/COUNTIFS(응답입력!$AH$3:$HD$3,"L11",응답입력!$AH36:$HD36,"&lt;9"),"")</f>
        <v/>
      </c>
      <c r="M35" s="35" t="str">
        <f aca="false">IF(COUNTIFS(응답입력!$AH$3:$HD$3,"L12",응답입력!$AH36:$HD36,"&lt;9")&gt;=3,SUMIFS(응답입력!$AH36:$HD36,응답입력!$AH$3:$HD$3,"L12",응답입력!$AH36:$HD36,"&lt;9")/COUNTIFS(응답입력!$AH$3:$HD$3,"L12",응답입력!$AH36:$HD36,"&lt;9"),"")</f>
        <v/>
      </c>
      <c r="N35" s="35" t="str">
        <f aca="false">IF(COUNTIFS(응답입력!$AH$3:$HD$3,"L13",응답입력!$AH36:$HD36,"&lt;9")&gt;=3,SUMIFS(응답입력!$AH36:$HD36,응답입력!$AH$3:$HD$3,"L13",응답입력!$AH36:$HD36,"&lt;9")/COUNTIFS(응답입력!$AH$3:$HD$3,"L13",응답입력!$AH36:$HD36,"&lt;9"),"")</f>
        <v/>
      </c>
      <c r="O35" s="35" t="str">
        <f aca="false">IF(COUNTIFS(응답입력!$AH$3:$HD$3,"L14",응답입력!$AH36:$HD36,"&lt;9")&gt;=3,SUMIFS(응답입력!$AH36:$HD36,응답입력!$AH$3:$HD$3,"L14",응답입력!$AH36:$HD36,"&lt;9")/COUNTIFS(응답입력!$AH$3:$HD$3,"L14",응답입력!$AH36:$HD36,"&lt;9"),"")</f>
        <v/>
      </c>
      <c r="P35" s="35" t="str">
        <f aca="false">IF(COUNTIFS(응답입력!$AH$3:$HD$3,"L15",응답입력!$AH36:$HD36,"&lt;9")&gt;=3,SUMIFS(응답입력!$AH36:$HD36,응답입력!$AH$3:$HD$3,"L15",응답입력!$AH36:$HD36,"&lt;9")/COUNTIFS(응답입력!$AH$3:$HD$3,"L15",응답입력!$AH36:$HD36,"&lt;9"),"")</f>
        <v/>
      </c>
      <c r="Q35" s="35" t="str">
        <f aca="false">IF(COUNTIFS(응답입력!$AH$3:$HD$3,"L16",응답입력!$AH36:$HD36,"&lt;9")&gt;=3,SUMIFS(응답입력!$AH36:$HD36,응답입력!$AH$3:$HD$3,"L16",응답입력!$AH36:$HD36,"&lt;9")/COUNTIFS(응답입력!$AH$3:$HD$3,"L16",응답입력!$AH36:$HD36,"&lt;9"),"")</f>
        <v/>
      </c>
      <c r="R35" s="35" t="str">
        <f aca="false">IF(COUNTIFS(응답입력!$AH$3:$HD$3,"L17",응답입력!$AH36:$HD36,"&lt;9")&gt;=3,SUMIFS(응답입력!$AH36:$HD36,응답입력!$AH$3:$HD$3,"L17",응답입력!$AH36:$HD36,"&lt;9")/COUNTIFS(응답입력!$AH$3:$HD$3,"L17",응답입력!$AH36:$HD36,"&lt;9"),"")</f>
        <v/>
      </c>
      <c r="S35" s="35" t="str">
        <f aca="false">IF(COUNTIFS(응답입력!$AH$3:$HD$3,"L18",응답입력!$AH36:$HD36,"&lt;9")&gt;=3,SUMIFS(응답입력!$AH36:$HD36,응답입력!$AH$3:$HD$3,"L18",응답입력!$AH36:$HD36,"&lt;9")/COUNTIFS(응답입력!$AH$3:$HD$3,"L18",응답입력!$AH36:$HD36,"&lt;9"),"")</f>
        <v/>
      </c>
      <c r="T35" s="35" t="str">
        <f aca="false">IF(COUNTIFS(응답입력!$AH$3:$HD$3,"L19",응답입력!$AH36:$HD36,"&lt;9")&gt;=3,SUMIFS(응답입력!$AH36:$HD36,응답입력!$AH$3:$HD$3,"L19",응답입력!$AH36:$HD36,"&lt;9")/COUNTIFS(응답입력!$AH$3:$HD$3,"L19",응답입력!$AH36:$HD36,"&lt;9"),"")</f>
        <v/>
      </c>
      <c r="U35" s="35" t="str">
        <f aca="false">IF(COUNTIFS(응답입력!$AH$3:$HD$3,"L20",응답입력!$AH36:$HD36,"&lt;9")&gt;=3,SUMIFS(응답입력!$AH36:$HD36,응답입력!$AH$3:$HD$3,"L20",응답입력!$AH36:$HD36,"&lt;9")/COUNTIFS(응답입력!$AH$3:$HD$3,"L20",응답입력!$AH36:$HD36,"&lt;9"),"")</f>
        <v/>
      </c>
      <c r="V35" s="35" t="str">
        <f aca="false">IF(COUNTIFS(응답입력!$AH$3:$HD$3,"L21",응답입력!$AH36:$HD36,"&lt;9")&gt;=3,SUMIFS(응답입력!$AH36:$HD36,응답입력!$AH$3:$HD$3,"L21",응답입력!$AH36:$HD36,"&lt;9")/COUNTIFS(응답입력!$AH$3:$HD$3,"L21",응답입력!$AH36:$HD36,"&lt;9"),"")</f>
        <v/>
      </c>
      <c r="W35" s="35" t="str">
        <f aca="false">IF(COUNTIFS(응답입력!$AH$3:$HD$3,"L22",응답입력!$AH36:$HD36,"&lt;9")&gt;=3,SUMIFS(응답입력!$AH36:$HD36,응답입력!$AH$3:$HD$3,"L22",응답입력!$AH36:$HD36,"&lt;9")/COUNTIFS(응답입력!$AH$3:$HD$3,"L22",응답입력!$AH36:$HD36,"&lt;9"),"")</f>
        <v/>
      </c>
      <c r="X35" s="35" t="str">
        <f aca="false">IF(COUNTIFS(응답입력!$AH$3:$HD$3,"L23",응답입력!$AH36:$HD36,"&lt;9")&gt;=3,SUMIFS(응답입력!$AH36:$HD36,응답입력!$AH$3:$HD$3,"L23",응답입력!$AH36:$HD36,"&lt;9")/COUNTIFS(응답입력!$AH$3:$HD$3,"L23",응답입력!$AH36:$HD36,"&lt;9"),"")</f>
        <v/>
      </c>
      <c r="Y35" s="35" t="str">
        <f aca="false">IF(COUNTIFS(응답입력!$AH$3:$HD$3,"L24",응답입력!$AH36:$HD36,"&lt;9")&gt;=3,SUMIFS(응답입력!$AH36:$HD36,응답입력!$AH$3:$HD$3,"L24",응답입력!$AH36:$HD36,"&lt;9")/COUNTIFS(응답입력!$AH$3:$HD$3,"L24",응답입력!$AH36:$HD36,"&lt;9"),"")</f>
        <v/>
      </c>
      <c r="Z35" s="35" t="str">
        <f aca="false">IF(COUNTIFS(응답입력!$AH$3:$HD$3,"L25",응답입력!$AH36:$HD36,"&lt;9")&gt;=3,SUMIFS(응답입력!$AH36:$HD36,응답입력!$AH$3:$HD$3,"L25",응답입력!$AH36:$HD36,"&lt;9")/COUNTIFS(응답입력!$AH$3:$HD$3,"L25",응답입력!$AH36:$HD36,"&lt;9"),"")</f>
        <v/>
      </c>
      <c r="AA35" s="35" t="str">
        <f aca="false">IF(COUNTIFS(응답입력!$AH$3:$HD$3,"L26",응답입력!$AH36:$HD36,"&lt;9")&gt;=3,SUMIFS(응답입력!$AH36:$HD36,응답입력!$AH$3:$HD$3,"L26",응답입력!$AH36:$HD36,"&lt;9")/COUNTIFS(응답입력!$AH$3:$HD$3,"L26",응답입력!$AH36:$HD36,"&lt;9"),"")</f>
        <v/>
      </c>
      <c r="AB35" s="35" t="str">
        <f aca="false">IF(COUNTIFS(응답입력!$AH$3:$HD$3,"L27",응답입력!$AH36:$HD36,"&lt;9")&gt;=3,SUMIFS(응답입력!$AH36:$HD36,응답입력!$AH$3:$HD$3,"L27",응답입력!$AH36:$HD36,"&lt;9")/COUNTIFS(응답입력!$AH$3:$HD$3,"L27",응답입력!$AH36:$HD36,"&lt;9"),"")</f>
        <v/>
      </c>
      <c r="AC35" s="35" t="str">
        <f aca="false">IF(COUNTIFS(응답입력!$AH$3:$HD$3,"L28",응답입력!$AH36:$HD36,"&lt;9")&gt;=3,SUMIFS(응답입력!$AH36:$HD36,응답입력!$AH$3:$HD$3,"L28",응답입력!$AH36:$HD36,"&lt;9")/COUNTIFS(응답입력!$AH$3:$HD$3,"L28",응답입력!$AH36:$HD36,"&lt;9"),"")</f>
        <v/>
      </c>
      <c r="AD35" s="35" t="str">
        <f aca="false">IF(COUNTIFS(응답입력!$AH$3:$HD$3,"L29",응답입력!$AH36:$HD36,"&lt;9")&gt;=3,SUMIFS(응답입력!$AH36:$HD36,응답입력!$AH$3:$HD$3,"L29",응답입력!$AH36:$HD36,"&lt;9")/COUNTIFS(응답입력!$AH$3:$HD$3,"L29",응답입력!$AH36:$HD36,"&lt;9"),"")</f>
        <v/>
      </c>
      <c r="AE35" s="35" t="str">
        <f aca="false">IF(COUNTIFS(응답입력!$AH$3:$HD$3,"L30",응답입력!$AH36:$HD36,"&lt;9")&gt;=3,SUMIFS(응답입력!$AH36:$HD36,응답입력!$AH$3:$HD$3,"L30",응답입력!$AH36:$HD36,"&lt;9")/COUNTIFS(응답입력!$AH$3:$HD$3,"L30",응답입력!$AH36:$HD36,"&lt;9"),"")</f>
        <v/>
      </c>
      <c r="AF35" s="35" t="str">
        <f aca="false">IF(COUNTIFS(응답입력!$AH$3:$HD$3,"L31",응답입력!$AH36:$HD36,"&lt;9")&gt;=3,SUMIFS(응답입력!$AH36:$HD36,응답입력!$AH$3:$HD$3,"L31",응답입력!$AH36:$HD36,"&lt;9")/COUNTIFS(응답입력!$AH$3:$HD$3,"L31",응답입력!$AH36:$HD36,"&lt;9"),"")</f>
        <v/>
      </c>
      <c r="AG35" s="41" t="str">
        <f aca="false">IFERROR(AVERAGE(B35:AF35),"")</f>
        <v/>
      </c>
    </row>
    <row r="36" customFormat="false" ht="15" hidden="false" customHeight="false" outlineLevel="0" collapsed="false">
      <c r="A36" s="27" t="str">
        <f aca="false">IF(응답입력!A37="","",응답입력!A37)</f>
        <v/>
      </c>
      <c r="B36" s="35" t="str">
        <f aca="false">IF(COUNTIFS(응답입력!$AH$3:$HD$3,"L01",응답입력!$AH37:$HD37,"&lt;9")&gt;=3,SUMIFS(응답입력!$AH37:$HD37,응답입력!$AH$3:$HD$3,"L01",응답입력!$AH37:$HD37,"&lt;9")/COUNTIFS(응답입력!$AH$3:$HD$3,"L01",응답입력!$AH37:$HD37,"&lt;9"),"")</f>
        <v/>
      </c>
      <c r="C36" s="35" t="str">
        <f aca="false">IF(COUNTIFS(응답입력!$AH$3:$HD$3,"L02",응답입력!$AH37:$HD37,"&lt;9")&gt;=3,SUMIFS(응답입력!$AH37:$HD37,응답입력!$AH$3:$HD$3,"L02",응답입력!$AH37:$HD37,"&lt;9")/COUNTIFS(응답입력!$AH$3:$HD$3,"L02",응답입력!$AH37:$HD37,"&lt;9"),"")</f>
        <v/>
      </c>
      <c r="D36" s="35" t="str">
        <f aca="false">IF(COUNTIFS(응답입력!$AH$3:$HD$3,"L03",응답입력!$AH37:$HD37,"&lt;9")&gt;=3,SUMIFS(응답입력!$AH37:$HD37,응답입력!$AH$3:$HD$3,"L03",응답입력!$AH37:$HD37,"&lt;9")/COUNTIFS(응답입력!$AH$3:$HD$3,"L03",응답입력!$AH37:$HD37,"&lt;9"),"")</f>
        <v/>
      </c>
      <c r="E36" s="35" t="str">
        <f aca="false">IF(COUNTIFS(응답입력!$AH$3:$HD$3,"L04",응답입력!$AH37:$HD37,"&lt;9")&gt;=3,SUMIFS(응답입력!$AH37:$HD37,응답입력!$AH$3:$HD$3,"L04",응답입력!$AH37:$HD37,"&lt;9")/COUNTIFS(응답입력!$AH$3:$HD$3,"L04",응답입력!$AH37:$HD37,"&lt;9"),"")</f>
        <v/>
      </c>
      <c r="F36" s="35" t="str">
        <f aca="false">IF(COUNTIFS(응답입력!$AH$3:$HD$3,"L05",응답입력!$AH37:$HD37,"&lt;9")&gt;=3,SUMIFS(응답입력!$AH37:$HD37,응답입력!$AH$3:$HD$3,"L05",응답입력!$AH37:$HD37,"&lt;9")/COUNTIFS(응답입력!$AH$3:$HD$3,"L05",응답입력!$AH37:$HD37,"&lt;9"),"")</f>
        <v/>
      </c>
      <c r="G36" s="35" t="str">
        <f aca="false">IF(COUNTIFS(응답입력!$AH$3:$HD$3,"L06",응답입력!$AH37:$HD37,"&lt;9")&gt;=3,SUMIFS(응답입력!$AH37:$HD37,응답입력!$AH$3:$HD$3,"L06",응답입력!$AH37:$HD37,"&lt;9")/COUNTIFS(응답입력!$AH$3:$HD$3,"L06",응답입력!$AH37:$HD37,"&lt;9"),"")</f>
        <v/>
      </c>
      <c r="H36" s="35" t="str">
        <f aca="false">IF(COUNTIFS(응답입력!$AH$3:$HD$3,"L07",응답입력!$AH37:$HD37,"&lt;9")&gt;=3,SUMIFS(응답입력!$AH37:$HD37,응답입력!$AH$3:$HD$3,"L07",응답입력!$AH37:$HD37,"&lt;9")/COUNTIFS(응답입력!$AH$3:$HD$3,"L07",응답입력!$AH37:$HD37,"&lt;9"),"")</f>
        <v/>
      </c>
      <c r="I36" s="35" t="str">
        <f aca="false">IF(COUNTIFS(응답입력!$AH$3:$HD$3,"L08",응답입력!$AH37:$HD37,"&lt;9")&gt;=3,SUMIFS(응답입력!$AH37:$HD37,응답입력!$AH$3:$HD$3,"L08",응답입력!$AH37:$HD37,"&lt;9")/COUNTIFS(응답입력!$AH$3:$HD$3,"L08",응답입력!$AH37:$HD37,"&lt;9"),"")</f>
        <v/>
      </c>
      <c r="J36" s="35" t="str">
        <f aca="false">IF(COUNTIFS(응답입력!$AH$3:$HD$3,"L09",응답입력!$AH37:$HD37,"&lt;9")&gt;=3,SUMIFS(응답입력!$AH37:$HD37,응답입력!$AH$3:$HD$3,"L09",응답입력!$AH37:$HD37,"&lt;9")/COUNTIFS(응답입력!$AH$3:$HD$3,"L09",응답입력!$AH37:$HD37,"&lt;9"),"")</f>
        <v/>
      </c>
      <c r="K36" s="35" t="str">
        <f aca="false">IF(COUNTIFS(응답입력!$AH$3:$HD$3,"L10",응답입력!$AH37:$HD37,"&lt;9")&gt;=3,SUMIFS(응답입력!$AH37:$HD37,응답입력!$AH$3:$HD$3,"L10",응답입력!$AH37:$HD37,"&lt;9")/COUNTIFS(응답입력!$AH$3:$HD$3,"L10",응답입력!$AH37:$HD37,"&lt;9"),"")</f>
        <v/>
      </c>
      <c r="L36" s="35" t="str">
        <f aca="false">IF(COUNTIFS(응답입력!$AH$3:$HD$3,"L11",응답입력!$AH37:$HD37,"&lt;9")&gt;=3,SUMIFS(응답입력!$AH37:$HD37,응답입력!$AH$3:$HD$3,"L11",응답입력!$AH37:$HD37,"&lt;9")/COUNTIFS(응답입력!$AH$3:$HD$3,"L11",응답입력!$AH37:$HD37,"&lt;9"),"")</f>
        <v/>
      </c>
      <c r="M36" s="35" t="str">
        <f aca="false">IF(COUNTIFS(응답입력!$AH$3:$HD$3,"L12",응답입력!$AH37:$HD37,"&lt;9")&gt;=3,SUMIFS(응답입력!$AH37:$HD37,응답입력!$AH$3:$HD$3,"L12",응답입력!$AH37:$HD37,"&lt;9")/COUNTIFS(응답입력!$AH$3:$HD$3,"L12",응답입력!$AH37:$HD37,"&lt;9"),"")</f>
        <v/>
      </c>
      <c r="N36" s="35" t="str">
        <f aca="false">IF(COUNTIFS(응답입력!$AH$3:$HD$3,"L13",응답입력!$AH37:$HD37,"&lt;9")&gt;=3,SUMIFS(응답입력!$AH37:$HD37,응답입력!$AH$3:$HD$3,"L13",응답입력!$AH37:$HD37,"&lt;9")/COUNTIFS(응답입력!$AH$3:$HD$3,"L13",응답입력!$AH37:$HD37,"&lt;9"),"")</f>
        <v/>
      </c>
      <c r="O36" s="35" t="str">
        <f aca="false">IF(COUNTIFS(응답입력!$AH$3:$HD$3,"L14",응답입력!$AH37:$HD37,"&lt;9")&gt;=3,SUMIFS(응답입력!$AH37:$HD37,응답입력!$AH$3:$HD$3,"L14",응답입력!$AH37:$HD37,"&lt;9")/COUNTIFS(응답입력!$AH$3:$HD$3,"L14",응답입력!$AH37:$HD37,"&lt;9"),"")</f>
        <v/>
      </c>
      <c r="P36" s="35" t="str">
        <f aca="false">IF(COUNTIFS(응답입력!$AH$3:$HD$3,"L15",응답입력!$AH37:$HD37,"&lt;9")&gt;=3,SUMIFS(응답입력!$AH37:$HD37,응답입력!$AH$3:$HD$3,"L15",응답입력!$AH37:$HD37,"&lt;9")/COUNTIFS(응답입력!$AH$3:$HD$3,"L15",응답입력!$AH37:$HD37,"&lt;9"),"")</f>
        <v/>
      </c>
      <c r="Q36" s="35" t="str">
        <f aca="false">IF(COUNTIFS(응답입력!$AH$3:$HD$3,"L16",응답입력!$AH37:$HD37,"&lt;9")&gt;=3,SUMIFS(응답입력!$AH37:$HD37,응답입력!$AH$3:$HD$3,"L16",응답입력!$AH37:$HD37,"&lt;9")/COUNTIFS(응답입력!$AH$3:$HD$3,"L16",응답입력!$AH37:$HD37,"&lt;9"),"")</f>
        <v/>
      </c>
      <c r="R36" s="35" t="str">
        <f aca="false">IF(COUNTIFS(응답입력!$AH$3:$HD$3,"L17",응답입력!$AH37:$HD37,"&lt;9")&gt;=3,SUMIFS(응답입력!$AH37:$HD37,응답입력!$AH$3:$HD$3,"L17",응답입력!$AH37:$HD37,"&lt;9")/COUNTIFS(응답입력!$AH$3:$HD$3,"L17",응답입력!$AH37:$HD37,"&lt;9"),"")</f>
        <v/>
      </c>
      <c r="S36" s="35" t="str">
        <f aca="false">IF(COUNTIFS(응답입력!$AH$3:$HD$3,"L18",응답입력!$AH37:$HD37,"&lt;9")&gt;=3,SUMIFS(응답입력!$AH37:$HD37,응답입력!$AH$3:$HD$3,"L18",응답입력!$AH37:$HD37,"&lt;9")/COUNTIFS(응답입력!$AH$3:$HD$3,"L18",응답입력!$AH37:$HD37,"&lt;9"),"")</f>
        <v/>
      </c>
      <c r="T36" s="35" t="str">
        <f aca="false">IF(COUNTIFS(응답입력!$AH$3:$HD$3,"L19",응답입력!$AH37:$HD37,"&lt;9")&gt;=3,SUMIFS(응답입력!$AH37:$HD37,응답입력!$AH$3:$HD$3,"L19",응답입력!$AH37:$HD37,"&lt;9")/COUNTIFS(응답입력!$AH$3:$HD$3,"L19",응답입력!$AH37:$HD37,"&lt;9"),"")</f>
        <v/>
      </c>
      <c r="U36" s="35" t="str">
        <f aca="false">IF(COUNTIFS(응답입력!$AH$3:$HD$3,"L20",응답입력!$AH37:$HD37,"&lt;9")&gt;=3,SUMIFS(응답입력!$AH37:$HD37,응답입력!$AH$3:$HD$3,"L20",응답입력!$AH37:$HD37,"&lt;9")/COUNTIFS(응답입력!$AH$3:$HD$3,"L20",응답입력!$AH37:$HD37,"&lt;9"),"")</f>
        <v/>
      </c>
      <c r="V36" s="35" t="str">
        <f aca="false">IF(COUNTIFS(응답입력!$AH$3:$HD$3,"L21",응답입력!$AH37:$HD37,"&lt;9")&gt;=3,SUMIFS(응답입력!$AH37:$HD37,응답입력!$AH$3:$HD$3,"L21",응답입력!$AH37:$HD37,"&lt;9")/COUNTIFS(응답입력!$AH$3:$HD$3,"L21",응답입력!$AH37:$HD37,"&lt;9"),"")</f>
        <v/>
      </c>
      <c r="W36" s="35" t="str">
        <f aca="false">IF(COUNTIFS(응답입력!$AH$3:$HD$3,"L22",응답입력!$AH37:$HD37,"&lt;9")&gt;=3,SUMIFS(응답입력!$AH37:$HD37,응답입력!$AH$3:$HD$3,"L22",응답입력!$AH37:$HD37,"&lt;9")/COUNTIFS(응답입력!$AH$3:$HD$3,"L22",응답입력!$AH37:$HD37,"&lt;9"),"")</f>
        <v/>
      </c>
      <c r="X36" s="35" t="str">
        <f aca="false">IF(COUNTIFS(응답입력!$AH$3:$HD$3,"L23",응답입력!$AH37:$HD37,"&lt;9")&gt;=3,SUMIFS(응답입력!$AH37:$HD37,응답입력!$AH$3:$HD$3,"L23",응답입력!$AH37:$HD37,"&lt;9")/COUNTIFS(응답입력!$AH$3:$HD$3,"L23",응답입력!$AH37:$HD37,"&lt;9"),"")</f>
        <v/>
      </c>
      <c r="Y36" s="35" t="str">
        <f aca="false">IF(COUNTIFS(응답입력!$AH$3:$HD$3,"L24",응답입력!$AH37:$HD37,"&lt;9")&gt;=3,SUMIFS(응답입력!$AH37:$HD37,응답입력!$AH$3:$HD$3,"L24",응답입력!$AH37:$HD37,"&lt;9")/COUNTIFS(응답입력!$AH$3:$HD$3,"L24",응답입력!$AH37:$HD37,"&lt;9"),"")</f>
        <v/>
      </c>
      <c r="Z36" s="35" t="str">
        <f aca="false">IF(COUNTIFS(응답입력!$AH$3:$HD$3,"L25",응답입력!$AH37:$HD37,"&lt;9")&gt;=3,SUMIFS(응답입력!$AH37:$HD37,응답입력!$AH$3:$HD$3,"L25",응답입력!$AH37:$HD37,"&lt;9")/COUNTIFS(응답입력!$AH$3:$HD$3,"L25",응답입력!$AH37:$HD37,"&lt;9"),"")</f>
        <v/>
      </c>
      <c r="AA36" s="35" t="str">
        <f aca="false">IF(COUNTIFS(응답입력!$AH$3:$HD$3,"L26",응답입력!$AH37:$HD37,"&lt;9")&gt;=3,SUMIFS(응답입력!$AH37:$HD37,응답입력!$AH$3:$HD$3,"L26",응답입력!$AH37:$HD37,"&lt;9")/COUNTIFS(응답입력!$AH$3:$HD$3,"L26",응답입력!$AH37:$HD37,"&lt;9"),"")</f>
        <v/>
      </c>
      <c r="AB36" s="35" t="str">
        <f aca="false">IF(COUNTIFS(응답입력!$AH$3:$HD$3,"L27",응답입력!$AH37:$HD37,"&lt;9")&gt;=3,SUMIFS(응답입력!$AH37:$HD37,응답입력!$AH$3:$HD$3,"L27",응답입력!$AH37:$HD37,"&lt;9")/COUNTIFS(응답입력!$AH$3:$HD$3,"L27",응답입력!$AH37:$HD37,"&lt;9"),"")</f>
        <v/>
      </c>
      <c r="AC36" s="35" t="str">
        <f aca="false">IF(COUNTIFS(응답입력!$AH$3:$HD$3,"L28",응답입력!$AH37:$HD37,"&lt;9")&gt;=3,SUMIFS(응답입력!$AH37:$HD37,응답입력!$AH$3:$HD$3,"L28",응답입력!$AH37:$HD37,"&lt;9")/COUNTIFS(응답입력!$AH$3:$HD$3,"L28",응답입력!$AH37:$HD37,"&lt;9"),"")</f>
        <v/>
      </c>
      <c r="AD36" s="35" t="str">
        <f aca="false">IF(COUNTIFS(응답입력!$AH$3:$HD$3,"L29",응답입력!$AH37:$HD37,"&lt;9")&gt;=3,SUMIFS(응답입력!$AH37:$HD37,응답입력!$AH$3:$HD$3,"L29",응답입력!$AH37:$HD37,"&lt;9")/COUNTIFS(응답입력!$AH$3:$HD$3,"L29",응답입력!$AH37:$HD37,"&lt;9"),"")</f>
        <v/>
      </c>
      <c r="AE36" s="35" t="str">
        <f aca="false">IF(COUNTIFS(응답입력!$AH$3:$HD$3,"L30",응답입력!$AH37:$HD37,"&lt;9")&gt;=3,SUMIFS(응답입력!$AH37:$HD37,응답입력!$AH$3:$HD$3,"L30",응답입력!$AH37:$HD37,"&lt;9")/COUNTIFS(응답입력!$AH$3:$HD$3,"L30",응답입력!$AH37:$HD37,"&lt;9"),"")</f>
        <v/>
      </c>
      <c r="AF36" s="35" t="str">
        <f aca="false">IF(COUNTIFS(응답입력!$AH$3:$HD$3,"L31",응답입력!$AH37:$HD37,"&lt;9")&gt;=3,SUMIFS(응답입력!$AH37:$HD37,응답입력!$AH$3:$HD$3,"L31",응답입력!$AH37:$HD37,"&lt;9")/COUNTIFS(응답입력!$AH$3:$HD$3,"L31",응답입력!$AH37:$HD37,"&lt;9"),"")</f>
        <v/>
      </c>
      <c r="AG36" s="41" t="str">
        <f aca="false">IFERROR(AVERAGE(B36:AF36),"")</f>
        <v/>
      </c>
    </row>
    <row r="37" customFormat="false" ht="15" hidden="false" customHeight="false" outlineLevel="0" collapsed="false">
      <c r="A37" s="27" t="str">
        <f aca="false">IF(응답입력!A38="","",응답입력!A38)</f>
        <v/>
      </c>
      <c r="B37" s="35" t="str">
        <f aca="false">IF(COUNTIFS(응답입력!$AH$3:$HD$3,"L01",응답입력!$AH38:$HD38,"&lt;9")&gt;=3,SUMIFS(응답입력!$AH38:$HD38,응답입력!$AH$3:$HD$3,"L01",응답입력!$AH38:$HD38,"&lt;9")/COUNTIFS(응답입력!$AH$3:$HD$3,"L01",응답입력!$AH38:$HD38,"&lt;9"),"")</f>
        <v/>
      </c>
      <c r="C37" s="35" t="str">
        <f aca="false">IF(COUNTIFS(응답입력!$AH$3:$HD$3,"L02",응답입력!$AH38:$HD38,"&lt;9")&gt;=3,SUMIFS(응답입력!$AH38:$HD38,응답입력!$AH$3:$HD$3,"L02",응답입력!$AH38:$HD38,"&lt;9")/COUNTIFS(응답입력!$AH$3:$HD$3,"L02",응답입력!$AH38:$HD38,"&lt;9"),"")</f>
        <v/>
      </c>
      <c r="D37" s="35" t="str">
        <f aca="false">IF(COUNTIFS(응답입력!$AH$3:$HD$3,"L03",응답입력!$AH38:$HD38,"&lt;9")&gt;=3,SUMIFS(응답입력!$AH38:$HD38,응답입력!$AH$3:$HD$3,"L03",응답입력!$AH38:$HD38,"&lt;9")/COUNTIFS(응답입력!$AH$3:$HD$3,"L03",응답입력!$AH38:$HD38,"&lt;9"),"")</f>
        <v/>
      </c>
      <c r="E37" s="35" t="str">
        <f aca="false">IF(COUNTIFS(응답입력!$AH$3:$HD$3,"L04",응답입력!$AH38:$HD38,"&lt;9")&gt;=3,SUMIFS(응답입력!$AH38:$HD38,응답입력!$AH$3:$HD$3,"L04",응답입력!$AH38:$HD38,"&lt;9")/COUNTIFS(응답입력!$AH$3:$HD$3,"L04",응답입력!$AH38:$HD38,"&lt;9"),"")</f>
        <v/>
      </c>
      <c r="F37" s="35" t="str">
        <f aca="false">IF(COUNTIFS(응답입력!$AH$3:$HD$3,"L05",응답입력!$AH38:$HD38,"&lt;9")&gt;=3,SUMIFS(응답입력!$AH38:$HD38,응답입력!$AH$3:$HD$3,"L05",응답입력!$AH38:$HD38,"&lt;9")/COUNTIFS(응답입력!$AH$3:$HD$3,"L05",응답입력!$AH38:$HD38,"&lt;9"),"")</f>
        <v/>
      </c>
      <c r="G37" s="35" t="str">
        <f aca="false">IF(COUNTIFS(응답입력!$AH$3:$HD$3,"L06",응답입력!$AH38:$HD38,"&lt;9")&gt;=3,SUMIFS(응답입력!$AH38:$HD38,응답입력!$AH$3:$HD$3,"L06",응답입력!$AH38:$HD38,"&lt;9")/COUNTIFS(응답입력!$AH$3:$HD$3,"L06",응답입력!$AH38:$HD38,"&lt;9"),"")</f>
        <v/>
      </c>
      <c r="H37" s="35" t="str">
        <f aca="false">IF(COUNTIFS(응답입력!$AH$3:$HD$3,"L07",응답입력!$AH38:$HD38,"&lt;9")&gt;=3,SUMIFS(응답입력!$AH38:$HD38,응답입력!$AH$3:$HD$3,"L07",응답입력!$AH38:$HD38,"&lt;9")/COUNTIFS(응답입력!$AH$3:$HD$3,"L07",응답입력!$AH38:$HD38,"&lt;9"),"")</f>
        <v/>
      </c>
      <c r="I37" s="35" t="str">
        <f aca="false">IF(COUNTIFS(응답입력!$AH$3:$HD$3,"L08",응답입력!$AH38:$HD38,"&lt;9")&gt;=3,SUMIFS(응답입력!$AH38:$HD38,응답입력!$AH$3:$HD$3,"L08",응답입력!$AH38:$HD38,"&lt;9")/COUNTIFS(응답입력!$AH$3:$HD$3,"L08",응답입력!$AH38:$HD38,"&lt;9"),"")</f>
        <v/>
      </c>
      <c r="J37" s="35" t="str">
        <f aca="false">IF(COUNTIFS(응답입력!$AH$3:$HD$3,"L09",응답입력!$AH38:$HD38,"&lt;9")&gt;=3,SUMIFS(응답입력!$AH38:$HD38,응답입력!$AH$3:$HD$3,"L09",응답입력!$AH38:$HD38,"&lt;9")/COUNTIFS(응답입력!$AH$3:$HD$3,"L09",응답입력!$AH38:$HD38,"&lt;9"),"")</f>
        <v/>
      </c>
      <c r="K37" s="35" t="str">
        <f aca="false">IF(COUNTIFS(응답입력!$AH$3:$HD$3,"L10",응답입력!$AH38:$HD38,"&lt;9")&gt;=3,SUMIFS(응답입력!$AH38:$HD38,응답입력!$AH$3:$HD$3,"L10",응답입력!$AH38:$HD38,"&lt;9")/COUNTIFS(응답입력!$AH$3:$HD$3,"L10",응답입력!$AH38:$HD38,"&lt;9"),"")</f>
        <v/>
      </c>
      <c r="L37" s="35" t="str">
        <f aca="false">IF(COUNTIFS(응답입력!$AH$3:$HD$3,"L11",응답입력!$AH38:$HD38,"&lt;9")&gt;=3,SUMIFS(응답입력!$AH38:$HD38,응답입력!$AH$3:$HD$3,"L11",응답입력!$AH38:$HD38,"&lt;9")/COUNTIFS(응답입력!$AH$3:$HD$3,"L11",응답입력!$AH38:$HD38,"&lt;9"),"")</f>
        <v/>
      </c>
      <c r="M37" s="35" t="str">
        <f aca="false">IF(COUNTIFS(응답입력!$AH$3:$HD$3,"L12",응답입력!$AH38:$HD38,"&lt;9")&gt;=3,SUMIFS(응답입력!$AH38:$HD38,응답입력!$AH$3:$HD$3,"L12",응답입력!$AH38:$HD38,"&lt;9")/COUNTIFS(응답입력!$AH$3:$HD$3,"L12",응답입력!$AH38:$HD38,"&lt;9"),"")</f>
        <v/>
      </c>
      <c r="N37" s="35" t="str">
        <f aca="false">IF(COUNTIFS(응답입력!$AH$3:$HD$3,"L13",응답입력!$AH38:$HD38,"&lt;9")&gt;=3,SUMIFS(응답입력!$AH38:$HD38,응답입력!$AH$3:$HD$3,"L13",응답입력!$AH38:$HD38,"&lt;9")/COUNTIFS(응답입력!$AH$3:$HD$3,"L13",응답입력!$AH38:$HD38,"&lt;9"),"")</f>
        <v/>
      </c>
      <c r="O37" s="35" t="str">
        <f aca="false">IF(COUNTIFS(응답입력!$AH$3:$HD$3,"L14",응답입력!$AH38:$HD38,"&lt;9")&gt;=3,SUMIFS(응답입력!$AH38:$HD38,응답입력!$AH$3:$HD$3,"L14",응답입력!$AH38:$HD38,"&lt;9")/COUNTIFS(응답입력!$AH$3:$HD$3,"L14",응답입력!$AH38:$HD38,"&lt;9"),"")</f>
        <v/>
      </c>
      <c r="P37" s="35" t="str">
        <f aca="false">IF(COUNTIFS(응답입력!$AH$3:$HD$3,"L15",응답입력!$AH38:$HD38,"&lt;9")&gt;=3,SUMIFS(응답입력!$AH38:$HD38,응답입력!$AH$3:$HD$3,"L15",응답입력!$AH38:$HD38,"&lt;9")/COUNTIFS(응답입력!$AH$3:$HD$3,"L15",응답입력!$AH38:$HD38,"&lt;9"),"")</f>
        <v/>
      </c>
      <c r="Q37" s="35" t="str">
        <f aca="false">IF(COUNTIFS(응답입력!$AH$3:$HD$3,"L16",응답입력!$AH38:$HD38,"&lt;9")&gt;=3,SUMIFS(응답입력!$AH38:$HD38,응답입력!$AH$3:$HD$3,"L16",응답입력!$AH38:$HD38,"&lt;9")/COUNTIFS(응답입력!$AH$3:$HD$3,"L16",응답입력!$AH38:$HD38,"&lt;9"),"")</f>
        <v/>
      </c>
      <c r="R37" s="35" t="str">
        <f aca="false">IF(COUNTIFS(응답입력!$AH$3:$HD$3,"L17",응답입력!$AH38:$HD38,"&lt;9")&gt;=3,SUMIFS(응답입력!$AH38:$HD38,응답입력!$AH$3:$HD$3,"L17",응답입력!$AH38:$HD38,"&lt;9")/COUNTIFS(응답입력!$AH$3:$HD$3,"L17",응답입력!$AH38:$HD38,"&lt;9"),"")</f>
        <v/>
      </c>
      <c r="S37" s="35" t="str">
        <f aca="false">IF(COUNTIFS(응답입력!$AH$3:$HD$3,"L18",응답입력!$AH38:$HD38,"&lt;9")&gt;=3,SUMIFS(응답입력!$AH38:$HD38,응답입력!$AH$3:$HD$3,"L18",응답입력!$AH38:$HD38,"&lt;9")/COUNTIFS(응답입력!$AH$3:$HD$3,"L18",응답입력!$AH38:$HD38,"&lt;9"),"")</f>
        <v/>
      </c>
      <c r="T37" s="35" t="str">
        <f aca="false">IF(COUNTIFS(응답입력!$AH$3:$HD$3,"L19",응답입력!$AH38:$HD38,"&lt;9")&gt;=3,SUMIFS(응답입력!$AH38:$HD38,응답입력!$AH$3:$HD$3,"L19",응답입력!$AH38:$HD38,"&lt;9")/COUNTIFS(응답입력!$AH$3:$HD$3,"L19",응답입력!$AH38:$HD38,"&lt;9"),"")</f>
        <v/>
      </c>
      <c r="U37" s="35" t="str">
        <f aca="false">IF(COUNTIFS(응답입력!$AH$3:$HD$3,"L20",응답입력!$AH38:$HD38,"&lt;9")&gt;=3,SUMIFS(응답입력!$AH38:$HD38,응답입력!$AH$3:$HD$3,"L20",응답입력!$AH38:$HD38,"&lt;9")/COUNTIFS(응답입력!$AH$3:$HD$3,"L20",응답입력!$AH38:$HD38,"&lt;9"),"")</f>
        <v/>
      </c>
      <c r="V37" s="35" t="str">
        <f aca="false">IF(COUNTIFS(응답입력!$AH$3:$HD$3,"L21",응답입력!$AH38:$HD38,"&lt;9")&gt;=3,SUMIFS(응답입력!$AH38:$HD38,응답입력!$AH$3:$HD$3,"L21",응답입력!$AH38:$HD38,"&lt;9")/COUNTIFS(응답입력!$AH$3:$HD$3,"L21",응답입력!$AH38:$HD38,"&lt;9"),"")</f>
        <v/>
      </c>
      <c r="W37" s="35" t="str">
        <f aca="false">IF(COUNTIFS(응답입력!$AH$3:$HD$3,"L22",응답입력!$AH38:$HD38,"&lt;9")&gt;=3,SUMIFS(응답입력!$AH38:$HD38,응답입력!$AH$3:$HD$3,"L22",응답입력!$AH38:$HD38,"&lt;9")/COUNTIFS(응답입력!$AH$3:$HD$3,"L22",응답입력!$AH38:$HD38,"&lt;9"),"")</f>
        <v/>
      </c>
      <c r="X37" s="35" t="str">
        <f aca="false">IF(COUNTIFS(응답입력!$AH$3:$HD$3,"L23",응답입력!$AH38:$HD38,"&lt;9")&gt;=3,SUMIFS(응답입력!$AH38:$HD38,응답입력!$AH$3:$HD$3,"L23",응답입력!$AH38:$HD38,"&lt;9")/COUNTIFS(응답입력!$AH$3:$HD$3,"L23",응답입력!$AH38:$HD38,"&lt;9"),"")</f>
        <v/>
      </c>
      <c r="Y37" s="35" t="str">
        <f aca="false">IF(COUNTIFS(응답입력!$AH$3:$HD$3,"L24",응답입력!$AH38:$HD38,"&lt;9")&gt;=3,SUMIFS(응답입력!$AH38:$HD38,응답입력!$AH$3:$HD$3,"L24",응답입력!$AH38:$HD38,"&lt;9")/COUNTIFS(응답입력!$AH$3:$HD$3,"L24",응답입력!$AH38:$HD38,"&lt;9"),"")</f>
        <v/>
      </c>
      <c r="Z37" s="35" t="str">
        <f aca="false">IF(COUNTIFS(응답입력!$AH$3:$HD$3,"L25",응답입력!$AH38:$HD38,"&lt;9")&gt;=3,SUMIFS(응답입력!$AH38:$HD38,응답입력!$AH$3:$HD$3,"L25",응답입력!$AH38:$HD38,"&lt;9")/COUNTIFS(응답입력!$AH$3:$HD$3,"L25",응답입력!$AH38:$HD38,"&lt;9"),"")</f>
        <v/>
      </c>
      <c r="AA37" s="35" t="str">
        <f aca="false">IF(COUNTIFS(응답입력!$AH$3:$HD$3,"L26",응답입력!$AH38:$HD38,"&lt;9")&gt;=3,SUMIFS(응답입력!$AH38:$HD38,응답입력!$AH$3:$HD$3,"L26",응답입력!$AH38:$HD38,"&lt;9")/COUNTIFS(응답입력!$AH$3:$HD$3,"L26",응답입력!$AH38:$HD38,"&lt;9"),"")</f>
        <v/>
      </c>
      <c r="AB37" s="35" t="str">
        <f aca="false">IF(COUNTIFS(응답입력!$AH$3:$HD$3,"L27",응답입력!$AH38:$HD38,"&lt;9")&gt;=3,SUMIFS(응답입력!$AH38:$HD38,응답입력!$AH$3:$HD$3,"L27",응답입력!$AH38:$HD38,"&lt;9")/COUNTIFS(응답입력!$AH$3:$HD$3,"L27",응답입력!$AH38:$HD38,"&lt;9"),"")</f>
        <v/>
      </c>
      <c r="AC37" s="35" t="str">
        <f aca="false">IF(COUNTIFS(응답입력!$AH$3:$HD$3,"L28",응답입력!$AH38:$HD38,"&lt;9")&gt;=3,SUMIFS(응답입력!$AH38:$HD38,응답입력!$AH$3:$HD$3,"L28",응답입력!$AH38:$HD38,"&lt;9")/COUNTIFS(응답입력!$AH$3:$HD$3,"L28",응답입력!$AH38:$HD38,"&lt;9"),"")</f>
        <v/>
      </c>
      <c r="AD37" s="35" t="str">
        <f aca="false">IF(COUNTIFS(응답입력!$AH$3:$HD$3,"L29",응답입력!$AH38:$HD38,"&lt;9")&gt;=3,SUMIFS(응답입력!$AH38:$HD38,응답입력!$AH$3:$HD$3,"L29",응답입력!$AH38:$HD38,"&lt;9")/COUNTIFS(응답입력!$AH$3:$HD$3,"L29",응답입력!$AH38:$HD38,"&lt;9"),"")</f>
        <v/>
      </c>
      <c r="AE37" s="35" t="str">
        <f aca="false">IF(COUNTIFS(응답입력!$AH$3:$HD$3,"L30",응답입력!$AH38:$HD38,"&lt;9")&gt;=3,SUMIFS(응답입력!$AH38:$HD38,응답입력!$AH$3:$HD$3,"L30",응답입력!$AH38:$HD38,"&lt;9")/COUNTIFS(응답입력!$AH$3:$HD$3,"L30",응답입력!$AH38:$HD38,"&lt;9"),"")</f>
        <v/>
      </c>
      <c r="AF37" s="35" t="str">
        <f aca="false">IF(COUNTIFS(응답입력!$AH$3:$HD$3,"L31",응답입력!$AH38:$HD38,"&lt;9")&gt;=3,SUMIFS(응답입력!$AH38:$HD38,응답입력!$AH$3:$HD$3,"L31",응답입력!$AH38:$HD38,"&lt;9")/COUNTIFS(응답입력!$AH$3:$HD$3,"L31",응답입력!$AH38:$HD38,"&lt;9"),"")</f>
        <v/>
      </c>
      <c r="AG37" s="41" t="str">
        <f aca="false">IFERROR(AVERAGE(B37:AF37),"")</f>
        <v/>
      </c>
    </row>
    <row r="38" customFormat="false" ht="15" hidden="false" customHeight="false" outlineLevel="0" collapsed="false">
      <c r="A38" s="27" t="str">
        <f aca="false">IF(응답입력!A39="","",응답입력!A39)</f>
        <v/>
      </c>
      <c r="B38" s="35" t="str">
        <f aca="false">IF(COUNTIFS(응답입력!$AH$3:$HD$3,"L01",응답입력!$AH39:$HD39,"&lt;9")&gt;=3,SUMIFS(응답입력!$AH39:$HD39,응답입력!$AH$3:$HD$3,"L01",응답입력!$AH39:$HD39,"&lt;9")/COUNTIFS(응답입력!$AH$3:$HD$3,"L01",응답입력!$AH39:$HD39,"&lt;9"),"")</f>
        <v/>
      </c>
      <c r="C38" s="35" t="str">
        <f aca="false">IF(COUNTIFS(응답입력!$AH$3:$HD$3,"L02",응답입력!$AH39:$HD39,"&lt;9")&gt;=3,SUMIFS(응답입력!$AH39:$HD39,응답입력!$AH$3:$HD$3,"L02",응답입력!$AH39:$HD39,"&lt;9")/COUNTIFS(응답입력!$AH$3:$HD$3,"L02",응답입력!$AH39:$HD39,"&lt;9"),"")</f>
        <v/>
      </c>
      <c r="D38" s="35" t="str">
        <f aca="false">IF(COUNTIFS(응답입력!$AH$3:$HD$3,"L03",응답입력!$AH39:$HD39,"&lt;9")&gt;=3,SUMIFS(응답입력!$AH39:$HD39,응답입력!$AH$3:$HD$3,"L03",응답입력!$AH39:$HD39,"&lt;9")/COUNTIFS(응답입력!$AH$3:$HD$3,"L03",응답입력!$AH39:$HD39,"&lt;9"),"")</f>
        <v/>
      </c>
      <c r="E38" s="35" t="str">
        <f aca="false">IF(COUNTIFS(응답입력!$AH$3:$HD$3,"L04",응답입력!$AH39:$HD39,"&lt;9")&gt;=3,SUMIFS(응답입력!$AH39:$HD39,응답입력!$AH$3:$HD$3,"L04",응답입력!$AH39:$HD39,"&lt;9")/COUNTIFS(응답입력!$AH$3:$HD$3,"L04",응답입력!$AH39:$HD39,"&lt;9"),"")</f>
        <v/>
      </c>
      <c r="F38" s="35" t="str">
        <f aca="false">IF(COUNTIFS(응답입력!$AH$3:$HD$3,"L05",응답입력!$AH39:$HD39,"&lt;9")&gt;=3,SUMIFS(응답입력!$AH39:$HD39,응답입력!$AH$3:$HD$3,"L05",응답입력!$AH39:$HD39,"&lt;9")/COUNTIFS(응답입력!$AH$3:$HD$3,"L05",응답입력!$AH39:$HD39,"&lt;9"),"")</f>
        <v/>
      </c>
      <c r="G38" s="35" t="str">
        <f aca="false">IF(COUNTIFS(응답입력!$AH$3:$HD$3,"L06",응답입력!$AH39:$HD39,"&lt;9")&gt;=3,SUMIFS(응답입력!$AH39:$HD39,응답입력!$AH$3:$HD$3,"L06",응답입력!$AH39:$HD39,"&lt;9")/COUNTIFS(응답입력!$AH$3:$HD$3,"L06",응답입력!$AH39:$HD39,"&lt;9"),"")</f>
        <v/>
      </c>
      <c r="H38" s="35" t="str">
        <f aca="false">IF(COUNTIFS(응답입력!$AH$3:$HD$3,"L07",응답입력!$AH39:$HD39,"&lt;9")&gt;=3,SUMIFS(응답입력!$AH39:$HD39,응답입력!$AH$3:$HD$3,"L07",응답입력!$AH39:$HD39,"&lt;9")/COUNTIFS(응답입력!$AH$3:$HD$3,"L07",응답입력!$AH39:$HD39,"&lt;9"),"")</f>
        <v/>
      </c>
      <c r="I38" s="35" t="str">
        <f aca="false">IF(COUNTIFS(응답입력!$AH$3:$HD$3,"L08",응답입력!$AH39:$HD39,"&lt;9")&gt;=3,SUMIFS(응답입력!$AH39:$HD39,응답입력!$AH$3:$HD$3,"L08",응답입력!$AH39:$HD39,"&lt;9")/COUNTIFS(응답입력!$AH$3:$HD$3,"L08",응답입력!$AH39:$HD39,"&lt;9"),"")</f>
        <v/>
      </c>
      <c r="J38" s="35" t="str">
        <f aca="false">IF(COUNTIFS(응답입력!$AH$3:$HD$3,"L09",응답입력!$AH39:$HD39,"&lt;9")&gt;=3,SUMIFS(응답입력!$AH39:$HD39,응답입력!$AH$3:$HD$3,"L09",응답입력!$AH39:$HD39,"&lt;9")/COUNTIFS(응답입력!$AH$3:$HD$3,"L09",응답입력!$AH39:$HD39,"&lt;9"),"")</f>
        <v/>
      </c>
      <c r="K38" s="35" t="str">
        <f aca="false">IF(COUNTIFS(응답입력!$AH$3:$HD$3,"L10",응답입력!$AH39:$HD39,"&lt;9")&gt;=3,SUMIFS(응답입력!$AH39:$HD39,응답입력!$AH$3:$HD$3,"L10",응답입력!$AH39:$HD39,"&lt;9")/COUNTIFS(응답입력!$AH$3:$HD$3,"L10",응답입력!$AH39:$HD39,"&lt;9"),"")</f>
        <v/>
      </c>
      <c r="L38" s="35" t="str">
        <f aca="false">IF(COUNTIFS(응답입력!$AH$3:$HD$3,"L11",응답입력!$AH39:$HD39,"&lt;9")&gt;=3,SUMIFS(응답입력!$AH39:$HD39,응답입력!$AH$3:$HD$3,"L11",응답입력!$AH39:$HD39,"&lt;9")/COUNTIFS(응답입력!$AH$3:$HD$3,"L11",응답입력!$AH39:$HD39,"&lt;9"),"")</f>
        <v/>
      </c>
      <c r="M38" s="35" t="str">
        <f aca="false">IF(COUNTIFS(응답입력!$AH$3:$HD$3,"L12",응답입력!$AH39:$HD39,"&lt;9")&gt;=3,SUMIFS(응답입력!$AH39:$HD39,응답입력!$AH$3:$HD$3,"L12",응답입력!$AH39:$HD39,"&lt;9")/COUNTIFS(응답입력!$AH$3:$HD$3,"L12",응답입력!$AH39:$HD39,"&lt;9"),"")</f>
        <v/>
      </c>
      <c r="N38" s="35" t="str">
        <f aca="false">IF(COUNTIFS(응답입력!$AH$3:$HD$3,"L13",응답입력!$AH39:$HD39,"&lt;9")&gt;=3,SUMIFS(응답입력!$AH39:$HD39,응답입력!$AH$3:$HD$3,"L13",응답입력!$AH39:$HD39,"&lt;9")/COUNTIFS(응답입력!$AH$3:$HD$3,"L13",응답입력!$AH39:$HD39,"&lt;9"),"")</f>
        <v/>
      </c>
      <c r="O38" s="35" t="str">
        <f aca="false">IF(COUNTIFS(응답입력!$AH$3:$HD$3,"L14",응답입력!$AH39:$HD39,"&lt;9")&gt;=3,SUMIFS(응답입력!$AH39:$HD39,응답입력!$AH$3:$HD$3,"L14",응답입력!$AH39:$HD39,"&lt;9")/COUNTIFS(응답입력!$AH$3:$HD$3,"L14",응답입력!$AH39:$HD39,"&lt;9"),"")</f>
        <v/>
      </c>
      <c r="P38" s="35" t="str">
        <f aca="false">IF(COUNTIFS(응답입력!$AH$3:$HD$3,"L15",응답입력!$AH39:$HD39,"&lt;9")&gt;=3,SUMIFS(응답입력!$AH39:$HD39,응답입력!$AH$3:$HD$3,"L15",응답입력!$AH39:$HD39,"&lt;9")/COUNTIFS(응답입력!$AH$3:$HD$3,"L15",응답입력!$AH39:$HD39,"&lt;9"),"")</f>
        <v/>
      </c>
      <c r="Q38" s="35" t="str">
        <f aca="false">IF(COUNTIFS(응답입력!$AH$3:$HD$3,"L16",응답입력!$AH39:$HD39,"&lt;9")&gt;=3,SUMIFS(응답입력!$AH39:$HD39,응답입력!$AH$3:$HD$3,"L16",응답입력!$AH39:$HD39,"&lt;9")/COUNTIFS(응답입력!$AH$3:$HD$3,"L16",응답입력!$AH39:$HD39,"&lt;9"),"")</f>
        <v/>
      </c>
      <c r="R38" s="35" t="str">
        <f aca="false">IF(COUNTIFS(응답입력!$AH$3:$HD$3,"L17",응답입력!$AH39:$HD39,"&lt;9")&gt;=3,SUMIFS(응답입력!$AH39:$HD39,응답입력!$AH$3:$HD$3,"L17",응답입력!$AH39:$HD39,"&lt;9")/COUNTIFS(응답입력!$AH$3:$HD$3,"L17",응답입력!$AH39:$HD39,"&lt;9"),"")</f>
        <v/>
      </c>
      <c r="S38" s="35" t="str">
        <f aca="false">IF(COUNTIFS(응답입력!$AH$3:$HD$3,"L18",응답입력!$AH39:$HD39,"&lt;9")&gt;=3,SUMIFS(응답입력!$AH39:$HD39,응답입력!$AH$3:$HD$3,"L18",응답입력!$AH39:$HD39,"&lt;9")/COUNTIFS(응답입력!$AH$3:$HD$3,"L18",응답입력!$AH39:$HD39,"&lt;9"),"")</f>
        <v/>
      </c>
      <c r="T38" s="35" t="str">
        <f aca="false">IF(COUNTIFS(응답입력!$AH$3:$HD$3,"L19",응답입력!$AH39:$HD39,"&lt;9")&gt;=3,SUMIFS(응답입력!$AH39:$HD39,응답입력!$AH$3:$HD$3,"L19",응답입력!$AH39:$HD39,"&lt;9")/COUNTIFS(응답입력!$AH$3:$HD$3,"L19",응답입력!$AH39:$HD39,"&lt;9"),"")</f>
        <v/>
      </c>
      <c r="U38" s="35" t="str">
        <f aca="false">IF(COUNTIFS(응답입력!$AH$3:$HD$3,"L20",응답입력!$AH39:$HD39,"&lt;9")&gt;=3,SUMIFS(응답입력!$AH39:$HD39,응답입력!$AH$3:$HD$3,"L20",응답입력!$AH39:$HD39,"&lt;9")/COUNTIFS(응답입력!$AH$3:$HD$3,"L20",응답입력!$AH39:$HD39,"&lt;9"),"")</f>
        <v/>
      </c>
      <c r="V38" s="35" t="str">
        <f aca="false">IF(COUNTIFS(응답입력!$AH$3:$HD$3,"L21",응답입력!$AH39:$HD39,"&lt;9")&gt;=3,SUMIFS(응답입력!$AH39:$HD39,응답입력!$AH$3:$HD$3,"L21",응답입력!$AH39:$HD39,"&lt;9")/COUNTIFS(응답입력!$AH$3:$HD$3,"L21",응답입력!$AH39:$HD39,"&lt;9"),"")</f>
        <v/>
      </c>
      <c r="W38" s="35" t="str">
        <f aca="false">IF(COUNTIFS(응답입력!$AH$3:$HD$3,"L22",응답입력!$AH39:$HD39,"&lt;9")&gt;=3,SUMIFS(응답입력!$AH39:$HD39,응답입력!$AH$3:$HD$3,"L22",응답입력!$AH39:$HD39,"&lt;9")/COUNTIFS(응답입력!$AH$3:$HD$3,"L22",응답입력!$AH39:$HD39,"&lt;9"),"")</f>
        <v/>
      </c>
      <c r="X38" s="35" t="str">
        <f aca="false">IF(COUNTIFS(응답입력!$AH$3:$HD$3,"L23",응답입력!$AH39:$HD39,"&lt;9")&gt;=3,SUMIFS(응답입력!$AH39:$HD39,응답입력!$AH$3:$HD$3,"L23",응답입력!$AH39:$HD39,"&lt;9")/COUNTIFS(응답입력!$AH$3:$HD$3,"L23",응답입력!$AH39:$HD39,"&lt;9"),"")</f>
        <v/>
      </c>
      <c r="Y38" s="35" t="str">
        <f aca="false">IF(COUNTIFS(응답입력!$AH$3:$HD$3,"L24",응답입력!$AH39:$HD39,"&lt;9")&gt;=3,SUMIFS(응답입력!$AH39:$HD39,응답입력!$AH$3:$HD$3,"L24",응답입력!$AH39:$HD39,"&lt;9")/COUNTIFS(응답입력!$AH$3:$HD$3,"L24",응답입력!$AH39:$HD39,"&lt;9"),"")</f>
        <v/>
      </c>
      <c r="Z38" s="35" t="str">
        <f aca="false">IF(COUNTIFS(응답입력!$AH$3:$HD$3,"L25",응답입력!$AH39:$HD39,"&lt;9")&gt;=3,SUMIFS(응답입력!$AH39:$HD39,응답입력!$AH$3:$HD$3,"L25",응답입력!$AH39:$HD39,"&lt;9")/COUNTIFS(응답입력!$AH$3:$HD$3,"L25",응답입력!$AH39:$HD39,"&lt;9"),"")</f>
        <v/>
      </c>
      <c r="AA38" s="35" t="str">
        <f aca="false">IF(COUNTIFS(응답입력!$AH$3:$HD$3,"L26",응답입력!$AH39:$HD39,"&lt;9")&gt;=3,SUMIFS(응답입력!$AH39:$HD39,응답입력!$AH$3:$HD$3,"L26",응답입력!$AH39:$HD39,"&lt;9")/COUNTIFS(응답입력!$AH$3:$HD$3,"L26",응답입력!$AH39:$HD39,"&lt;9"),"")</f>
        <v/>
      </c>
      <c r="AB38" s="35" t="str">
        <f aca="false">IF(COUNTIFS(응답입력!$AH$3:$HD$3,"L27",응답입력!$AH39:$HD39,"&lt;9")&gt;=3,SUMIFS(응답입력!$AH39:$HD39,응답입력!$AH$3:$HD$3,"L27",응답입력!$AH39:$HD39,"&lt;9")/COUNTIFS(응답입력!$AH$3:$HD$3,"L27",응답입력!$AH39:$HD39,"&lt;9"),"")</f>
        <v/>
      </c>
      <c r="AC38" s="35" t="str">
        <f aca="false">IF(COUNTIFS(응답입력!$AH$3:$HD$3,"L28",응답입력!$AH39:$HD39,"&lt;9")&gt;=3,SUMIFS(응답입력!$AH39:$HD39,응답입력!$AH$3:$HD$3,"L28",응답입력!$AH39:$HD39,"&lt;9")/COUNTIFS(응답입력!$AH$3:$HD$3,"L28",응답입력!$AH39:$HD39,"&lt;9"),"")</f>
        <v/>
      </c>
      <c r="AD38" s="35" t="str">
        <f aca="false">IF(COUNTIFS(응답입력!$AH$3:$HD$3,"L29",응답입력!$AH39:$HD39,"&lt;9")&gt;=3,SUMIFS(응답입력!$AH39:$HD39,응답입력!$AH$3:$HD$3,"L29",응답입력!$AH39:$HD39,"&lt;9")/COUNTIFS(응답입력!$AH$3:$HD$3,"L29",응답입력!$AH39:$HD39,"&lt;9"),"")</f>
        <v/>
      </c>
      <c r="AE38" s="35" t="str">
        <f aca="false">IF(COUNTIFS(응답입력!$AH$3:$HD$3,"L30",응답입력!$AH39:$HD39,"&lt;9")&gt;=3,SUMIFS(응답입력!$AH39:$HD39,응답입력!$AH$3:$HD$3,"L30",응답입력!$AH39:$HD39,"&lt;9")/COUNTIFS(응답입력!$AH$3:$HD$3,"L30",응답입력!$AH39:$HD39,"&lt;9"),"")</f>
        <v/>
      </c>
      <c r="AF38" s="35" t="str">
        <f aca="false">IF(COUNTIFS(응답입력!$AH$3:$HD$3,"L31",응답입력!$AH39:$HD39,"&lt;9")&gt;=3,SUMIFS(응답입력!$AH39:$HD39,응답입력!$AH$3:$HD$3,"L31",응답입력!$AH39:$HD39,"&lt;9")/COUNTIFS(응답입력!$AH$3:$HD$3,"L31",응답입력!$AH39:$HD39,"&lt;9"),"")</f>
        <v/>
      </c>
      <c r="AG38" s="41" t="str">
        <f aca="false">IFERROR(AVERAGE(B38:AF38),"")</f>
        <v/>
      </c>
    </row>
    <row r="39" customFormat="false" ht="15" hidden="false" customHeight="false" outlineLevel="0" collapsed="false">
      <c r="A39" s="27" t="str">
        <f aca="false">IF(응답입력!A40="","",응답입력!A40)</f>
        <v/>
      </c>
      <c r="B39" s="35" t="str">
        <f aca="false">IF(COUNTIFS(응답입력!$AH$3:$HD$3,"L01",응답입력!$AH40:$HD40,"&lt;9")&gt;=3,SUMIFS(응답입력!$AH40:$HD40,응답입력!$AH$3:$HD$3,"L01",응답입력!$AH40:$HD40,"&lt;9")/COUNTIFS(응답입력!$AH$3:$HD$3,"L01",응답입력!$AH40:$HD40,"&lt;9"),"")</f>
        <v/>
      </c>
      <c r="C39" s="35" t="str">
        <f aca="false">IF(COUNTIFS(응답입력!$AH$3:$HD$3,"L02",응답입력!$AH40:$HD40,"&lt;9")&gt;=3,SUMIFS(응답입력!$AH40:$HD40,응답입력!$AH$3:$HD$3,"L02",응답입력!$AH40:$HD40,"&lt;9")/COUNTIFS(응답입력!$AH$3:$HD$3,"L02",응답입력!$AH40:$HD40,"&lt;9"),"")</f>
        <v/>
      </c>
      <c r="D39" s="35" t="str">
        <f aca="false">IF(COUNTIFS(응답입력!$AH$3:$HD$3,"L03",응답입력!$AH40:$HD40,"&lt;9")&gt;=3,SUMIFS(응답입력!$AH40:$HD40,응답입력!$AH$3:$HD$3,"L03",응답입력!$AH40:$HD40,"&lt;9")/COUNTIFS(응답입력!$AH$3:$HD$3,"L03",응답입력!$AH40:$HD40,"&lt;9"),"")</f>
        <v/>
      </c>
      <c r="E39" s="35" t="str">
        <f aca="false">IF(COUNTIFS(응답입력!$AH$3:$HD$3,"L04",응답입력!$AH40:$HD40,"&lt;9")&gt;=3,SUMIFS(응답입력!$AH40:$HD40,응답입력!$AH$3:$HD$3,"L04",응답입력!$AH40:$HD40,"&lt;9")/COUNTIFS(응답입력!$AH$3:$HD$3,"L04",응답입력!$AH40:$HD40,"&lt;9"),"")</f>
        <v/>
      </c>
      <c r="F39" s="35" t="str">
        <f aca="false">IF(COUNTIFS(응답입력!$AH$3:$HD$3,"L05",응답입력!$AH40:$HD40,"&lt;9")&gt;=3,SUMIFS(응답입력!$AH40:$HD40,응답입력!$AH$3:$HD$3,"L05",응답입력!$AH40:$HD40,"&lt;9")/COUNTIFS(응답입력!$AH$3:$HD$3,"L05",응답입력!$AH40:$HD40,"&lt;9"),"")</f>
        <v/>
      </c>
      <c r="G39" s="35" t="str">
        <f aca="false">IF(COUNTIFS(응답입력!$AH$3:$HD$3,"L06",응답입력!$AH40:$HD40,"&lt;9")&gt;=3,SUMIFS(응답입력!$AH40:$HD40,응답입력!$AH$3:$HD$3,"L06",응답입력!$AH40:$HD40,"&lt;9")/COUNTIFS(응답입력!$AH$3:$HD$3,"L06",응답입력!$AH40:$HD40,"&lt;9"),"")</f>
        <v/>
      </c>
      <c r="H39" s="35" t="str">
        <f aca="false">IF(COUNTIFS(응답입력!$AH$3:$HD$3,"L07",응답입력!$AH40:$HD40,"&lt;9")&gt;=3,SUMIFS(응답입력!$AH40:$HD40,응답입력!$AH$3:$HD$3,"L07",응답입력!$AH40:$HD40,"&lt;9")/COUNTIFS(응답입력!$AH$3:$HD$3,"L07",응답입력!$AH40:$HD40,"&lt;9"),"")</f>
        <v/>
      </c>
      <c r="I39" s="35" t="str">
        <f aca="false">IF(COUNTIFS(응답입력!$AH$3:$HD$3,"L08",응답입력!$AH40:$HD40,"&lt;9")&gt;=3,SUMIFS(응답입력!$AH40:$HD40,응답입력!$AH$3:$HD$3,"L08",응답입력!$AH40:$HD40,"&lt;9")/COUNTIFS(응답입력!$AH$3:$HD$3,"L08",응답입력!$AH40:$HD40,"&lt;9"),"")</f>
        <v/>
      </c>
      <c r="J39" s="35" t="str">
        <f aca="false">IF(COUNTIFS(응답입력!$AH$3:$HD$3,"L09",응답입력!$AH40:$HD40,"&lt;9")&gt;=3,SUMIFS(응답입력!$AH40:$HD40,응답입력!$AH$3:$HD$3,"L09",응답입력!$AH40:$HD40,"&lt;9")/COUNTIFS(응답입력!$AH$3:$HD$3,"L09",응답입력!$AH40:$HD40,"&lt;9"),"")</f>
        <v/>
      </c>
      <c r="K39" s="35" t="str">
        <f aca="false">IF(COUNTIFS(응답입력!$AH$3:$HD$3,"L10",응답입력!$AH40:$HD40,"&lt;9")&gt;=3,SUMIFS(응답입력!$AH40:$HD40,응답입력!$AH$3:$HD$3,"L10",응답입력!$AH40:$HD40,"&lt;9")/COUNTIFS(응답입력!$AH$3:$HD$3,"L10",응답입력!$AH40:$HD40,"&lt;9"),"")</f>
        <v/>
      </c>
      <c r="L39" s="35" t="str">
        <f aca="false">IF(COUNTIFS(응답입력!$AH$3:$HD$3,"L11",응답입력!$AH40:$HD40,"&lt;9")&gt;=3,SUMIFS(응답입력!$AH40:$HD40,응답입력!$AH$3:$HD$3,"L11",응답입력!$AH40:$HD40,"&lt;9")/COUNTIFS(응답입력!$AH$3:$HD$3,"L11",응답입력!$AH40:$HD40,"&lt;9"),"")</f>
        <v/>
      </c>
      <c r="M39" s="35" t="str">
        <f aca="false">IF(COUNTIFS(응답입력!$AH$3:$HD$3,"L12",응답입력!$AH40:$HD40,"&lt;9")&gt;=3,SUMIFS(응답입력!$AH40:$HD40,응답입력!$AH$3:$HD$3,"L12",응답입력!$AH40:$HD40,"&lt;9")/COUNTIFS(응답입력!$AH$3:$HD$3,"L12",응답입력!$AH40:$HD40,"&lt;9"),"")</f>
        <v/>
      </c>
      <c r="N39" s="35" t="str">
        <f aca="false">IF(COUNTIFS(응답입력!$AH$3:$HD$3,"L13",응답입력!$AH40:$HD40,"&lt;9")&gt;=3,SUMIFS(응답입력!$AH40:$HD40,응답입력!$AH$3:$HD$3,"L13",응답입력!$AH40:$HD40,"&lt;9")/COUNTIFS(응답입력!$AH$3:$HD$3,"L13",응답입력!$AH40:$HD40,"&lt;9"),"")</f>
        <v/>
      </c>
      <c r="O39" s="35" t="str">
        <f aca="false">IF(COUNTIFS(응답입력!$AH$3:$HD$3,"L14",응답입력!$AH40:$HD40,"&lt;9")&gt;=3,SUMIFS(응답입력!$AH40:$HD40,응답입력!$AH$3:$HD$3,"L14",응답입력!$AH40:$HD40,"&lt;9")/COUNTIFS(응답입력!$AH$3:$HD$3,"L14",응답입력!$AH40:$HD40,"&lt;9"),"")</f>
        <v/>
      </c>
      <c r="P39" s="35" t="str">
        <f aca="false">IF(COUNTIFS(응답입력!$AH$3:$HD$3,"L15",응답입력!$AH40:$HD40,"&lt;9")&gt;=3,SUMIFS(응답입력!$AH40:$HD40,응답입력!$AH$3:$HD$3,"L15",응답입력!$AH40:$HD40,"&lt;9")/COUNTIFS(응답입력!$AH$3:$HD$3,"L15",응답입력!$AH40:$HD40,"&lt;9"),"")</f>
        <v/>
      </c>
      <c r="Q39" s="35" t="str">
        <f aca="false">IF(COUNTIFS(응답입력!$AH$3:$HD$3,"L16",응답입력!$AH40:$HD40,"&lt;9")&gt;=3,SUMIFS(응답입력!$AH40:$HD40,응답입력!$AH$3:$HD$3,"L16",응답입력!$AH40:$HD40,"&lt;9")/COUNTIFS(응답입력!$AH$3:$HD$3,"L16",응답입력!$AH40:$HD40,"&lt;9"),"")</f>
        <v/>
      </c>
      <c r="R39" s="35" t="str">
        <f aca="false">IF(COUNTIFS(응답입력!$AH$3:$HD$3,"L17",응답입력!$AH40:$HD40,"&lt;9")&gt;=3,SUMIFS(응답입력!$AH40:$HD40,응답입력!$AH$3:$HD$3,"L17",응답입력!$AH40:$HD40,"&lt;9")/COUNTIFS(응답입력!$AH$3:$HD$3,"L17",응답입력!$AH40:$HD40,"&lt;9"),"")</f>
        <v/>
      </c>
      <c r="S39" s="35" t="str">
        <f aca="false">IF(COUNTIFS(응답입력!$AH$3:$HD$3,"L18",응답입력!$AH40:$HD40,"&lt;9")&gt;=3,SUMIFS(응답입력!$AH40:$HD40,응답입력!$AH$3:$HD$3,"L18",응답입력!$AH40:$HD40,"&lt;9")/COUNTIFS(응답입력!$AH$3:$HD$3,"L18",응답입력!$AH40:$HD40,"&lt;9"),"")</f>
        <v/>
      </c>
      <c r="T39" s="35" t="str">
        <f aca="false">IF(COUNTIFS(응답입력!$AH$3:$HD$3,"L19",응답입력!$AH40:$HD40,"&lt;9")&gt;=3,SUMIFS(응답입력!$AH40:$HD40,응답입력!$AH$3:$HD$3,"L19",응답입력!$AH40:$HD40,"&lt;9")/COUNTIFS(응답입력!$AH$3:$HD$3,"L19",응답입력!$AH40:$HD40,"&lt;9"),"")</f>
        <v/>
      </c>
      <c r="U39" s="35" t="str">
        <f aca="false">IF(COUNTIFS(응답입력!$AH$3:$HD$3,"L20",응답입력!$AH40:$HD40,"&lt;9")&gt;=3,SUMIFS(응답입력!$AH40:$HD40,응답입력!$AH$3:$HD$3,"L20",응답입력!$AH40:$HD40,"&lt;9")/COUNTIFS(응답입력!$AH$3:$HD$3,"L20",응답입력!$AH40:$HD40,"&lt;9"),"")</f>
        <v/>
      </c>
      <c r="V39" s="35" t="str">
        <f aca="false">IF(COUNTIFS(응답입력!$AH$3:$HD$3,"L21",응답입력!$AH40:$HD40,"&lt;9")&gt;=3,SUMIFS(응답입력!$AH40:$HD40,응답입력!$AH$3:$HD$3,"L21",응답입력!$AH40:$HD40,"&lt;9")/COUNTIFS(응답입력!$AH$3:$HD$3,"L21",응답입력!$AH40:$HD40,"&lt;9"),"")</f>
        <v/>
      </c>
      <c r="W39" s="35" t="str">
        <f aca="false">IF(COUNTIFS(응답입력!$AH$3:$HD$3,"L22",응답입력!$AH40:$HD40,"&lt;9")&gt;=3,SUMIFS(응답입력!$AH40:$HD40,응답입력!$AH$3:$HD$3,"L22",응답입력!$AH40:$HD40,"&lt;9")/COUNTIFS(응답입력!$AH$3:$HD$3,"L22",응답입력!$AH40:$HD40,"&lt;9"),"")</f>
        <v/>
      </c>
      <c r="X39" s="35" t="str">
        <f aca="false">IF(COUNTIFS(응답입력!$AH$3:$HD$3,"L23",응답입력!$AH40:$HD40,"&lt;9")&gt;=3,SUMIFS(응답입력!$AH40:$HD40,응답입력!$AH$3:$HD$3,"L23",응답입력!$AH40:$HD40,"&lt;9")/COUNTIFS(응답입력!$AH$3:$HD$3,"L23",응답입력!$AH40:$HD40,"&lt;9"),"")</f>
        <v/>
      </c>
      <c r="Y39" s="35" t="str">
        <f aca="false">IF(COUNTIFS(응답입력!$AH$3:$HD$3,"L24",응답입력!$AH40:$HD40,"&lt;9")&gt;=3,SUMIFS(응답입력!$AH40:$HD40,응답입력!$AH$3:$HD$3,"L24",응답입력!$AH40:$HD40,"&lt;9")/COUNTIFS(응답입력!$AH$3:$HD$3,"L24",응답입력!$AH40:$HD40,"&lt;9"),"")</f>
        <v/>
      </c>
      <c r="Z39" s="35" t="str">
        <f aca="false">IF(COUNTIFS(응답입력!$AH$3:$HD$3,"L25",응답입력!$AH40:$HD40,"&lt;9")&gt;=3,SUMIFS(응답입력!$AH40:$HD40,응답입력!$AH$3:$HD$3,"L25",응답입력!$AH40:$HD40,"&lt;9")/COUNTIFS(응답입력!$AH$3:$HD$3,"L25",응답입력!$AH40:$HD40,"&lt;9"),"")</f>
        <v/>
      </c>
      <c r="AA39" s="35" t="str">
        <f aca="false">IF(COUNTIFS(응답입력!$AH$3:$HD$3,"L26",응답입력!$AH40:$HD40,"&lt;9")&gt;=3,SUMIFS(응답입력!$AH40:$HD40,응답입력!$AH$3:$HD$3,"L26",응답입력!$AH40:$HD40,"&lt;9")/COUNTIFS(응답입력!$AH$3:$HD$3,"L26",응답입력!$AH40:$HD40,"&lt;9"),"")</f>
        <v/>
      </c>
      <c r="AB39" s="35" t="str">
        <f aca="false">IF(COUNTIFS(응답입력!$AH$3:$HD$3,"L27",응답입력!$AH40:$HD40,"&lt;9")&gt;=3,SUMIFS(응답입력!$AH40:$HD40,응답입력!$AH$3:$HD$3,"L27",응답입력!$AH40:$HD40,"&lt;9")/COUNTIFS(응답입력!$AH$3:$HD$3,"L27",응답입력!$AH40:$HD40,"&lt;9"),"")</f>
        <v/>
      </c>
      <c r="AC39" s="35" t="str">
        <f aca="false">IF(COUNTIFS(응답입력!$AH$3:$HD$3,"L28",응답입력!$AH40:$HD40,"&lt;9")&gt;=3,SUMIFS(응답입력!$AH40:$HD40,응답입력!$AH$3:$HD$3,"L28",응답입력!$AH40:$HD40,"&lt;9")/COUNTIFS(응답입력!$AH$3:$HD$3,"L28",응답입력!$AH40:$HD40,"&lt;9"),"")</f>
        <v/>
      </c>
      <c r="AD39" s="35" t="str">
        <f aca="false">IF(COUNTIFS(응답입력!$AH$3:$HD$3,"L29",응답입력!$AH40:$HD40,"&lt;9")&gt;=3,SUMIFS(응답입력!$AH40:$HD40,응답입력!$AH$3:$HD$3,"L29",응답입력!$AH40:$HD40,"&lt;9")/COUNTIFS(응답입력!$AH$3:$HD$3,"L29",응답입력!$AH40:$HD40,"&lt;9"),"")</f>
        <v/>
      </c>
      <c r="AE39" s="35" t="str">
        <f aca="false">IF(COUNTIFS(응답입력!$AH$3:$HD$3,"L30",응답입력!$AH40:$HD40,"&lt;9")&gt;=3,SUMIFS(응답입력!$AH40:$HD40,응답입력!$AH$3:$HD$3,"L30",응답입력!$AH40:$HD40,"&lt;9")/COUNTIFS(응답입력!$AH$3:$HD$3,"L30",응답입력!$AH40:$HD40,"&lt;9"),"")</f>
        <v/>
      </c>
      <c r="AF39" s="35" t="str">
        <f aca="false">IF(COUNTIFS(응답입력!$AH$3:$HD$3,"L31",응답입력!$AH40:$HD40,"&lt;9")&gt;=3,SUMIFS(응답입력!$AH40:$HD40,응답입력!$AH$3:$HD$3,"L31",응답입력!$AH40:$HD40,"&lt;9")/COUNTIFS(응답입력!$AH$3:$HD$3,"L31",응답입력!$AH40:$HD40,"&lt;9"),"")</f>
        <v/>
      </c>
      <c r="AG39" s="41" t="str">
        <f aca="false">IFERROR(AVERAGE(B39:AF39),"")</f>
        <v/>
      </c>
    </row>
    <row r="40" customFormat="false" ht="15" hidden="false" customHeight="false" outlineLevel="0" collapsed="false">
      <c r="A40" s="27" t="str">
        <f aca="false">IF(응답입력!A41="","",응답입력!A41)</f>
        <v/>
      </c>
      <c r="B40" s="35" t="str">
        <f aca="false">IF(COUNTIFS(응답입력!$AH$3:$HD$3,"L01",응답입력!$AH41:$HD41,"&lt;9")&gt;=3,SUMIFS(응답입력!$AH41:$HD41,응답입력!$AH$3:$HD$3,"L01",응답입력!$AH41:$HD41,"&lt;9")/COUNTIFS(응답입력!$AH$3:$HD$3,"L01",응답입력!$AH41:$HD41,"&lt;9"),"")</f>
        <v/>
      </c>
      <c r="C40" s="35" t="str">
        <f aca="false">IF(COUNTIFS(응답입력!$AH$3:$HD$3,"L02",응답입력!$AH41:$HD41,"&lt;9")&gt;=3,SUMIFS(응답입력!$AH41:$HD41,응답입력!$AH$3:$HD$3,"L02",응답입력!$AH41:$HD41,"&lt;9")/COUNTIFS(응답입력!$AH$3:$HD$3,"L02",응답입력!$AH41:$HD41,"&lt;9"),"")</f>
        <v/>
      </c>
      <c r="D40" s="35" t="str">
        <f aca="false">IF(COUNTIFS(응답입력!$AH$3:$HD$3,"L03",응답입력!$AH41:$HD41,"&lt;9")&gt;=3,SUMIFS(응답입력!$AH41:$HD41,응답입력!$AH$3:$HD$3,"L03",응답입력!$AH41:$HD41,"&lt;9")/COUNTIFS(응답입력!$AH$3:$HD$3,"L03",응답입력!$AH41:$HD41,"&lt;9"),"")</f>
        <v/>
      </c>
      <c r="E40" s="35" t="str">
        <f aca="false">IF(COUNTIFS(응답입력!$AH$3:$HD$3,"L04",응답입력!$AH41:$HD41,"&lt;9")&gt;=3,SUMIFS(응답입력!$AH41:$HD41,응답입력!$AH$3:$HD$3,"L04",응답입력!$AH41:$HD41,"&lt;9")/COUNTIFS(응답입력!$AH$3:$HD$3,"L04",응답입력!$AH41:$HD41,"&lt;9"),"")</f>
        <v/>
      </c>
      <c r="F40" s="35" t="str">
        <f aca="false">IF(COUNTIFS(응답입력!$AH$3:$HD$3,"L05",응답입력!$AH41:$HD41,"&lt;9")&gt;=3,SUMIFS(응답입력!$AH41:$HD41,응답입력!$AH$3:$HD$3,"L05",응답입력!$AH41:$HD41,"&lt;9")/COUNTIFS(응답입력!$AH$3:$HD$3,"L05",응답입력!$AH41:$HD41,"&lt;9"),"")</f>
        <v/>
      </c>
      <c r="G40" s="35" t="str">
        <f aca="false">IF(COUNTIFS(응답입력!$AH$3:$HD$3,"L06",응답입력!$AH41:$HD41,"&lt;9")&gt;=3,SUMIFS(응답입력!$AH41:$HD41,응답입력!$AH$3:$HD$3,"L06",응답입력!$AH41:$HD41,"&lt;9")/COUNTIFS(응답입력!$AH$3:$HD$3,"L06",응답입력!$AH41:$HD41,"&lt;9"),"")</f>
        <v/>
      </c>
      <c r="H40" s="35" t="str">
        <f aca="false">IF(COUNTIFS(응답입력!$AH$3:$HD$3,"L07",응답입력!$AH41:$HD41,"&lt;9")&gt;=3,SUMIFS(응답입력!$AH41:$HD41,응답입력!$AH$3:$HD$3,"L07",응답입력!$AH41:$HD41,"&lt;9")/COUNTIFS(응답입력!$AH$3:$HD$3,"L07",응답입력!$AH41:$HD41,"&lt;9"),"")</f>
        <v/>
      </c>
      <c r="I40" s="35" t="str">
        <f aca="false">IF(COUNTIFS(응답입력!$AH$3:$HD$3,"L08",응답입력!$AH41:$HD41,"&lt;9")&gt;=3,SUMIFS(응답입력!$AH41:$HD41,응답입력!$AH$3:$HD$3,"L08",응답입력!$AH41:$HD41,"&lt;9")/COUNTIFS(응답입력!$AH$3:$HD$3,"L08",응답입력!$AH41:$HD41,"&lt;9"),"")</f>
        <v/>
      </c>
      <c r="J40" s="35" t="str">
        <f aca="false">IF(COUNTIFS(응답입력!$AH$3:$HD$3,"L09",응답입력!$AH41:$HD41,"&lt;9")&gt;=3,SUMIFS(응답입력!$AH41:$HD41,응답입력!$AH$3:$HD$3,"L09",응답입력!$AH41:$HD41,"&lt;9")/COUNTIFS(응답입력!$AH$3:$HD$3,"L09",응답입력!$AH41:$HD41,"&lt;9"),"")</f>
        <v/>
      </c>
      <c r="K40" s="35" t="str">
        <f aca="false">IF(COUNTIFS(응답입력!$AH$3:$HD$3,"L10",응답입력!$AH41:$HD41,"&lt;9")&gt;=3,SUMIFS(응답입력!$AH41:$HD41,응답입력!$AH$3:$HD$3,"L10",응답입력!$AH41:$HD41,"&lt;9")/COUNTIFS(응답입력!$AH$3:$HD$3,"L10",응답입력!$AH41:$HD41,"&lt;9"),"")</f>
        <v/>
      </c>
      <c r="L40" s="35" t="str">
        <f aca="false">IF(COUNTIFS(응답입력!$AH$3:$HD$3,"L11",응답입력!$AH41:$HD41,"&lt;9")&gt;=3,SUMIFS(응답입력!$AH41:$HD41,응답입력!$AH$3:$HD$3,"L11",응답입력!$AH41:$HD41,"&lt;9")/COUNTIFS(응답입력!$AH$3:$HD$3,"L11",응답입력!$AH41:$HD41,"&lt;9"),"")</f>
        <v/>
      </c>
      <c r="M40" s="35" t="str">
        <f aca="false">IF(COUNTIFS(응답입력!$AH$3:$HD$3,"L12",응답입력!$AH41:$HD41,"&lt;9")&gt;=3,SUMIFS(응답입력!$AH41:$HD41,응답입력!$AH$3:$HD$3,"L12",응답입력!$AH41:$HD41,"&lt;9")/COUNTIFS(응답입력!$AH$3:$HD$3,"L12",응답입력!$AH41:$HD41,"&lt;9"),"")</f>
        <v/>
      </c>
      <c r="N40" s="35" t="str">
        <f aca="false">IF(COUNTIFS(응답입력!$AH$3:$HD$3,"L13",응답입력!$AH41:$HD41,"&lt;9")&gt;=3,SUMIFS(응답입력!$AH41:$HD41,응답입력!$AH$3:$HD$3,"L13",응답입력!$AH41:$HD41,"&lt;9")/COUNTIFS(응답입력!$AH$3:$HD$3,"L13",응답입력!$AH41:$HD41,"&lt;9"),"")</f>
        <v/>
      </c>
      <c r="O40" s="35" t="str">
        <f aca="false">IF(COUNTIFS(응답입력!$AH$3:$HD$3,"L14",응답입력!$AH41:$HD41,"&lt;9")&gt;=3,SUMIFS(응답입력!$AH41:$HD41,응답입력!$AH$3:$HD$3,"L14",응답입력!$AH41:$HD41,"&lt;9")/COUNTIFS(응답입력!$AH$3:$HD$3,"L14",응답입력!$AH41:$HD41,"&lt;9"),"")</f>
        <v/>
      </c>
      <c r="P40" s="35" t="str">
        <f aca="false">IF(COUNTIFS(응답입력!$AH$3:$HD$3,"L15",응답입력!$AH41:$HD41,"&lt;9")&gt;=3,SUMIFS(응답입력!$AH41:$HD41,응답입력!$AH$3:$HD$3,"L15",응답입력!$AH41:$HD41,"&lt;9")/COUNTIFS(응답입력!$AH$3:$HD$3,"L15",응답입력!$AH41:$HD41,"&lt;9"),"")</f>
        <v/>
      </c>
      <c r="Q40" s="35" t="str">
        <f aca="false">IF(COUNTIFS(응답입력!$AH$3:$HD$3,"L16",응답입력!$AH41:$HD41,"&lt;9")&gt;=3,SUMIFS(응답입력!$AH41:$HD41,응답입력!$AH$3:$HD$3,"L16",응답입력!$AH41:$HD41,"&lt;9")/COUNTIFS(응답입력!$AH$3:$HD$3,"L16",응답입력!$AH41:$HD41,"&lt;9"),"")</f>
        <v/>
      </c>
      <c r="R40" s="35" t="str">
        <f aca="false">IF(COUNTIFS(응답입력!$AH$3:$HD$3,"L17",응답입력!$AH41:$HD41,"&lt;9")&gt;=3,SUMIFS(응답입력!$AH41:$HD41,응답입력!$AH$3:$HD$3,"L17",응답입력!$AH41:$HD41,"&lt;9")/COUNTIFS(응답입력!$AH$3:$HD$3,"L17",응답입력!$AH41:$HD41,"&lt;9"),"")</f>
        <v/>
      </c>
      <c r="S40" s="35" t="str">
        <f aca="false">IF(COUNTIFS(응답입력!$AH$3:$HD$3,"L18",응답입력!$AH41:$HD41,"&lt;9")&gt;=3,SUMIFS(응답입력!$AH41:$HD41,응답입력!$AH$3:$HD$3,"L18",응답입력!$AH41:$HD41,"&lt;9")/COUNTIFS(응답입력!$AH$3:$HD$3,"L18",응답입력!$AH41:$HD41,"&lt;9"),"")</f>
        <v/>
      </c>
      <c r="T40" s="35" t="str">
        <f aca="false">IF(COUNTIFS(응답입력!$AH$3:$HD$3,"L19",응답입력!$AH41:$HD41,"&lt;9")&gt;=3,SUMIFS(응답입력!$AH41:$HD41,응답입력!$AH$3:$HD$3,"L19",응답입력!$AH41:$HD41,"&lt;9")/COUNTIFS(응답입력!$AH$3:$HD$3,"L19",응답입력!$AH41:$HD41,"&lt;9"),"")</f>
        <v/>
      </c>
      <c r="U40" s="35" t="str">
        <f aca="false">IF(COUNTIFS(응답입력!$AH$3:$HD$3,"L20",응답입력!$AH41:$HD41,"&lt;9")&gt;=3,SUMIFS(응답입력!$AH41:$HD41,응답입력!$AH$3:$HD$3,"L20",응답입력!$AH41:$HD41,"&lt;9")/COUNTIFS(응답입력!$AH$3:$HD$3,"L20",응답입력!$AH41:$HD41,"&lt;9"),"")</f>
        <v/>
      </c>
      <c r="V40" s="35" t="str">
        <f aca="false">IF(COUNTIFS(응답입력!$AH$3:$HD$3,"L21",응답입력!$AH41:$HD41,"&lt;9")&gt;=3,SUMIFS(응답입력!$AH41:$HD41,응답입력!$AH$3:$HD$3,"L21",응답입력!$AH41:$HD41,"&lt;9")/COUNTIFS(응답입력!$AH$3:$HD$3,"L21",응답입력!$AH41:$HD41,"&lt;9"),"")</f>
        <v/>
      </c>
      <c r="W40" s="35" t="str">
        <f aca="false">IF(COUNTIFS(응답입력!$AH$3:$HD$3,"L22",응답입력!$AH41:$HD41,"&lt;9")&gt;=3,SUMIFS(응답입력!$AH41:$HD41,응답입력!$AH$3:$HD$3,"L22",응답입력!$AH41:$HD41,"&lt;9")/COUNTIFS(응답입력!$AH$3:$HD$3,"L22",응답입력!$AH41:$HD41,"&lt;9"),"")</f>
        <v/>
      </c>
      <c r="X40" s="35" t="str">
        <f aca="false">IF(COUNTIFS(응답입력!$AH$3:$HD$3,"L23",응답입력!$AH41:$HD41,"&lt;9")&gt;=3,SUMIFS(응답입력!$AH41:$HD41,응답입력!$AH$3:$HD$3,"L23",응답입력!$AH41:$HD41,"&lt;9")/COUNTIFS(응답입력!$AH$3:$HD$3,"L23",응답입력!$AH41:$HD41,"&lt;9"),"")</f>
        <v/>
      </c>
      <c r="Y40" s="35" t="str">
        <f aca="false">IF(COUNTIFS(응답입력!$AH$3:$HD$3,"L24",응답입력!$AH41:$HD41,"&lt;9")&gt;=3,SUMIFS(응답입력!$AH41:$HD41,응답입력!$AH$3:$HD$3,"L24",응답입력!$AH41:$HD41,"&lt;9")/COUNTIFS(응답입력!$AH$3:$HD$3,"L24",응답입력!$AH41:$HD41,"&lt;9"),"")</f>
        <v/>
      </c>
      <c r="Z40" s="35" t="str">
        <f aca="false">IF(COUNTIFS(응답입력!$AH$3:$HD$3,"L25",응답입력!$AH41:$HD41,"&lt;9")&gt;=3,SUMIFS(응답입력!$AH41:$HD41,응답입력!$AH$3:$HD$3,"L25",응답입력!$AH41:$HD41,"&lt;9")/COUNTIFS(응답입력!$AH$3:$HD$3,"L25",응답입력!$AH41:$HD41,"&lt;9"),"")</f>
        <v/>
      </c>
      <c r="AA40" s="35" t="str">
        <f aca="false">IF(COUNTIFS(응답입력!$AH$3:$HD$3,"L26",응답입력!$AH41:$HD41,"&lt;9")&gt;=3,SUMIFS(응답입력!$AH41:$HD41,응답입력!$AH$3:$HD$3,"L26",응답입력!$AH41:$HD41,"&lt;9")/COUNTIFS(응답입력!$AH$3:$HD$3,"L26",응답입력!$AH41:$HD41,"&lt;9"),"")</f>
        <v/>
      </c>
      <c r="AB40" s="35" t="str">
        <f aca="false">IF(COUNTIFS(응답입력!$AH$3:$HD$3,"L27",응답입력!$AH41:$HD41,"&lt;9")&gt;=3,SUMIFS(응답입력!$AH41:$HD41,응답입력!$AH$3:$HD$3,"L27",응답입력!$AH41:$HD41,"&lt;9")/COUNTIFS(응답입력!$AH$3:$HD$3,"L27",응답입력!$AH41:$HD41,"&lt;9"),"")</f>
        <v/>
      </c>
      <c r="AC40" s="35" t="str">
        <f aca="false">IF(COUNTIFS(응답입력!$AH$3:$HD$3,"L28",응답입력!$AH41:$HD41,"&lt;9")&gt;=3,SUMIFS(응답입력!$AH41:$HD41,응답입력!$AH$3:$HD$3,"L28",응답입력!$AH41:$HD41,"&lt;9")/COUNTIFS(응답입력!$AH$3:$HD$3,"L28",응답입력!$AH41:$HD41,"&lt;9"),"")</f>
        <v/>
      </c>
      <c r="AD40" s="35" t="str">
        <f aca="false">IF(COUNTIFS(응답입력!$AH$3:$HD$3,"L29",응답입력!$AH41:$HD41,"&lt;9")&gt;=3,SUMIFS(응답입력!$AH41:$HD41,응답입력!$AH$3:$HD$3,"L29",응답입력!$AH41:$HD41,"&lt;9")/COUNTIFS(응답입력!$AH$3:$HD$3,"L29",응답입력!$AH41:$HD41,"&lt;9"),"")</f>
        <v/>
      </c>
      <c r="AE40" s="35" t="str">
        <f aca="false">IF(COUNTIFS(응답입력!$AH$3:$HD$3,"L30",응답입력!$AH41:$HD41,"&lt;9")&gt;=3,SUMIFS(응답입력!$AH41:$HD41,응답입력!$AH$3:$HD$3,"L30",응답입력!$AH41:$HD41,"&lt;9")/COUNTIFS(응답입력!$AH$3:$HD$3,"L30",응답입력!$AH41:$HD41,"&lt;9"),"")</f>
        <v/>
      </c>
      <c r="AF40" s="35" t="str">
        <f aca="false">IF(COUNTIFS(응답입력!$AH$3:$HD$3,"L31",응답입력!$AH41:$HD41,"&lt;9")&gt;=3,SUMIFS(응답입력!$AH41:$HD41,응답입력!$AH$3:$HD$3,"L31",응답입력!$AH41:$HD41,"&lt;9")/COUNTIFS(응답입력!$AH$3:$HD$3,"L31",응답입력!$AH41:$HD41,"&lt;9"),"")</f>
        <v/>
      </c>
      <c r="AG40" s="41" t="str">
        <f aca="false">IFERROR(AVERAGE(B40:AF40),"")</f>
        <v/>
      </c>
    </row>
    <row r="41" customFormat="false" ht="15" hidden="false" customHeight="false" outlineLevel="0" collapsed="false">
      <c r="A41" s="27" t="str">
        <f aca="false">IF(응답입력!A42="","",응답입력!A42)</f>
        <v/>
      </c>
      <c r="B41" s="35" t="str">
        <f aca="false">IF(COUNTIFS(응답입력!$AH$3:$HD$3,"L01",응답입력!$AH42:$HD42,"&lt;9")&gt;=3,SUMIFS(응답입력!$AH42:$HD42,응답입력!$AH$3:$HD$3,"L01",응답입력!$AH42:$HD42,"&lt;9")/COUNTIFS(응답입력!$AH$3:$HD$3,"L01",응답입력!$AH42:$HD42,"&lt;9"),"")</f>
        <v/>
      </c>
      <c r="C41" s="35" t="str">
        <f aca="false">IF(COUNTIFS(응답입력!$AH$3:$HD$3,"L02",응답입력!$AH42:$HD42,"&lt;9")&gt;=3,SUMIFS(응답입력!$AH42:$HD42,응답입력!$AH$3:$HD$3,"L02",응답입력!$AH42:$HD42,"&lt;9")/COUNTIFS(응답입력!$AH$3:$HD$3,"L02",응답입력!$AH42:$HD42,"&lt;9"),"")</f>
        <v/>
      </c>
      <c r="D41" s="35" t="str">
        <f aca="false">IF(COUNTIFS(응답입력!$AH$3:$HD$3,"L03",응답입력!$AH42:$HD42,"&lt;9")&gt;=3,SUMIFS(응답입력!$AH42:$HD42,응답입력!$AH$3:$HD$3,"L03",응답입력!$AH42:$HD42,"&lt;9")/COUNTIFS(응답입력!$AH$3:$HD$3,"L03",응답입력!$AH42:$HD42,"&lt;9"),"")</f>
        <v/>
      </c>
      <c r="E41" s="35" t="str">
        <f aca="false">IF(COUNTIFS(응답입력!$AH$3:$HD$3,"L04",응답입력!$AH42:$HD42,"&lt;9")&gt;=3,SUMIFS(응답입력!$AH42:$HD42,응답입력!$AH$3:$HD$3,"L04",응답입력!$AH42:$HD42,"&lt;9")/COUNTIFS(응답입력!$AH$3:$HD$3,"L04",응답입력!$AH42:$HD42,"&lt;9"),"")</f>
        <v/>
      </c>
      <c r="F41" s="35" t="str">
        <f aca="false">IF(COUNTIFS(응답입력!$AH$3:$HD$3,"L05",응답입력!$AH42:$HD42,"&lt;9")&gt;=3,SUMIFS(응답입력!$AH42:$HD42,응답입력!$AH$3:$HD$3,"L05",응답입력!$AH42:$HD42,"&lt;9")/COUNTIFS(응답입력!$AH$3:$HD$3,"L05",응답입력!$AH42:$HD42,"&lt;9"),"")</f>
        <v/>
      </c>
      <c r="G41" s="35" t="str">
        <f aca="false">IF(COUNTIFS(응답입력!$AH$3:$HD$3,"L06",응답입력!$AH42:$HD42,"&lt;9")&gt;=3,SUMIFS(응답입력!$AH42:$HD42,응답입력!$AH$3:$HD$3,"L06",응답입력!$AH42:$HD42,"&lt;9")/COUNTIFS(응답입력!$AH$3:$HD$3,"L06",응답입력!$AH42:$HD42,"&lt;9"),"")</f>
        <v/>
      </c>
      <c r="H41" s="35" t="str">
        <f aca="false">IF(COUNTIFS(응답입력!$AH$3:$HD$3,"L07",응답입력!$AH42:$HD42,"&lt;9")&gt;=3,SUMIFS(응답입력!$AH42:$HD42,응답입력!$AH$3:$HD$3,"L07",응답입력!$AH42:$HD42,"&lt;9")/COUNTIFS(응답입력!$AH$3:$HD$3,"L07",응답입력!$AH42:$HD42,"&lt;9"),"")</f>
        <v/>
      </c>
      <c r="I41" s="35" t="str">
        <f aca="false">IF(COUNTIFS(응답입력!$AH$3:$HD$3,"L08",응답입력!$AH42:$HD42,"&lt;9")&gt;=3,SUMIFS(응답입력!$AH42:$HD42,응답입력!$AH$3:$HD$3,"L08",응답입력!$AH42:$HD42,"&lt;9")/COUNTIFS(응답입력!$AH$3:$HD$3,"L08",응답입력!$AH42:$HD42,"&lt;9"),"")</f>
        <v/>
      </c>
      <c r="J41" s="35" t="str">
        <f aca="false">IF(COUNTIFS(응답입력!$AH$3:$HD$3,"L09",응답입력!$AH42:$HD42,"&lt;9")&gt;=3,SUMIFS(응답입력!$AH42:$HD42,응답입력!$AH$3:$HD$3,"L09",응답입력!$AH42:$HD42,"&lt;9")/COUNTIFS(응답입력!$AH$3:$HD$3,"L09",응답입력!$AH42:$HD42,"&lt;9"),"")</f>
        <v/>
      </c>
      <c r="K41" s="35" t="str">
        <f aca="false">IF(COUNTIFS(응답입력!$AH$3:$HD$3,"L10",응답입력!$AH42:$HD42,"&lt;9")&gt;=3,SUMIFS(응답입력!$AH42:$HD42,응답입력!$AH$3:$HD$3,"L10",응답입력!$AH42:$HD42,"&lt;9")/COUNTIFS(응답입력!$AH$3:$HD$3,"L10",응답입력!$AH42:$HD42,"&lt;9"),"")</f>
        <v/>
      </c>
      <c r="L41" s="35" t="str">
        <f aca="false">IF(COUNTIFS(응답입력!$AH$3:$HD$3,"L11",응답입력!$AH42:$HD42,"&lt;9")&gt;=3,SUMIFS(응답입력!$AH42:$HD42,응답입력!$AH$3:$HD$3,"L11",응답입력!$AH42:$HD42,"&lt;9")/COUNTIFS(응답입력!$AH$3:$HD$3,"L11",응답입력!$AH42:$HD42,"&lt;9"),"")</f>
        <v/>
      </c>
      <c r="M41" s="35" t="str">
        <f aca="false">IF(COUNTIFS(응답입력!$AH$3:$HD$3,"L12",응답입력!$AH42:$HD42,"&lt;9")&gt;=3,SUMIFS(응답입력!$AH42:$HD42,응답입력!$AH$3:$HD$3,"L12",응답입력!$AH42:$HD42,"&lt;9")/COUNTIFS(응답입력!$AH$3:$HD$3,"L12",응답입력!$AH42:$HD42,"&lt;9"),"")</f>
        <v/>
      </c>
      <c r="N41" s="35" t="str">
        <f aca="false">IF(COUNTIFS(응답입력!$AH$3:$HD$3,"L13",응답입력!$AH42:$HD42,"&lt;9")&gt;=3,SUMIFS(응답입력!$AH42:$HD42,응답입력!$AH$3:$HD$3,"L13",응답입력!$AH42:$HD42,"&lt;9")/COUNTIFS(응답입력!$AH$3:$HD$3,"L13",응답입력!$AH42:$HD42,"&lt;9"),"")</f>
        <v/>
      </c>
      <c r="O41" s="35" t="str">
        <f aca="false">IF(COUNTIFS(응답입력!$AH$3:$HD$3,"L14",응답입력!$AH42:$HD42,"&lt;9")&gt;=3,SUMIFS(응답입력!$AH42:$HD42,응답입력!$AH$3:$HD$3,"L14",응답입력!$AH42:$HD42,"&lt;9")/COUNTIFS(응답입력!$AH$3:$HD$3,"L14",응답입력!$AH42:$HD42,"&lt;9"),"")</f>
        <v/>
      </c>
      <c r="P41" s="35" t="str">
        <f aca="false">IF(COUNTIFS(응답입력!$AH$3:$HD$3,"L15",응답입력!$AH42:$HD42,"&lt;9")&gt;=3,SUMIFS(응답입력!$AH42:$HD42,응답입력!$AH$3:$HD$3,"L15",응답입력!$AH42:$HD42,"&lt;9")/COUNTIFS(응답입력!$AH$3:$HD$3,"L15",응답입력!$AH42:$HD42,"&lt;9"),"")</f>
        <v/>
      </c>
      <c r="Q41" s="35" t="str">
        <f aca="false">IF(COUNTIFS(응답입력!$AH$3:$HD$3,"L16",응답입력!$AH42:$HD42,"&lt;9")&gt;=3,SUMIFS(응답입력!$AH42:$HD42,응답입력!$AH$3:$HD$3,"L16",응답입력!$AH42:$HD42,"&lt;9")/COUNTIFS(응답입력!$AH$3:$HD$3,"L16",응답입력!$AH42:$HD42,"&lt;9"),"")</f>
        <v/>
      </c>
      <c r="R41" s="35" t="str">
        <f aca="false">IF(COUNTIFS(응답입력!$AH$3:$HD$3,"L17",응답입력!$AH42:$HD42,"&lt;9")&gt;=3,SUMIFS(응답입력!$AH42:$HD42,응답입력!$AH$3:$HD$3,"L17",응답입력!$AH42:$HD42,"&lt;9")/COUNTIFS(응답입력!$AH$3:$HD$3,"L17",응답입력!$AH42:$HD42,"&lt;9"),"")</f>
        <v/>
      </c>
      <c r="S41" s="35" t="str">
        <f aca="false">IF(COUNTIFS(응답입력!$AH$3:$HD$3,"L18",응답입력!$AH42:$HD42,"&lt;9")&gt;=3,SUMIFS(응답입력!$AH42:$HD42,응답입력!$AH$3:$HD$3,"L18",응답입력!$AH42:$HD42,"&lt;9")/COUNTIFS(응답입력!$AH$3:$HD$3,"L18",응답입력!$AH42:$HD42,"&lt;9"),"")</f>
        <v/>
      </c>
      <c r="T41" s="35" t="str">
        <f aca="false">IF(COUNTIFS(응답입력!$AH$3:$HD$3,"L19",응답입력!$AH42:$HD42,"&lt;9")&gt;=3,SUMIFS(응답입력!$AH42:$HD42,응답입력!$AH$3:$HD$3,"L19",응답입력!$AH42:$HD42,"&lt;9")/COUNTIFS(응답입력!$AH$3:$HD$3,"L19",응답입력!$AH42:$HD42,"&lt;9"),"")</f>
        <v/>
      </c>
      <c r="U41" s="35" t="str">
        <f aca="false">IF(COUNTIFS(응답입력!$AH$3:$HD$3,"L20",응답입력!$AH42:$HD42,"&lt;9")&gt;=3,SUMIFS(응답입력!$AH42:$HD42,응답입력!$AH$3:$HD$3,"L20",응답입력!$AH42:$HD42,"&lt;9")/COUNTIFS(응답입력!$AH$3:$HD$3,"L20",응답입력!$AH42:$HD42,"&lt;9"),"")</f>
        <v/>
      </c>
      <c r="V41" s="35" t="str">
        <f aca="false">IF(COUNTIFS(응답입력!$AH$3:$HD$3,"L21",응답입력!$AH42:$HD42,"&lt;9")&gt;=3,SUMIFS(응답입력!$AH42:$HD42,응답입력!$AH$3:$HD$3,"L21",응답입력!$AH42:$HD42,"&lt;9")/COUNTIFS(응답입력!$AH$3:$HD$3,"L21",응답입력!$AH42:$HD42,"&lt;9"),"")</f>
        <v/>
      </c>
      <c r="W41" s="35" t="str">
        <f aca="false">IF(COUNTIFS(응답입력!$AH$3:$HD$3,"L22",응답입력!$AH42:$HD42,"&lt;9")&gt;=3,SUMIFS(응답입력!$AH42:$HD42,응답입력!$AH$3:$HD$3,"L22",응답입력!$AH42:$HD42,"&lt;9")/COUNTIFS(응답입력!$AH$3:$HD$3,"L22",응답입력!$AH42:$HD42,"&lt;9"),"")</f>
        <v/>
      </c>
      <c r="X41" s="35" t="str">
        <f aca="false">IF(COUNTIFS(응답입력!$AH$3:$HD$3,"L23",응답입력!$AH42:$HD42,"&lt;9")&gt;=3,SUMIFS(응답입력!$AH42:$HD42,응답입력!$AH$3:$HD$3,"L23",응답입력!$AH42:$HD42,"&lt;9")/COUNTIFS(응답입력!$AH$3:$HD$3,"L23",응답입력!$AH42:$HD42,"&lt;9"),"")</f>
        <v/>
      </c>
      <c r="Y41" s="35" t="str">
        <f aca="false">IF(COUNTIFS(응답입력!$AH$3:$HD$3,"L24",응답입력!$AH42:$HD42,"&lt;9")&gt;=3,SUMIFS(응답입력!$AH42:$HD42,응답입력!$AH$3:$HD$3,"L24",응답입력!$AH42:$HD42,"&lt;9")/COUNTIFS(응답입력!$AH$3:$HD$3,"L24",응답입력!$AH42:$HD42,"&lt;9"),"")</f>
        <v/>
      </c>
      <c r="Z41" s="35" t="str">
        <f aca="false">IF(COUNTIFS(응답입력!$AH$3:$HD$3,"L25",응답입력!$AH42:$HD42,"&lt;9")&gt;=3,SUMIFS(응답입력!$AH42:$HD42,응답입력!$AH$3:$HD$3,"L25",응답입력!$AH42:$HD42,"&lt;9")/COUNTIFS(응답입력!$AH$3:$HD$3,"L25",응답입력!$AH42:$HD42,"&lt;9"),"")</f>
        <v/>
      </c>
      <c r="AA41" s="35" t="str">
        <f aca="false">IF(COUNTIFS(응답입력!$AH$3:$HD$3,"L26",응답입력!$AH42:$HD42,"&lt;9")&gt;=3,SUMIFS(응답입력!$AH42:$HD42,응답입력!$AH$3:$HD$3,"L26",응답입력!$AH42:$HD42,"&lt;9")/COUNTIFS(응답입력!$AH$3:$HD$3,"L26",응답입력!$AH42:$HD42,"&lt;9"),"")</f>
        <v/>
      </c>
      <c r="AB41" s="35" t="str">
        <f aca="false">IF(COUNTIFS(응답입력!$AH$3:$HD$3,"L27",응답입력!$AH42:$HD42,"&lt;9")&gt;=3,SUMIFS(응답입력!$AH42:$HD42,응답입력!$AH$3:$HD$3,"L27",응답입력!$AH42:$HD42,"&lt;9")/COUNTIFS(응답입력!$AH$3:$HD$3,"L27",응답입력!$AH42:$HD42,"&lt;9"),"")</f>
        <v/>
      </c>
      <c r="AC41" s="35" t="str">
        <f aca="false">IF(COUNTIFS(응답입력!$AH$3:$HD$3,"L28",응답입력!$AH42:$HD42,"&lt;9")&gt;=3,SUMIFS(응답입력!$AH42:$HD42,응답입력!$AH$3:$HD$3,"L28",응답입력!$AH42:$HD42,"&lt;9")/COUNTIFS(응답입력!$AH$3:$HD$3,"L28",응답입력!$AH42:$HD42,"&lt;9"),"")</f>
        <v/>
      </c>
      <c r="AD41" s="35" t="str">
        <f aca="false">IF(COUNTIFS(응답입력!$AH$3:$HD$3,"L29",응답입력!$AH42:$HD42,"&lt;9")&gt;=3,SUMIFS(응답입력!$AH42:$HD42,응답입력!$AH$3:$HD$3,"L29",응답입력!$AH42:$HD42,"&lt;9")/COUNTIFS(응답입력!$AH$3:$HD$3,"L29",응답입력!$AH42:$HD42,"&lt;9"),"")</f>
        <v/>
      </c>
      <c r="AE41" s="35" t="str">
        <f aca="false">IF(COUNTIFS(응답입력!$AH$3:$HD$3,"L30",응답입력!$AH42:$HD42,"&lt;9")&gt;=3,SUMIFS(응답입력!$AH42:$HD42,응답입력!$AH$3:$HD$3,"L30",응답입력!$AH42:$HD42,"&lt;9")/COUNTIFS(응답입력!$AH$3:$HD$3,"L30",응답입력!$AH42:$HD42,"&lt;9"),"")</f>
        <v/>
      </c>
      <c r="AF41" s="35" t="str">
        <f aca="false">IF(COUNTIFS(응답입력!$AH$3:$HD$3,"L31",응답입력!$AH42:$HD42,"&lt;9")&gt;=3,SUMIFS(응답입력!$AH42:$HD42,응답입력!$AH$3:$HD$3,"L31",응답입력!$AH42:$HD42,"&lt;9")/COUNTIFS(응답입력!$AH$3:$HD$3,"L31",응답입력!$AH42:$HD42,"&lt;9"),"")</f>
        <v/>
      </c>
      <c r="AG41" s="41" t="str">
        <f aca="false">IFERROR(AVERAGE(B41:AF41),"")</f>
        <v/>
      </c>
    </row>
    <row r="42" customFormat="false" ht="15" hidden="false" customHeight="false" outlineLevel="0" collapsed="false">
      <c r="A42" s="27" t="str">
        <f aca="false">IF(응답입력!A43="","",응답입력!A43)</f>
        <v/>
      </c>
      <c r="B42" s="35" t="str">
        <f aca="false">IF(COUNTIFS(응답입력!$AH$3:$HD$3,"L01",응답입력!$AH43:$HD43,"&lt;9")&gt;=3,SUMIFS(응답입력!$AH43:$HD43,응답입력!$AH$3:$HD$3,"L01",응답입력!$AH43:$HD43,"&lt;9")/COUNTIFS(응답입력!$AH$3:$HD$3,"L01",응답입력!$AH43:$HD43,"&lt;9"),"")</f>
        <v/>
      </c>
      <c r="C42" s="35" t="str">
        <f aca="false">IF(COUNTIFS(응답입력!$AH$3:$HD$3,"L02",응답입력!$AH43:$HD43,"&lt;9")&gt;=3,SUMIFS(응답입력!$AH43:$HD43,응답입력!$AH$3:$HD$3,"L02",응답입력!$AH43:$HD43,"&lt;9")/COUNTIFS(응답입력!$AH$3:$HD$3,"L02",응답입력!$AH43:$HD43,"&lt;9"),"")</f>
        <v/>
      </c>
      <c r="D42" s="35" t="str">
        <f aca="false">IF(COUNTIFS(응답입력!$AH$3:$HD$3,"L03",응답입력!$AH43:$HD43,"&lt;9")&gt;=3,SUMIFS(응답입력!$AH43:$HD43,응답입력!$AH$3:$HD$3,"L03",응답입력!$AH43:$HD43,"&lt;9")/COUNTIFS(응답입력!$AH$3:$HD$3,"L03",응답입력!$AH43:$HD43,"&lt;9"),"")</f>
        <v/>
      </c>
      <c r="E42" s="35" t="str">
        <f aca="false">IF(COUNTIFS(응답입력!$AH$3:$HD$3,"L04",응답입력!$AH43:$HD43,"&lt;9")&gt;=3,SUMIFS(응답입력!$AH43:$HD43,응답입력!$AH$3:$HD$3,"L04",응답입력!$AH43:$HD43,"&lt;9")/COUNTIFS(응답입력!$AH$3:$HD$3,"L04",응답입력!$AH43:$HD43,"&lt;9"),"")</f>
        <v/>
      </c>
      <c r="F42" s="35" t="str">
        <f aca="false">IF(COUNTIFS(응답입력!$AH$3:$HD$3,"L05",응답입력!$AH43:$HD43,"&lt;9")&gt;=3,SUMIFS(응답입력!$AH43:$HD43,응답입력!$AH$3:$HD$3,"L05",응답입력!$AH43:$HD43,"&lt;9")/COUNTIFS(응답입력!$AH$3:$HD$3,"L05",응답입력!$AH43:$HD43,"&lt;9"),"")</f>
        <v/>
      </c>
      <c r="G42" s="35" t="str">
        <f aca="false">IF(COUNTIFS(응답입력!$AH$3:$HD$3,"L06",응답입력!$AH43:$HD43,"&lt;9")&gt;=3,SUMIFS(응답입력!$AH43:$HD43,응답입력!$AH$3:$HD$3,"L06",응답입력!$AH43:$HD43,"&lt;9")/COUNTIFS(응답입력!$AH$3:$HD$3,"L06",응답입력!$AH43:$HD43,"&lt;9"),"")</f>
        <v/>
      </c>
      <c r="H42" s="35" t="str">
        <f aca="false">IF(COUNTIFS(응답입력!$AH$3:$HD$3,"L07",응답입력!$AH43:$HD43,"&lt;9")&gt;=3,SUMIFS(응답입력!$AH43:$HD43,응답입력!$AH$3:$HD$3,"L07",응답입력!$AH43:$HD43,"&lt;9")/COUNTIFS(응답입력!$AH$3:$HD$3,"L07",응답입력!$AH43:$HD43,"&lt;9"),"")</f>
        <v/>
      </c>
      <c r="I42" s="35" t="str">
        <f aca="false">IF(COUNTIFS(응답입력!$AH$3:$HD$3,"L08",응답입력!$AH43:$HD43,"&lt;9")&gt;=3,SUMIFS(응답입력!$AH43:$HD43,응답입력!$AH$3:$HD$3,"L08",응답입력!$AH43:$HD43,"&lt;9")/COUNTIFS(응답입력!$AH$3:$HD$3,"L08",응답입력!$AH43:$HD43,"&lt;9"),"")</f>
        <v/>
      </c>
      <c r="J42" s="35" t="str">
        <f aca="false">IF(COUNTIFS(응답입력!$AH$3:$HD$3,"L09",응답입력!$AH43:$HD43,"&lt;9")&gt;=3,SUMIFS(응답입력!$AH43:$HD43,응답입력!$AH$3:$HD$3,"L09",응답입력!$AH43:$HD43,"&lt;9")/COUNTIFS(응답입력!$AH$3:$HD$3,"L09",응답입력!$AH43:$HD43,"&lt;9"),"")</f>
        <v/>
      </c>
      <c r="K42" s="35" t="str">
        <f aca="false">IF(COUNTIFS(응답입력!$AH$3:$HD$3,"L10",응답입력!$AH43:$HD43,"&lt;9")&gt;=3,SUMIFS(응답입력!$AH43:$HD43,응답입력!$AH$3:$HD$3,"L10",응답입력!$AH43:$HD43,"&lt;9")/COUNTIFS(응답입력!$AH$3:$HD$3,"L10",응답입력!$AH43:$HD43,"&lt;9"),"")</f>
        <v/>
      </c>
      <c r="L42" s="35" t="str">
        <f aca="false">IF(COUNTIFS(응답입력!$AH$3:$HD$3,"L11",응답입력!$AH43:$HD43,"&lt;9")&gt;=3,SUMIFS(응답입력!$AH43:$HD43,응답입력!$AH$3:$HD$3,"L11",응답입력!$AH43:$HD43,"&lt;9")/COUNTIFS(응답입력!$AH$3:$HD$3,"L11",응답입력!$AH43:$HD43,"&lt;9"),"")</f>
        <v/>
      </c>
      <c r="M42" s="35" t="str">
        <f aca="false">IF(COUNTIFS(응답입력!$AH$3:$HD$3,"L12",응답입력!$AH43:$HD43,"&lt;9")&gt;=3,SUMIFS(응답입력!$AH43:$HD43,응답입력!$AH$3:$HD$3,"L12",응답입력!$AH43:$HD43,"&lt;9")/COUNTIFS(응답입력!$AH$3:$HD$3,"L12",응답입력!$AH43:$HD43,"&lt;9"),"")</f>
        <v/>
      </c>
      <c r="N42" s="35" t="str">
        <f aca="false">IF(COUNTIFS(응답입력!$AH$3:$HD$3,"L13",응답입력!$AH43:$HD43,"&lt;9")&gt;=3,SUMIFS(응답입력!$AH43:$HD43,응답입력!$AH$3:$HD$3,"L13",응답입력!$AH43:$HD43,"&lt;9")/COUNTIFS(응답입력!$AH$3:$HD$3,"L13",응답입력!$AH43:$HD43,"&lt;9"),"")</f>
        <v/>
      </c>
      <c r="O42" s="35" t="str">
        <f aca="false">IF(COUNTIFS(응답입력!$AH$3:$HD$3,"L14",응답입력!$AH43:$HD43,"&lt;9")&gt;=3,SUMIFS(응답입력!$AH43:$HD43,응답입력!$AH$3:$HD$3,"L14",응답입력!$AH43:$HD43,"&lt;9")/COUNTIFS(응답입력!$AH$3:$HD$3,"L14",응답입력!$AH43:$HD43,"&lt;9"),"")</f>
        <v/>
      </c>
      <c r="P42" s="35" t="str">
        <f aca="false">IF(COUNTIFS(응답입력!$AH$3:$HD$3,"L15",응답입력!$AH43:$HD43,"&lt;9")&gt;=3,SUMIFS(응답입력!$AH43:$HD43,응답입력!$AH$3:$HD$3,"L15",응답입력!$AH43:$HD43,"&lt;9")/COUNTIFS(응답입력!$AH$3:$HD$3,"L15",응답입력!$AH43:$HD43,"&lt;9"),"")</f>
        <v/>
      </c>
      <c r="Q42" s="35" t="str">
        <f aca="false">IF(COUNTIFS(응답입력!$AH$3:$HD$3,"L16",응답입력!$AH43:$HD43,"&lt;9")&gt;=3,SUMIFS(응답입력!$AH43:$HD43,응답입력!$AH$3:$HD$3,"L16",응답입력!$AH43:$HD43,"&lt;9")/COUNTIFS(응답입력!$AH$3:$HD$3,"L16",응답입력!$AH43:$HD43,"&lt;9"),"")</f>
        <v/>
      </c>
      <c r="R42" s="35" t="str">
        <f aca="false">IF(COUNTIFS(응답입력!$AH$3:$HD$3,"L17",응답입력!$AH43:$HD43,"&lt;9")&gt;=3,SUMIFS(응답입력!$AH43:$HD43,응답입력!$AH$3:$HD$3,"L17",응답입력!$AH43:$HD43,"&lt;9")/COUNTIFS(응답입력!$AH$3:$HD$3,"L17",응답입력!$AH43:$HD43,"&lt;9"),"")</f>
        <v/>
      </c>
      <c r="S42" s="35" t="str">
        <f aca="false">IF(COUNTIFS(응답입력!$AH$3:$HD$3,"L18",응답입력!$AH43:$HD43,"&lt;9")&gt;=3,SUMIFS(응답입력!$AH43:$HD43,응답입력!$AH$3:$HD$3,"L18",응답입력!$AH43:$HD43,"&lt;9")/COUNTIFS(응답입력!$AH$3:$HD$3,"L18",응답입력!$AH43:$HD43,"&lt;9"),"")</f>
        <v/>
      </c>
      <c r="T42" s="35" t="str">
        <f aca="false">IF(COUNTIFS(응답입력!$AH$3:$HD$3,"L19",응답입력!$AH43:$HD43,"&lt;9")&gt;=3,SUMIFS(응답입력!$AH43:$HD43,응답입력!$AH$3:$HD$3,"L19",응답입력!$AH43:$HD43,"&lt;9")/COUNTIFS(응답입력!$AH$3:$HD$3,"L19",응답입력!$AH43:$HD43,"&lt;9"),"")</f>
        <v/>
      </c>
      <c r="U42" s="35" t="str">
        <f aca="false">IF(COUNTIFS(응답입력!$AH$3:$HD$3,"L20",응답입력!$AH43:$HD43,"&lt;9")&gt;=3,SUMIFS(응답입력!$AH43:$HD43,응답입력!$AH$3:$HD$3,"L20",응답입력!$AH43:$HD43,"&lt;9")/COUNTIFS(응답입력!$AH$3:$HD$3,"L20",응답입력!$AH43:$HD43,"&lt;9"),"")</f>
        <v/>
      </c>
      <c r="V42" s="35" t="str">
        <f aca="false">IF(COUNTIFS(응답입력!$AH$3:$HD$3,"L21",응답입력!$AH43:$HD43,"&lt;9")&gt;=3,SUMIFS(응답입력!$AH43:$HD43,응답입력!$AH$3:$HD$3,"L21",응답입력!$AH43:$HD43,"&lt;9")/COUNTIFS(응답입력!$AH$3:$HD$3,"L21",응답입력!$AH43:$HD43,"&lt;9"),"")</f>
        <v/>
      </c>
      <c r="W42" s="35" t="str">
        <f aca="false">IF(COUNTIFS(응답입력!$AH$3:$HD$3,"L22",응답입력!$AH43:$HD43,"&lt;9")&gt;=3,SUMIFS(응답입력!$AH43:$HD43,응답입력!$AH$3:$HD$3,"L22",응답입력!$AH43:$HD43,"&lt;9")/COUNTIFS(응답입력!$AH$3:$HD$3,"L22",응답입력!$AH43:$HD43,"&lt;9"),"")</f>
        <v/>
      </c>
      <c r="X42" s="35" t="str">
        <f aca="false">IF(COUNTIFS(응답입력!$AH$3:$HD$3,"L23",응답입력!$AH43:$HD43,"&lt;9")&gt;=3,SUMIFS(응답입력!$AH43:$HD43,응답입력!$AH$3:$HD$3,"L23",응답입력!$AH43:$HD43,"&lt;9")/COUNTIFS(응답입력!$AH$3:$HD$3,"L23",응답입력!$AH43:$HD43,"&lt;9"),"")</f>
        <v/>
      </c>
      <c r="Y42" s="35" t="str">
        <f aca="false">IF(COUNTIFS(응답입력!$AH$3:$HD$3,"L24",응답입력!$AH43:$HD43,"&lt;9")&gt;=3,SUMIFS(응답입력!$AH43:$HD43,응답입력!$AH$3:$HD$3,"L24",응답입력!$AH43:$HD43,"&lt;9")/COUNTIFS(응답입력!$AH$3:$HD$3,"L24",응답입력!$AH43:$HD43,"&lt;9"),"")</f>
        <v/>
      </c>
      <c r="Z42" s="35" t="str">
        <f aca="false">IF(COUNTIFS(응답입력!$AH$3:$HD$3,"L25",응답입력!$AH43:$HD43,"&lt;9")&gt;=3,SUMIFS(응답입력!$AH43:$HD43,응답입력!$AH$3:$HD$3,"L25",응답입력!$AH43:$HD43,"&lt;9")/COUNTIFS(응답입력!$AH$3:$HD$3,"L25",응답입력!$AH43:$HD43,"&lt;9"),"")</f>
        <v/>
      </c>
      <c r="AA42" s="35" t="str">
        <f aca="false">IF(COUNTIFS(응답입력!$AH$3:$HD$3,"L26",응답입력!$AH43:$HD43,"&lt;9")&gt;=3,SUMIFS(응답입력!$AH43:$HD43,응답입력!$AH$3:$HD$3,"L26",응답입력!$AH43:$HD43,"&lt;9")/COUNTIFS(응답입력!$AH$3:$HD$3,"L26",응답입력!$AH43:$HD43,"&lt;9"),"")</f>
        <v/>
      </c>
      <c r="AB42" s="35" t="str">
        <f aca="false">IF(COUNTIFS(응답입력!$AH$3:$HD$3,"L27",응답입력!$AH43:$HD43,"&lt;9")&gt;=3,SUMIFS(응답입력!$AH43:$HD43,응답입력!$AH$3:$HD$3,"L27",응답입력!$AH43:$HD43,"&lt;9")/COUNTIFS(응답입력!$AH$3:$HD$3,"L27",응답입력!$AH43:$HD43,"&lt;9"),"")</f>
        <v/>
      </c>
      <c r="AC42" s="35" t="str">
        <f aca="false">IF(COUNTIFS(응답입력!$AH$3:$HD$3,"L28",응답입력!$AH43:$HD43,"&lt;9")&gt;=3,SUMIFS(응답입력!$AH43:$HD43,응답입력!$AH$3:$HD$3,"L28",응답입력!$AH43:$HD43,"&lt;9")/COUNTIFS(응답입력!$AH$3:$HD$3,"L28",응답입력!$AH43:$HD43,"&lt;9"),"")</f>
        <v/>
      </c>
      <c r="AD42" s="35" t="str">
        <f aca="false">IF(COUNTIFS(응답입력!$AH$3:$HD$3,"L29",응답입력!$AH43:$HD43,"&lt;9")&gt;=3,SUMIFS(응답입력!$AH43:$HD43,응답입력!$AH$3:$HD$3,"L29",응답입력!$AH43:$HD43,"&lt;9")/COUNTIFS(응답입력!$AH$3:$HD$3,"L29",응답입력!$AH43:$HD43,"&lt;9"),"")</f>
        <v/>
      </c>
      <c r="AE42" s="35" t="str">
        <f aca="false">IF(COUNTIFS(응답입력!$AH$3:$HD$3,"L30",응답입력!$AH43:$HD43,"&lt;9")&gt;=3,SUMIFS(응답입력!$AH43:$HD43,응답입력!$AH$3:$HD$3,"L30",응답입력!$AH43:$HD43,"&lt;9")/COUNTIFS(응답입력!$AH$3:$HD$3,"L30",응답입력!$AH43:$HD43,"&lt;9"),"")</f>
        <v/>
      </c>
      <c r="AF42" s="35" t="str">
        <f aca="false">IF(COUNTIFS(응답입력!$AH$3:$HD$3,"L31",응답입력!$AH43:$HD43,"&lt;9")&gt;=3,SUMIFS(응답입력!$AH43:$HD43,응답입력!$AH$3:$HD$3,"L31",응답입력!$AH43:$HD43,"&lt;9")/COUNTIFS(응답입력!$AH$3:$HD$3,"L31",응답입력!$AH43:$HD43,"&lt;9"),"")</f>
        <v/>
      </c>
      <c r="AG42" s="41" t="str">
        <f aca="false">IFERROR(AVERAGE(B42:AF42),"")</f>
        <v/>
      </c>
    </row>
    <row r="43" customFormat="false" ht="15" hidden="false" customHeight="false" outlineLevel="0" collapsed="false">
      <c r="A43" s="27" t="str">
        <f aca="false">IF(응답입력!A44="","",응답입력!A44)</f>
        <v/>
      </c>
      <c r="B43" s="35" t="str">
        <f aca="false">IF(COUNTIFS(응답입력!$AH$3:$HD$3,"L01",응답입력!$AH44:$HD44,"&lt;9")&gt;=3,SUMIFS(응답입력!$AH44:$HD44,응답입력!$AH$3:$HD$3,"L01",응답입력!$AH44:$HD44,"&lt;9")/COUNTIFS(응답입력!$AH$3:$HD$3,"L01",응답입력!$AH44:$HD44,"&lt;9"),"")</f>
        <v/>
      </c>
      <c r="C43" s="35" t="str">
        <f aca="false">IF(COUNTIFS(응답입력!$AH$3:$HD$3,"L02",응답입력!$AH44:$HD44,"&lt;9")&gt;=3,SUMIFS(응답입력!$AH44:$HD44,응답입력!$AH$3:$HD$3,"L02",응답입력!$AH44:$HD44,"&lt;9")/COUNTIFS(응답입력!$AH$3:$HD$3,"L02",응답입력!$AH44:$HD44,"&lt;9"),"")</f>
        <v/>
      </c>
      <c r="D43" s="35" t="str">
        <f aca="false">IF(COUNTIFS(응답입력!$AH$3:$HD$3,"L03",응답입력!$AH44:$HD44,"&lt;9")&gt;=3,SUMIFS(응답입력!$AH44:$HD44,응답입력!$AH$3:$HD$3,"L03",응답입력!$AH44:$HD44,"&lt;9")/COUNTIFS(응답입력!$AH$3:$HD$3,"L03",응답입력!$AH44:$HD44,"&lt;9"),"")</f>
        <v/>
      </c>
      <c r="E43" s="35" t="str">
        <f aca="false">IF(COUNTIFS(응답입력!$AH$3:$HD$3,"L04",응답입력!$AH44:$HD44,"&lt;9")&gt;=3,SUMIFS(응답입력!$AH44:$HD44,응답입력!$AH$3:$HD$3,"L04",응답입력!$AH44:$HD44,"&lt;9")/COUNTIFS(응답입력!$AH$3:$HD$3,"L04",응답입력!$AH44:$HD44,"&lt;9"),"")</f>
        <v/>
      </c>
      <c r="F43" s="35" t="str">
        <f aca="false">IF(COUNTIFS(응답입력!$AH$3:$HD$3,"L05",응답입력!$AH44:$HD44,"&lt;9")&gt;=3,SUMIFS(응답입력!$AH44:$HD44,응답입력!$AH$3:$HD$3,"L05",응답입력!$AH44:$HD44,"&lt;9")/COUNTIFS(응답입력!$AH$3:$HD$3,"L05",응답입력!$AH44:$HD44,"&lt;9"),"")</f>
        <v/>
      </c>
      <c r="G43" s="35" t="str">
        <f aca="false">IF(COUNTIFS(응답입력!$AH$3:$HD$3,"L06",응답입력!$AH44:$HD44,"&lt;9")&gt;=3,SUMIFS(응답입력!$AH44:$HD44,응답입력!$AH$3:$HD$3,"L06",응답입력!$AH44:$HD44,"&lt;9")/COUNTIFS(응답입력!$AH$3:$HD$3,"L06",응답입력!$AH44:$HD44,"&lt;9"),"")</f>
        <v/>
      </c>
      <c r="H43" s="35" t="str">
        <f aca="false">IF(COUNTIFS(응답입력!$AH$3:$HD$3,"L07",응답입력!$AH44:$HD44,"&lt;9")&gt;=3,SUMIFS(응답입력!$AH44:$HD44,응답입력!$AH$3:$HD$3,"L07",응답입력!$AH44:$HD44,"&lt;9")/COUNTIFS(응답입력!$AH$3:$HD$3,"L07",응답입력!$AH44:$HD44,"&lt;9"),"")</f>
        <v/>
      </c>
      <c r="I43" s="35" t="str">
        <f aca="false">IF(COUNTIFS(응답입력!$AH$3:$HD$3,"L08",응답입력!$AH44:$HD44,"&lt;9")&gt;=3,SUMIFS(응답입력!$AH44:$HD44,응답입력!$AH$3:$HD$3,"L08",응답입력!$AH44:$HD44,"&lt;9")/COUNTIFS(응답입력!$AH$3:$HD$3,"L08",응답입력!$AH44:$HD44,"&lt;9"),"")</f>
        <v/>
      </c>
      <c r="J43" s="35" t="str">
        <f aca="false">IF(COUNTIFS(응답입력!$AH$3:$HD$3,"L09",응답입력!$AH44:$HD44,"&lt;9")&gt;=3,SUMIFS(응답입력!$AH44:$HD44,응답입력!$AH$3:$HD$3,"L09",응답입력!$AH44:$HD44,"&lt;9")/COUNTIFS(응답입력!$AH$3:$HD$3,"L09",응답입력!$AH44:$HD44,"&lt;9"),"")</f>
        <v/>
      </c>
      <c r="K43" s="35" t="str">
        <f aca="false">IF(COUNTIFS(응답입력!$AH$3:$HD$3,"L10",응답입력!$AH44:$HD44,"&lt;9")&gt;=3,SUMIFS(응답입력!$AH44:$HD44,응답입력!$AH$3:$HD$3,"L10",응답입력!$AH44:$HD44,"&lt;9")/COUNTIFS(응답입력!$AH$3:$HD$3,"L10",응답입력!$AH44:$HD44,"&lt;9"),"")</f>
        <v/>
      </c>
      <c r="L43" s="35" t="str">
        <f aca="false">IF(COUNTIFS(응답입력!$AH$3:$HD$3,"L11",응답입력!$AH44:$HD44,"&lt;9")&gt;=3,SUMIFS(응답입력!$AH44:$HD44,응답입력!$AH$3:$HD$3,"L11",응답입력!$AH44:$HD44,"&lt;9")/COUNTIFS(응답입력!$AH$3:$HD$3,"L11",응답입력!$AH44:$HD44,"&lt;9"),"")</f>
        <v/>
      </c>
      <c r="M43" s="35" t="str">
        <f aca="false">IF(COUNTIFS(응답입력!$AH$3:$HD$3,"L12",응답입력!$AH44:$HD44,"&lt;9")&gt;=3,SUMIFS(응답입력!$AH44:$HD44,응답입력!$AH$3:$HD$3,"L12",응답입력!$AH44:$HD44,"&lt;9")/COUNTIFS(응답입력!$AH$3:$HD$3,"L12",응답입력!$AH44:$HD44,"&lt;9"),"")</f>
        <v/>
      </c>
      <c r="N43" s="35" t="str">
        <f aca="false">IF(COUNTIFS(응답입력!$AH$3:$HD$3,"L13",응답입력!$AH44:$HD44,"&lt;9")&gt;=3,SUMIFS(응답입력!$AH44:$HD44,응답입력!$AH$3:$HD$3,"L13",응답입력!$AH44:$HD44,"&lt;9")/COUNTIFS(응답입력!$AH$3:$HD$3,"L13",응답입력!$AH44:$HD44,"&lt;9"),"")</f>
        <v/>
      </c>
      <c r="O43" s="35" t="str">
        <f aca="false">IF(COUNTIFS(응답입력!$AH$3:$HD$3,"L14",응답입력!$AH44:$HD44,"&lt;9")&gt;=3,SUMIFS(응답입력!$AH44:$HD44,응답입력!$AH$3:$HD$3,"L14",응답입력!$AH44:$HD44,"&lt;9")/COUNTIFS(응답입력!$AH$3:$HD$3,"L14",응답입력!$AH44:$HD44,"&lt;9"),"")</f>
        <v/>
      </c>
      <c r="P43" s="35" t="str">
        <f aca="false">IF(COUNTIFS(응답입력!$AH$3:$HD$3,"L15",응답입력!$AH44:$HD44,"&lt;9")&gt;=3,SUMIFS(응답입력!$AH44:$HD44,응답입력!$AH$3:$HD$3,"L15",응답입력!$AH44:$HD44,"&lt;9")/COUNTIFS(응답입력!$AH$3:$HD$3,"L15",응답입력!$AH44:$HD44,"&lt;9"),"")</f>
        <v/>
      </c>
      <c r="Q43" s="35" t="str">
        <f aca="false">IF(COUNTIFS(응답입력!$AH$3:$HD$3,"L16",응답입력!$AH44:$HD44,"&lt;9")&gt;=3,SUMIFS(응답입력!$AH44:$HD44,응답입력!$AH$3:$HD$3,"L16",응답입력!$AH44:$HD44,"&lt;9")/COUNTIFS(응답입력!$AH$3:$HD$3,"L16",응답입력!$AH44:$HD44,"&lt;9"),"")</f>
        <v/>
      </c>
      <c r="R43" s="35" t="str">
        <f aca="false">IF(COUNTIFS(응답입력!$AH$3:$HD$3,"L17",응답입력!$AH44:$HD44,"&lt;9")&gt;=3,SUMIFS(응답입력!$AH44:$HD44,응답입력!$AH$3:$HD$3,"L17",응답입력!$AH44:$HD44,"&lt;9")/COUNTIFS(응답입력!$AH$3:$HD$3,"L17",응답입력!$AH44:$HD44,"&lt;9"),"")</f>
        <v/>
      </c>
      <c r="S43" s="35" t="str">
        <f aca="false">IF(COUNTIFS(응답입력!$AH$3:$HD$3,"L18",응답입력!$AH44:$HD44,"&lt;9")&gt;=3,SUMIFS(응답입력!$AH44:$HD44,응답입력!$AH$3:$HD$3,"L18",응답입력!$AH44:$HD44,"&lt;9")/COUNTIFS(응답입력!$AH$3:$HD$3,"L18",응답입력!$AH44:$HD44,"&lt;9"),"")</f>
        <v/>
      </c>
      <c r="T43" s="35" t="str">
        <f aca="false">IF(COUNTIFS(응답입력!$AH$3:$HD$3,"L19",응답입력!$AH44:$HD44,"&lt;9")&gt;=3,SUMIFS(응답입력!$AH44:$HD44,응답입력!$AH$3:$HD$3,"L19",응답입력!$AH44:$HD44,"&lt;9")/COUNTIFS(응답입력!$AH$3:$HD$3,"L19",응답입력!$AH44:$HD44,"&lt;9"),"")</f>
        <v/>
      </c>
      <c r="U43" s="35" t="str">
        <f aca="false">IF(COUNTIFS(응답입력!$AH$3:$HD$3,"L20",응답입력!$AH44:$HD44,"&lt;9")&gt;=3,SUMIFS(응답입력!$AH44:$HD44,응답입력!$AH$3:$HD$3,"L20",응답입력!$AH44:$HD44,"&lt;9")/COUNTIFS(응답입력!$AH$3:$HD$3,"L20",응답입력!$AH44:$HD44,"&lt;9"),"")</f>
        <v/>
      </c>
      <c r="V43" s="35" t="str">
        <f aca="false">IF(COUNTIFS(응답입력!$AH$3:$HD$3,"L21",응답입력!$AH44:$HD44,"&lt;9")&gt;=3,SUMIFS(응답입력!$AH44:$HD44,응답입력!$AH$3:$HD$3,"L21",응답입력!$AH44:$HD44,"&lt;9")/COUNTIFS(응답입력!$AH$3:$HD$3,"L21",응답입력!$AH44:$HD44,"&lt;9"),"")</f>
        <v/>
      </c>
      <c r="W43" s="35" t="str">
        <f aca="false">IF(COUNTIFS(응답입력!$AH$3:$HD$3,"L22",응답입력!$AH44:$HD44,"&lt;9")&gt;=3,SUMIFS(응답입력!$AH44:$HD44,응답입력!$AH$3:$HD$3,"L22",응답입력!$AH44:$HD44,"&lt;9")/COUNTIFS(응답입력!$AH$3:$HD$3,"L22",응답입력!$AH44:$HD44,"&lt;9"),"")</f>
        <v/>
      </c>
      <c r="X43" s="35" t="str">
        <f aca="false">IF(COUNTIFS(응답입력!$AH$3:$HD$3,"L23",응답입력!$AH44:$HD44,"&lt;9")&gt;=3,SUMIFS(응답입력!$AH44:$HD44,응답입력!$AH$3:$HD$3,"L23",응답입력!$AH44:$HD44,"&lt;9")/COUNTIFS(응답입력!$AH$3:$HD$3,"L23",응답입력!$AH44:$HD44,"&lt;9"),"")</f>
        <v/>
      </c>
      <c r="Y43" s="35" t="str">
        <f aca="false">IF(COUNTIFS(응답입력!$AH$3:$HD$3,"L24",응답입력!$AH44:$HD44,"&lt;9")&gt;=3,SUMIFS(응답입력!$AH44:$HD44,응답입력!$AH$3:$HD$3,"L24",응답입력!$AH44:$HD44,"&lt;9")/COUNTIFS(응답입력!$AH$3:$HD$3,"L24",응답입력!$AH44:$HD44,"&lt;9"),"")</f>
        <v/>
      </c>
      <c r="Z43" s="35" t="str">
        <f aca="false">IF(COUNTIFS(응답입력!$AH$3:$HD$3,"L25",응답입력!$AH44:$HD44,"&lt;9")&gt;=3,SUMIFS(응답입력!$AH44:$HD44,응답입력!$AH$3:$HD$3,"L25",응답입력!$AH44:$HD44,"&lt;9")/COUNTIFS(응답입력!$AH$3:$HD$3,"L25",응답입력!$AH44:$HD44,"&lt;9"),"")</f>
        <v/>
      </c>
      <c r="AA43" s="35" t="str">
        <f aca="false">IF(COUNTIFS(응답입력!$AH$3:$HD$3,"L26",응답입력!$AH44:$HD44,"&lt;9")&gt;=3,SUMIFS(응답입력!$AH44:$HD44,응답입력!$AH$3:$HD$3,"L26",응답입력!$AH44:$HD44,"&lt;9")/COUNTIFS(응답입력!$AH$3:$HD$3,"L26",응답입력!$AH44:$HD44,"&lt;9"),"")</f>
        <v/>
      </c>
      <c r="AB43" s="35" t="str">
        <f aca="false">IF(COUNTIFS(응답입력!$AH$3:$HD$3,"L27",응답입력!$AH44:$HD44,"&lt;9")&gt;=3,SUMIFS(응답입력!$AH44:$HD44,응답입력!$AH$3:$HD$3,"L27",응답입력!$AH44:$HD44,"&lt;9")/COUNTIFS(응답입력!$AH$3:$HD$3,"L27",응답입력!$AH44:$HD44,"&lt;9"),"")</f>
        <v/>
      </c>
      <c r="AC43" s="35" t="str">
        <f aca="false">IF(COUNTIFS(응답입력!$AH$3:$HD$3,"L28",응답입력!$AH44:$HD44,"&lt;9")&gt;=3,SUMIFS(응답입력!$AH44:$HD44,응답입력!$AH$3:$HD$3,"L28",응답입력!$AH44:$HD44,"&lt;9")/COUNTIFS(응답입력!$AH$3:$HD$3,"L28",응답입력!$AH44:$HD44,"&lt;9"),"")</f>
        <v/>
      </c>
      <c r="AD43" s="35" t="str">
        <f aca="false">IF(COUNTIFS(응답입력!$AH$3:$HD$3,"L29",응답입력!$AH44:$HD44,"&lt;9")&gt;=3,SUMIFS(응답입력!$AH44:$HD44,응답입력!$AH$3:$HD$3,"L29",응답입력!$AH44:$HD44,"&lt;9")/COUNTIFS(응답입력!$AH$3:$HD$3,"L29",응답입력!$AH44:$HD44,"&lt;9"),"")</f>
        <v/>
      </c>
      <c r="AE43" s="35" t="str">
        <f aca="false">IF(COUNTIFS(응답입력!$AH$3:$HD$3,"L30",응답입력!$AH44:$HD44,"&lt;9")&gt;=3,SUMIFS(응답입력!$AH44:$HD44,응답입력!$AH$3:$HD$3,"L30",응답입력!$AH44:$HD44,"&lt;9")/COUNTIFS(응답입력!$AH$3:$HD$3,"L30",응답입력!$AH44:$HD44,"&lt;9"),"")</f>
        <v/>
      </c>
      <c r="AF43" s="35" t="str">
        <f aca="false">IF(COUNTIFS(응답입력!$AH$3:$HD$3,"L31",응답입력!$AH44:$HD44,"&lt;9")&gt;=3,SUMIFS(응답입력!$AH44:$HD44,응답입력!$AH$3:$HD$3,"L31",응답입력!$AH44:$HD44,"&lt;9")/COUNTIFS(응답입력!$AH$3:$HD$3,"L31",응답입력!$AH44:$HD44,"&lt;9"),"")</f>
        <v/>
      </c>
      <c r="AG43" s="41" t="str">
        <f aca="false">IFERROR(AVERAGE(B43:AF43),"")</f>
        <v/>
      </c>
    </row>
    <row r="44" customFormat="false" ht="15" hidden="false" customHeight="false" outlineLevel="0" collapsed="false">
      <c r="A44" s="27" t="str">
        <f aca="false">IF(응답입력!A45="","",응답입력!A45)</f>
        <v/>
      </c>
      <c r="B44" s="35" t="str">
        <f aca="false">IF(COUNTIFS(응답입력!$AH$3:$HD$3,"L01",응답입력!$AH45:$HD45,"&lt;9")&gt;=3,SUMIFS(응답입력!$AH45:$HD45,응답입력!$AH$3:$HD$3,"L01",응답입력!$AH45:$HD45,"&lt;9")/COUNTIFS(응답입력!$AH$3:$HD$3,"L01",응답입력!$AH45:$HD45,"&lt;9"),"")</f>
        <v/>
      </c>
      <c r="C44" s="35" t="str">
        <f aca="false">IF(COUNTIFS(응답입력!$AH$3:$HD$3,"L02",응답입력!$AH45:$HD45,"&lt;9")&gt;=3,SUMIFS(응답입력!$AH45:$HD45,응답입력!$AH$3:$HD$3,"L02",응답입력!$AH45:$HD45,"&lt;9")/COUNTIFS(응답입력!$AH$3:$HD$3,"L02",응답입력!$AH45:$HD45,"&lt;9"),"")</f>
        <v/>
      </c>
      <c r="D44" s="35" t="str">
        <f aca="false">IF(COUNTIFS(응답입력!$AH$3:$HD$3,"L03",응답입력!$AH45:$HD45,"&lt;9")&gt;=3,SUMIFS(응답입력!$AH45:$HD45,응답입력!$AH$3:$HD$3,"L03",응답입력!$AH45:$HD45,"&lt;9")/COUNTIFS(응답입력!$AH$3:$HD$3,"L03",응답입력!$AH45:$HD45,"&lt;9"),"")</f>
        <v/>
      </c>
      <c r="E44" s="35" t="str">
        <f aca="false">IF(COUNTIFS(응답입력!$AH$3:$HD$3,"L04",응답입력!$AH45:$HD45,"&lt;9")&gt;=3,SUMIFS(응답입력!$AH45:$HD45,응답입력!$AH$3:$HD$3,"L04",응답입력!$AH45:$HD45,"&lt;9")/COUNTIFS(응답입력!$AH$3:$HD$3,"L04",응답입력!$AH45:$HD45,"&lt;9"),"")</f>
        <v/>
      </c>
      <c r="F44" s="35" t="str">
        <f aca="false">IF(COUNTIFS(응답입력!$AH$3:$HD$3,"L05",응답입력!$AH45:$HD45,"&lt;9")&gt;=3,SUMIFS(응답입력!$AH45:$HD45,응답입력!$AH$3:$HD$3,"L05",응답입력!$AH45:$HD45,"&lt;9")/COUNTIFS(응답입력!$AH$3:$HD$3,"L05",응답입력!$AH45:$HD45,"&lt;9"),"")</f>
        <v/>
      </c>
      <c r="G44" s="35" t="str">
        <f aca="false">IF(COUNTIFS(응답입력!$AH$3:$HD$3,"L06",응답입력!$AH45:$HD45,"&lt;9")&gt;=3,SUMIFS(응답입력!$AH45:$HD45,응답입력!$AH$3:$HD$3,"L06",응답입력!$AH45:$HD45,"&lt;9")/COUNTIFS(응답입력!$AH$3:$HD$3,"L06",응답입력!$AH45:$HD45,"&lt;9"),"")</f>
        <v/>
      </c>
      <c r="H44" s="35" t="str">
        <f aca="false">IF(COUNTIFS(응답입력!$AH$3:$HD$3,"L07",응답입력!$AH45:$HD45,"&lt;9")&gt;=3,SUMIFS(응답입력!$AH45:$HD45,응답입력!$AH$3:$HD$3,"L07",응답입력!$AH45:$HD45,"&lt;9")/COUNTIFS(응답입력!$AH$3:$HD$3,"L07",응답입력!$AH45:$HD45,"&lt;9"),"")</f>
        <v/>
      </c>
      <c r="I44" s="35" t="str">
        <f aca="false">IF(COUNTIFS(응답입력!$AH$3:$HD$3,"L08",응답입력!$AH45:$HD45,"&lt;9")&gt;=3,SUMIFS(응답입력!$AH45:$HD45,응답입력!$AH$3:$HD$3,"L08",응답입력!$AH45:$HD45,"&lt;9")/COUNTIFS(응답입력!$AH$3:$HD$3,"L08",응답입력!$AH45:$HD45,"&lt;9"),"")</f>
        <v/>
      </c>
      <c r="J44" s="35" t="str">
        <f aca="false">IF(COUNTIFS(응답입력!$AH$3:$HD$3,"L09",응답입력!$AH45:$HD45,"&lt;9")&gt;=3,SUMIFS(응답입력!$AH45:$HD45,응답입력!$AH$3:$HD$3,"L09",응답입력!$AH45:$HD45,"&lt;9")/COUNTIFS(응답입력!$AH$3:$HD$3,"L09",응답입력!$AH45:$HD45,"&lt;9"),"")</f>
        <v/>
      </c>
      <c r="K44" s="35" t="str">
        <f aca="false">IF(COUNTIFS(응답입력!$AH$3:$HD$3,"L10",응답입력!$AH45:$HD45,"&lt;9")&gt;=3,SUMIFS(응답입력!$AH45:$HD45,응답입력!$AH$3:$HD$3,"L10",응답입력!$AH45:$HD45,"&lt;9")/COUNTIFS(응답입력!$AH$3:$HD$3,"L10",응답입력!$AH45:$HD45,"&lt;9"),"")</f>
        <v/>
      </c>
      <c r="L44" s="35" t="str">
        <f aca="false">IF(COUNTIFS(응답입력!$AH$3:$HD$3,"L11",응답입력!$AH45:$HD45,"&lt;9")&gt;=3,SUMIFS(응답입력!$AH45:$HD45,응답입력!$AH$3:$HD$3,"L11",응답입력!$AH45:$HD45,"&lt;9")/COUNTIFS(응답입력!$AH$3:$HD$3,"L11",응답입력!$AH45:$HD45,"&lt;9"),"")</f>
        <v/>
      </c>
      <c r="M44" s="35" t="str">
        <f aca="false">IF(COUNTIFS(응답입력!$AH$3:$HD$3,"L12",응답입력!$AH45:$HD45,"&lt;9")&gt;=3,SUMIFS(응답입력!$AH45:$HD45,응답입력!$AH$3:$HD$3,"L12",응답입력!$AH45:$HD45,"&lt;9")/COUNTIFS(응답입력!$AH$3:$HD$3,"L12",응답입력!$AH45:$HD45,"&lt;9"),"")</f>
        <v/>
      </c>
      <c r="N44" s="35" t="str">
        <f aca="false">IF(COUNTIFS(응답입력!$AH$3:$HD$3,"L13",응답입력!$AH45:$HD45,"&lt;9")&gt;=3,SUMIFS(응답입력!$AH45:$HD45,응답입력!$AH$3:$HD$3,"L13",응답입력!$AH45:$HD45,"&lt;9")/COUNTIFS(응답입력!$AH$3:$HD$3,"L13",응답입력!$AH45:$HD45,"&lt;9"),"")</f>
        <v/>
      </c>
      <c r="O44" s="35" t="str">
        <f aca="false">IF(COUNTIFS(응답입력!$AH$3:$HD$3,"L14",응답입력!$AH45:$HD45,"&lt;9")&gt;=3,SUMIFS(응답입력!$AH45:$HD45,응답입력!$AH$3:$HD$3,"L14",응답입력!$AH45:$HD45,"&lt;9")/COUNTIFS(응답입력!$AH$3:$HD$3,"L14",응답입력!$AH45:$HD45,"&lt;9"),"")</f>
        <v/>
      </c>
      <c r="P44" s="35" t="str">
        <f aca="false">IF(COUNTIFS(응답입력!$AH$3:$HD$3,"L15",응답입력!$AH45:$HD45,"&lt;9")&gt;=3,SUMIFS(응답입력!$AH45:$HD45,응답입력!$AH$3:$HD$3,"L15",응답입력!$AH45:$HD45,"&lt;9")/COUNTIFS(응답입력!$AH$3:$HD$3,"L15",응답입력!$AH45:$HD45,"&lt;9"),"")</f>
        <v/>
      </c>
      <c r="Q44" s="35" t="str">
        <f aca="false">IF(COUNTIFS(응답입력!$AH$3:$HD$3,"L16",응답입력!$AH45:$HD45,"&lt;9")&gt;=3,SUMIFS(응답입력!$AH45:$HD45,응답입력!$AH$3:$HD$3,"L16",응답입력!$AH45:$HD45,"&lt;9")/COUNTIFS(응답입력!$AH$3:$HD$3,"L16",응답입력!$AH45:$HD45,"&lt;9"),"")</f>
        <v/>
      </c>
      <c r="R44" s="35" t="str">
        <f aca="false">IF(COUNTIFS(응답입력!$AH$3:$HD$3,"L17",응답입력!$AH45:$HD45,"&lt;9")&gt;=3,SUMIFS(응답입력!$AH45:$HD45,응답입력!$AH$3:$HD$3,"L17",응답입력!$AH45:$HD45,"&lt;9")/COUNTIFS(응답입력!$AH$3:$HD$3,"L17",응답입력!$AH45:$HD45,"&lt;9"),"")</f>
        <v/>
      </c>
      <c r="S44" s="35" t="str">
        <f aca="false">IF(COUNTIFS(응답입력!$AH$3:$HD$3,"L18",응답입력!$AH45:$HD45,"&lt;9")&gt;=3,SUMIFS(응답입력!$AH45:$HD45,응답입력!$AH$3:$HD$3,"L18",응답입력!$AH45:$HD45,"&lt;9")/COUNTIFS(응답입력!$AH$3:$HD$3,"L18",응답입력!$AH45:$HD45,"&lt;9"),"")</f>
        <v/>
      </c>
      <c r="T44" s="35" t="str">
        <f aca="false">IF(COUNTIFS(응답입력!$AH$3:$HD$3,"L19",응답입력!$AH45:$HD45,"&lt;9")&gt;=3,SUMIFS(응답입력!$AH45:$HD45,응답입력!$AH$3:$HD$3,"L19",응답입력!$AH45:$HD45,"&lt;9")/COUNTIFS(응답입력!$AH$3:$HD$3,"L19",응답입력!$AH45:$HD45,"&lt;9"),"")</f>
        <v/>
      </c>
      <c r="U44" s="35" t="str">
        <f aca="false">IF(COUNTIFS(응답입력!$AH$3:$HD$3,"L20",응답입력!$AH45:$HD45,"&lt;9")&gt;=3,SUMIFS(응답입력!$AH45:$HD45,응답입력!$AH$3:$HD$3,"L20",응답입력!$AH45:$HD45,"&lt;9")/COUNTIFS(응답입력!$AH$3:$HD$3,"L20",응답입력!$AH45:$HD45,"&lt;9"),"")</f>
        <v/>
      </c>
      <c r="V44" s="35" t="str">
        <f aca="false">IF(COUNTIFS(응답입력!$AH$3:$HD$3,"L21",응답입력!$AH45:$HD45,"&lt;9")&gt;=3,SUMIFS(응답입력!$AH45:$HD45,응답입력!$AH$3:$HD$3,"L21",응답입력!$AH45:$HD45,"&lt;9")/COUNTIFS(응답입력!$AH$3:$HD$3,"L21",응답입력!$AH45:$HD45,"&lt;9"),"")</f>
        <v/>
      </c>
      <c r="W44" s="35" t="str">
        <f aca="false">IF(COUNTIFS(응답입력!$AH$3:$HD$3,"L22",응답입력!$AH45:$HD45,"&lt;9")&gt;=3,SUMIFS(응답입력!$AH45:$HD45,응답입력!$AH$3:$HD$3,"L22",응답입력!$AH45:$HD45,"&lt;9")/COUNTIFS(응답입력!$AH$3:$HD$3,"L22",응답입력!$AH45:$HD45,"&lt;9"),"")</f>
        <v/>
      </c>
      <c r="X44" s="35" t="str">
        <f aca="false">IF(COUNTIFS(응답입력!$AH$3:$HD$3,"L23",응답입력!$AH45:$HD45,"&lt;9")&gt;=3,SUMIFS(응답입력!$AH45:$HD45,응답입력!$AH$3:$HD$3,"L23",응답입력!$AH45:$HD45,"&lt;9")/COUNTIFS(응답입력!$AH$3:$HD$3,"L23",응답입력!$AH45:$HD45,"&lt;9"),"")</f>
        <v/>
      </c>
      <c r="Y44" s="35" t="str">
        <f aca="false">IF(COUNTIFS(응답입력!$AH$3:$HD$3,"L24",응답입력!$AH45:$HD45,"&lt;9")&gt;=3,SUMIFS(응답입력!$AH45:$HD45,응답입력!$AH$3:$HD$3,"L24",응답입력!$AH45:$HD45,"&lt;9")/COUNTIFS(응답입력!$AH$3:$HD$3,"L24",응답입력!$AH45:$HD45,"&lt;9"),"")</f>
        <v/>
      </c>
      <c r="Z44" s="35" t="str">
        <f aca="false">IF(COUNTIFS(응답입력!$AH$3:$HD$3,"L25",응답입력!$AH45:$HD45,"&lt;9")&gt;=3,SUMIFS(응답입력!$AH45:$HD45,응답입력!$AH$3:$HD$3,"L25",응답입력!$AH45:$HD45,"&lt;9")/COUNTIFS(응답입력!$AH$3:$HD$3,"L25",응답입력!$AH45:$HD45,"&lt;9"),"")</f>
        <v/>
      </c>
      <c r="AA44" s="35" t="str">
        <f aca="false">IF(COUNTIFS(응답입력!$AH$3:$HD$3,"L26",응답입력!$AH45:$HD45,"&lt;9")&gt;=3,SUMIFS(응답입력!$AH45:$HD45,응답입력!$AH$3:$HD$3,"L26",응답입력!$AH45:$HD45,"&lt;9")/COUNTIFS(응답입력!$AH$3:$HD$3,"L26",응답입력!$AH45:$HD45,"&lt;9"),"")</f>
        <v/>
      </c>
      <c r="AB44" s="35" t="str">
        <f aca="false">IF(COUNTIFS(응답입력!$AH$3:$HD$3,"L27",응답입력!$AH45:$HD45,"&lt;9")&gt;=3,SUMIFS(응답입력!$AH45:$HD45,응답입력!$AH$3:$HD$3,"L27",응답입력!$AH45:$HD45,"&lt;9")/COUNTIFS(응답입력!$AH$3:$HD$3,"L27",응답입력!$AH45:$HD45,"&lt;9"),"")</f>
        <v/>
      </c>
      <c r="AC44" s="35" t="str">
        <f aca="false">IF(COUNTIFS(응답입력!$AH$3:$HD$3,"L28",응답입력!$AH45:$HD45,"&lt;9")&gt;=3,SUMIFS(응답입력!$AH45:$HD45,응답입력!$AH$3:$HD$3,"L28",응답입력!$AH45:$HD45,"&lt;9")/COUNTIFS(응답입력!$AH$3:$HD$3,"L28",응답입력!$AH45:$HD45,"&lt;9"),"")</f>
        <v/>
      </c>
      <c r="AD44" s="35" t="str">
        <f aca="false">IF(COUNTIFS(응답입력!$AH$3:$HD$3,"L29",응답입력!$AH45:$HD45,"&lt;9")&gt;=3,SUMIFS(응답입력!$AH45:$HD45,응답입력!$AH$3:$HD$3,"L29",응답입력!$AH45:$HD45,"&lt;9")/COUNTIFS(응답입력!$AH$3:$HD$3,"L29",응답입력!$AH45:$HD45,"&lt;9"),"")</f>
        <v/>
      </c>
      <c r="AE44" s="35" t="str">
        <f aca="false">IF(COUNTIFS(응답입력!$AH$3:$HD$3,"L30",응답입력!$AH45:$HD45,"&lt;9")&gt;=3,SUMIFS(응답입력!$AH45:$HD45,응답입력!$AH$3:$HD$3,"L30",응답입력!$AH45:$HD45,"&lt;9")/COUNTIFS(응답입력!$AH$3:$HD$3,"L30",응답입력!$AH45:$HD45,"&lt;9"),"")</f>
        <v/>
      </c>
      <c r="AF44" s="35" t="str">
        <f aca="false">IF(COUNTIFS(응답입력!$AH$3:$HD$3,"L31",응답입력!$AH45:$HD45,"&lt;9")&gt;=3,SUMIFS(응답입력!$AH45:$HD45,응답입력!$AH$3:$HD$3,"L31",응답입력!$AH45:$HD45,"&lt;9")/COUNTIFS(응답입력!$AH$3:$HD$3,"L31",응답입력!$AH45:$HD45,"&lt;9"),"")</f>
        <v/>
      </c>
      <c r="AG44" s="41" t="str">
        <f aca="false">IFERROR(AVERAGE(B44:AF44),"")</f>
        <v/>
      </c>
    </row>
    <row r="45" customFormat="false" ht="15" hidden="false" customHeight="false" outlineLevel="0" collapsed="false">
      <c r="A45" s="27" t="str">
        <f aca="false">IF(응답입력!A46="","",응답입력!A46)</f>
        <v/>
      </c>
      <c r="B45" s="35" t="str">
        <f aca="false">IF(COUNTIFS(응답입력!$AH$3:$HD$3,"L01",응답입력!$AH46:$HD46,"&lt;9")&gt;=3,SUMIFS(응답입력!$AH46:$HD46,응답입력!$AH$3:$HD$3,"L01",응답입력!$AH46:$HD46,"&lt;9")/COUNTIFS(응답입력!$AH$3:$HD$3,"L01",응답입력!$AH46:$HD46,"&lt;9"),"")</f>
        <v/>
      </c>
      <c r="C45" s="35" t="str">
        <f aca="false">IF(COUNTIFS(응답입력!$AH$3:$HD$3,"L02",응답입력!$AH46:$HD46,"&lt;9")&gt;=3,SUMIFS(응답입력!$AH46:$HD46,응답입력!$AH$3:$HD$3,"L02",응답입력!$AH46:$HD46,"&lt;9")/COUNTIFS(응답입력!$AH$3:$HD$3,"L02",응답입력!$AH46:$HD46,"&lt;9"),"")</f>
        <v/>
      </c>
      <c r="D45" s="35" t="str">
        <f aca="false">IF(COUNTIFS(응답입력!$AH$3:$HD$3,"L03",응답입력!$AH46:$HD46,"&lt;9")&gt;=3,SUMIFS(응답입력!$AH46:$HD46,응답입력!$AH$3:$HD$3,"L03",응답입력!$AH46:$HD46,"&lt;9")/COUNTIFS(응답입력!$AH$3:$HD$3,"L03",응답입력!$AH46:$HD46,"&lt;9"),"")</f>
        <v/>
      </c>
      <c r="E45" s="35" t="str">
        <f aca="false">IF(COUNTIFS(응답입력!$AH$3:$HD$3,"L04",응답입력!$AH46:$HD46,"&lt;9")&gt;=3,SUMIFS(응답입력!$AH46:$HD46,응답입력!$AH$3:$HD$3,"L04",응답입력!$AH46:$HD46,"&lt;9")/COUNTIFS(응답입력!$AH$3:$HD$3,"L04",응답입력!$AH46:$HD46,"&lt;9"),"")</f>
        <v/>
      </c>
      <c r="F45" s="35" t="str">
        <f aca="false">IF(COUNTIFS(응답입력!$AH$3:$HD$3,"L05",응답입력!$AH46:$HD46,"&lt;9")&gt;=3,SUMIFS(응답입력!$AH46:$HD46,응답입력!$AH$3:$HD$3,"L05",응답입력!$AH46:$HD46,"&lt;9")/COUNTIFS(응답입력!$AH$3:$HD$3,"L05",응답입력!$AH46:$HD46,"&lt;9"),"")</f>
        <v/>
      </c>
      <c r="G45" s="35" t="str">
        <f aca="false">IF(COUNTIFS(응답입력!$AH$3:$HD$3,"L06",응답입력!$AH46:$HD46,"&lt;9")&gt;=3,SUMIFS(응답입력!$AH46:$HD46,응답입력!$AH$3:$HD$3,"L06",응답입력!$AH46:$HD46,"&lt;9")/COUNTIFS(응답입력!$AH$3:$HD$3,"L06",응답입력!$AH46:$HD46,"&lt;9"),"")</f>
        <v/>
      </c>
      <c r="H45" s="35" t="str">
        <f aca="false">IF(COUNTIFS(응답입력!$AH$3:$HD$3,"L07",응답입력!$AH46:$HD46,"&lt;9")&gt;=3,SUMIFS(응답입력!$AH46:$HD46,응답입력!$AH$3:$HD$3,"L07",응답입력!$AH46:$HD46,"&lt;9")/COUNTIFS(응답입력!$AH$3:$HD$3,"L07",응답입력!$AH46:$HD46,"&lt;9"),"")</f>
        <v/>
      </c>
      <c r="I45" s="35" t="str">
        <f aca="false">IF(COUNTIFS(응답입력!$AH$3:$HD$3,"L08",응답입력!$AH46:$HD46,"&lt;9")&gt;=3,SUMIFS(응답입력!$AH46:$HD46,응답입력!$AH$3:$HD$3,"L08",응답입력!$AH46:$HD46,"&lt;9")/COUNTIFS(응답입력!$AH$3:$HD$3,"L08",응답입력!$AH46:$HD46,"&lt;9"),"")</f>
        <v/>
      </c>
      <c r="J45" s="35" t="str">
        <f aca="false">IF(COUNTIFS(응답입력!$AH$3:$HD$3,"L09",응답입력!$AH46:$HD46,"&lt;9")&gt;=3,SUMIFS(응답입력!$AH46:$HD46,응답입력!$AH$3:$HD$3,"L09",응답입력!$AH46:$HD46,"&lt;9")/COUNTIFS(응답입력!$AH$3:$HD$3,"L09",응답입력!$AH46:$HD46,"&lt;9"),"")</f>
        <v/>
      </c>
      <c r="K45" s="35" t="str">
        <f aca="false">IF(COUNTIFS(응답입력!$AH$3:$HD$3,"L10",응답입력!$AH46:$HD46,"&lt;9")&gt;=3,SUMIFS(응답입력!$AH46:$HD46,응답입력!$AH$3:$HD$3,"L10",응답입력!$AH46:$HD46,"&lt;9")/COUNTIFS(응답입력!$AH$3:$HD$3,"L10",응답입력!$AH46:$HD46,"&lt;9"),"")</f>
        <v/>
      </c>
      <c r="L45" s="35" t="str">
        <f aca="false">IF(COUNTIFS(응답입력!$AH$3:$HD$3,"L11",응답입력!$AH46:$HD46,"&lt;9")&gt;=3,SUMIFS(응답입력!$AH46:$HD46,응답입력!$AH$3:$HD$3,"L11",응답입력!$AH46:$HD46,"&lt;9")/COUNTIFS(응답입력!$AH$3:$HD$3,"L11",응답입력!$AH46:$HD46,"&lt;9"),"")</f>
        <v/>
      </c>
      <c r="M45" s="35" t="str">
        <f aca="false">IF(COUNTIFS(응답입력!$AH$3:$HD$3,"L12",응답입력!$AH46:$HD46,"&lt;9")&gt;=3,SUMIFS(응답입력!$AH46:$HD46,응답입력!$AH$3:$HD$3,"L12",응답입력!$AH46:$HD46,"&lt;9")/COUNTIFS(응답입력!$AH$3:$HD$3,"L12",응답입력!$AH46:$HD46,"&lt;9"),"")</f>
        <v/>
      </c>
      <c r="N45" s="35" t="str">
        <f aca="false">IF(COUNTIFS(응답입력!$AH$3:$HD$3,"L13",응답입력!$AH46:$HD46,"&lt;9")&gt;=3,SUMIFS(응답입력!$AH46:$HD46,응답입력!$AH$3:$HD$3,"L13",응답입력!$AH46:$HD46,"&lt;9")/COUNTIFS(응답입력!$AH$3:$HD$3,"L13",응답입력!$AH46:$HD46,"&lt;9"),"")</f>
        <v/>
      </c>
      <c r="O45" s="35" t="str">
        <f aca="false">IF(COUNTIFS(응답입력!$AH$3:$HD$3,"L14",응답입력!$AH46:$HD46,"&lt;9")&gt;=3,SUMIFS(응답입력!$AH46:$HD46,응답입력!$AH$3:$HD$3,"L14",응답입력!$AH46:$HD46,"&lt;9")/COUNTIFS(응답입력!$AH$3:$HD$3,"L14",응답입력!$AH46:$HD46,"&lt;9"),"")</f>
        <v/>
      </c>
      <c r="P45" s="35" t="str">
        <f aca="false">IF(COUNTIFS(응답입력!$AH$3:$HD$3,"L15",응답입력!$AH46:$HD46,"&lt;9")&gt;=3,SUMIFS(응답입력!$AH46:$HD46,응답입력!$AH$3:$HD$3,"L15",응답입력!$AH46:$HD46,"&lt;9")/COUNTIFS(응답입력!$AH$3:$HD$3,"L15",응답입력!$AH46:$HD46,"&lt;9"),"")</f>
        <v/>
      </c>
      <c r="Q45" s="35" t="str">
        <f aca="false">IF(COUNTIFS(응답입력!$AH$3:$HD$3,"L16",응답입력!$AH46:$HD46,"&lt;9")&gt;=3,SUMIFS(응답입력!$AH46:$HD46,응답입력!$AH$3:$HD$3,"L16",응답입력!$AH46:$HD46,"&lt;9")/COUNTIFS(응답입력!$AH$3:$HD$3,"L16",응답입력!$AH46:$HD46,"&lt;9"),"")</f>
        <v/>
      </c>
      <c r="R45" s="35" t="str">
        <f aca="false">IF(COUNTIFS(응답입력!$AH$3:$HD$3,"L17",응답입력!$AH46:$HD46,"&lt;9")&gt;=3,SUMIFS(응답입력!$AH46:$HD46,응답입력!$AH$3:$HD$3,"L17",응답입력!$AH46:$HD46,"&lt;9")/COUNTIFS(응답입력!$AH$3:$HD$3,"L17",응답입력!$AH46:$HD46,"&lt;9"),"")</f>
        <v/>
      </c>
      <c r="S45" s="35" t="str">
        <f aca="false">IF(COUNTIFS(응답입력!$AH$3:$HD$3,"L18",응답입력!$AH46:$HD46,"&lt;9")&gt;=3,SUMIFS(응답입력!$AH46:$HD46,응답입력!$AH$3:$HD$3,"L18",응답입력!$AH46:$HD46,"&lt;9")/COUNTIFS(응답입력!$AH$3:$HD$3,"L18",응답입력!$AH46:$HD46,"&lt;9"),"")</f>
        <v/>
      </c>
      <c r="T45" s="35" t="str">
        <f aca="false">IF(COUNTIFS(응답입력!$AH$3:$HD$3,"L19",응답입력!$AH46:$HD46,"&lt;9")&gt;=3,SUMIFS(응답입력!$AH46:$HD46,응답입력!$AH$3:$HD$3,"L19",응답입력!$AH46:$HD46,"&lt;9")/COUNTIFS(응답입력!$AH$3:$HD$3,"L19",응답입력!$AH46:$HD46,"&lt;9"),"")</f>
        <v/>
      </c>
      <c r="U45" s="35" t="str">
        <f aca="false">IF(COUNTIFS(응답입력!$AH$3:$HD$3,"L20",응답입력!$AH46:$HD46,"&lt;9")&gt;=3,SUMIFS(응답입력!$AH46:$HD46,응답입력!$AH$3:$HD$3,"L20",응답입력!$AH46:$HD46,"&lt;9")/COUNTIFS(응답입력!$AH$3:$HD$3,"L20",응답입력!$AH46:$HD46,"&lt;9"),"")</f>
        <v/>
      </c>
      <c r="V45" s="35" t="str">
        <f aca="false">IF(COUNTIFS(응답입력!$AH$3:$HD$3,"L21",응답입력!$AH46:$HD46,"&lt;9")&gt;=3,SUMIFS(응답입력!$AH46:$HD46,응답입력!$AH$3:$HD$3,"L21",응답입력!$AH46:$HD46,"&lt;9")/COUNTIFS(응답입력!$AH$3:$HD$3,"L21",응답입력!$AH46:$HD46,"&lt;9"),"")</f>
        <v/>
      </c>
      <c r="W45" s="35" t="str">
        <f aca="false">IF(COUNTIFS(응답입력!$AH$3:$HD$3,"L22",응답입력!$AH46:$HD46,"&lt;9")&gt;=3,SUMIFS(응답입력!$AH46:$HD46,응답입력!$AH$3:$HD$3,"L22",응답입력!$AH46:$HD46,"&lt;9")/COUNTIFS(응답입력!$AH$3:$HD$3,"L22",응답입력!$AH46:$HD46,"&lt;9"),"")</f>
        <v/>
      </c>
      <c r="X45" s="35" t="str">
        <f aca="false">IF(COUNTIFS(응답입력!$AH$3:$HD$3,"L23",응답입력!$AH46:$HD46,"&lt;9")&gt;=3,SUMIFS(응답입력!$AH46:$HD46,응답입력!$AH$3:$HD$3,"L23",응답입력!$AH46:$HD46,"&lt;9")/COUNTIFS(응답입력!$AH$3:$HD$3,"L23",응답입력!$AH46:$HD46,"&lt;9"),"")</f>
        <v/>
      </c>
      <c r="Y45" s="35" t="str">
        <f aca="false">IF(COUNTIFS(응답입력!$AH$3:$HD$3,"L24",응답입력!$AH46:$HD46,"&lt;9")&gt;=3,SUMIFS(응답입력!$AH46:$HD46,응답입력!$AH$3:$HD$3,"L24",응답입력!$AH46:$HD46,"&lt;9")/COUNTIFS(응답입력!$AH$3:$HD$3,"L24",응답입력!$AH46:$HD46,"&lt;9"),"")</f>
        <v/>
      </c>
      <c r="Z45" s="35" t="str">
        <f aca="false">IF(COUNTIFS(응답입력!$AH$3:$HD$3,"L25",응답입력!$AH46:$HD46,"&lt;9")&gt;=3,SUMIFS(응답입력!$AH46:$HD46,응답입력!$AH$3:$HD$3,"L25",응답입력!$AH46:$HD46,"&lt;9")/COUNTIFS(응답입력!$AH$3:$HD$3,"L25",응답입력!$AH46:$HD46,"&lt;9"),"")</f>
        <v/>
      </c>
      <c r="AA45" s="35" t="str">
        <f aca="false">IF(COUNTIFS(응답입력!$AH$3:$HD$3,"L26",응답입력!$AH46:$HD46,"&lt;9")&gt;=3,SUMIFS(응답입력!$AH46:$HD46,응답입력!$AH$3:$HD$3,"L26",응답입력!$AH46:$HD46,"&lt;9")/COUNTIFS(응답입력!$AH$3:$HD$3,"L26",응답입력!$AH46:$HD46,"&lt;9"),"")</f>
        <v/>
      </c>
      <c r="AB45" s="35" t="str">
        <f aca="false">IF(COUNTIFS(응답입력!$AH$3:$HD$3,"L27",응답입력!$AH46:$HD46,"&lt;9")&gt;=3,SUMIFS(응답입력!$AH46:$HD46,응답입력!$AH$3:$HD$3,"L27",응답입력!$AH46:$HD46,"&lt;9")/COUNTIFS(응답입력!$AH$3:$HD$3,"L27",응답입력!$AH46:$HD46,"&lt;9"),"")</f>
        <v/>
      </c>
      <c r="AC45" s="35" t="str">
        <f aca="false">IF(COUNTIFS(응답입력!$AH$3:$HD$3,"L28",응답입력!$AH46:$HD46,"&lt;9")&gt;=3,SUMIFS(응답입력!$AH46:$HD46,응답입력!$AH$3:$HD$3,"L28",응답입력!$AH46:$HD46,"&lt;9")/COUNTIFS(응답입력!$AH$3:$HD$3,"L28",응답입력!$AH46:$HD46,"&lt;9"),"")</f>
        <v/>
      </c>
      <c r="AD45" s="35" t="str">
        <f aca="false">IF(COUNTIFS(응답입력!$AH$3:$HD$3,"L29",응답입력!$AH46:$HD46,"&lt;9")&gt;=3,SUMIFS(응답입력!$AH46:$HD46,응답입력!$AH$3:$HD$3,"L29",응답입력!$AH46:$HD46,"&lt;9")/COUNTIFS(응답입력!$AH$3:$HD$3,"L29",응답입력!$AH46:$HD46,"&lt;9"),"")</f>
        <v/>
      </c>
      <c r="AE45" s="35" t="str">
        <f aca="false">IF(COUNTIFS(응답입력!$AH$3:$HD$3,"L30",응답입력!$AH46:$HD46,"&lt;9")&gt;=3,SUMIFS(응답입력!$AH46:$HD46,응답입력!$AH$3:$HD$3,"L30",응답입력!$AH46:$HD46,"&lt;9")/COUNTIFS(응답입력!$AH$3:$HD$3,"L30",응답입력!$AH46:$HD46,"&lt;9"),"")</f>
        <v/>
      </c>
      <c r="AF45" s="35" t="str">
        <f aca="false">IF(COUNTIFS(응답입력!$AH$3:$HD$3,"L31",응답입력!$AH46:$HD46,"&lt;9")&gt;=3,SUMIFS(응답입력!$AH46:$HD46,응답입력!$AH$3:$HD$3,"L31",응답입력!$AH46:$HD46,"&lt;9")/COUNTIFS(응답입력!$AH$3:$HD$3,"L31",응답입력!$AH46:$HD46,"&lt;9"),"")</f>
        <v/>
      </c>
      <c r="AG45" s="41" t="str">
        <f aca="false">IFERROR(AVERAGE(B45:AF45),"")</f>
        <v/>
      </c>
    </row>
    <row r="46" customFormat="false" ht="15" hidden="false" customHeight="false" outlineLevel="0" collapsed="false">
      <c r="A46" s="27" t="str">
        <f aca="false">IF(응답입력!A47="","",응답입력!A47)</f>
        <v/>
      </c>
      <c r="B46" s="35" t="str">
        <f aca="false">IF(COUNTIFS(응답입력!$AH$3:$HD$3,"L01",응답입력!$AH47:$HD47,"&lt;9")&gt;=3,SUMIFS(응답입력!$AH47:$HD47,응답입력!$AH$3:$HD$3,"L01",응답입력!$AH47:$HD47,"&lt;9")/COUNTIFS(응답입력!$AH$3:$HD$3,"L01",응답입력!$AH47:$HD47,"&lt;9"),"")</f>
        <v/>
      </c>
      <c r="C46" s="35" t="str">
        <f aca="false">IF(COUNTIFS(응답입력!$AH$3:$HD$3,"L02",응답입력!$AH47:$HD47,"&lt;9")&gt;=3,SUMIFS(응답입력!$AH47:$HD47,응답입력!$AH$3:$HD$3,"L02",응답입력!$AH47:$HD47,"&lt;9")/COUNTIFS(응답입력!$AH$3:$HD$3,"L02",응답입력!$AH47:$HD47,"&lt;9"),"")</f>
        <v/>
      </c>
      <c r="D46" s="35" t="str">
        <f aca="false">IF(COUNTIFS(응답입력!$AH$3:$HD$3,"L03",응답입력!$AH47:$HD47,"&lt;9")&gt;=3,SUMIFS(응답입력!$AH47:$HD47,응답입력!$AH$3:$HD$3,"L03",응답입력!$AH47:$HD47,"&lt;9")/COUNTIFS(응답입력!$AH$3:$HD$3,"L03",응답입력!$AH47:$HD47,"&lt;9"),"")</f>
        <v/>
      </c>
      <c r="E46" s="35" t="str">
        <f aca="false">IF(COUNTIFS(응답입력!$AH$3:$HD$3,"L04",응답입력!$AH47:$HD47,"&lt;9")&gt;=3,SUMIFS(응답입력!$AH47:$HD47,응답입력!$AH$3:$HD$3,"L04",응답입력!$AH47:$HD47,"&lt;9")/COUNTIFS(응답입력!$AH$3:$HD$3,"L04",응답입력!$AH47:$HD47,"&lt;9"),"")</f>
        <v/>
      </c>
      <c r="F46" s="35" t="str">
        <f aca="false">IF(COUNTIFS(응답입력!$AH$3:$HD$3,"L05",응답입력!$AH47:$HD47,"&lt;9")&gt;=3,SUMIFS(응답입력!$AH47:$HD47,응답입력!$AH$3:$HD$3,"L05",응답입력!$AH47:$HD47,"&lt;9")/COUNTIFS(응답입력!$AH$3:$HD$3,"L05",응답입력!$AH47:$HD47,"&lt;9"),"")</f>
        <v/>
      </c>
      <c r="G46" s="35" t="str">
        <f aca="false">IF(COUNTIFS(응답입력!$AH$3:$HD$3,"L06",응답입력!$AH47:$HD47,"&lt;9")&gt;=3,SUMIFS(응답입력!$AH47:$HD47,응답입력!$AH$3:$HD$3,"L06",응답입력!$AH47:$HD47,"&lt;9")/COUNTIFS(응답입력!$AH$3:$HD$3,"L06",응답입력!$AH47:$HD47,"&lt;9"),"")</f>
        <v/>
      </c>
      <c r="H46" s="35" t="str">
        <f aca="false">IF(COUNTIFS(응답입력!$AH$3:$HD$3,"L07",응답입력!$AH47:$HD47,"&lt;9")&gt;=3,SUMIFS(응답입력!$AH47:$HD47,응답입력!$AH$3:$HD$3,"L07",응답입력!$AH47:$HD47,"&lt;9")/COUNTIFS(응답입력!$AH$3:$HD$3,"L07",응답입력!$AH47:$HD47,"&lt;9"),"")</f>
        <v/>
      </c>
      <c r="I46" s="35" t="str">
        <f aca="false">IF(COUNTIFS(응답입력!$AH$3:$HD$3,"L08",응답입력!$AH47:$HD47,"&lt;9")&gt;=3,SUMIFS(응답입력!$AH47:$HD47,응답입력!$AH$3:$HD$3,"L08",응답입력!$AH47:$HD47,"&lt;9")/COUNTIFS(응답입력!$AH$3:$HD$3,"L08",응답입력!$AH47:$HD47,"&lt;9"),"")</f>
        <v/>
      </c>
      <c r="J46" s="35" t="str">
        <f aca="false">IF(COUNTIFS(응답입력!$AH$3:$HD$3,"L09",응답입력!$AH47:$HD47,"&lt;9")&gt;=3,SUMIFS(응답입력!$AH47:$HD47,응답입력!$AH$3:$HD$3,"L09",응답입력!$AH47:$HD47,"&lt;9")/COUNTIFS(응답입력!$AH$3:$HD$3,"L09",응답입력!$AH47:$HD47,"&lt;9"),"")</f>
        <v/>
      </c>
      <c r="K46" s="35" t="str">
        <f aca="false">IF(COUNTIFS(응답입력!$AH$3:$HD$3,"L10",응답입력!$AH47:$HD47,"&lt;9")&gt;=3,SUMIFS(응답입력!$AH47:$HD47,응답입력!$AH$3:$HD$3,"L10",응답입력!$AH47:$HD47,"&lt;9")/COUNTIFS(응답입력!$AH$3:$HD$3,"L10",응답입력!$AH47:$HD47,"&lt;9"),"")</f>
        <v/>
      </c>
      <c r="L46" s="35" t="str">
        <f aca="false">IF(COUNTIFS(응답입력!$AH$3:$HD$3,"L11",응답입력!$AH47:$HD47,"&lt;9")&gt;=3,SUMIFS(응답입력!$AH47:$HD47,응답입력!$AH$3:$HD$3,"L11",응답입력!$AH47:$HD47,"&lt;9")/COUNTIFS(응답입력!$AH$3:$HD$3,"L11",응답입력!$AH47:$HD47,"&lt;9"),"")</f>
        <v/>
      </c>
      <c r="M46" s="35" t="str">
        <f aca="false">IF(COUNTIFS(응답입력!$AH$3:$HD$3,"L12",응답입력!$AH47:$HD47,"&lt;9")&gt;=3,SUMIFS(응답입력!$AH47:$HD47,응답입력!$AH$3:$HD$3,"L12",응답입력!$AH47:$HD47,"&lt;9")/COUNTIFS(응답입력!$AH$3:$HD$3,"L12",응답입력!$AH47:$HD47,"&lt;9"),"")</f>
        <v/>
      </c>
      <c r="N46" s="35" t="str">
        <f aca="false">IF(COUNTIFS(응답입력!$AH$3:$HD$3,"L13",응답입력!$AH47:$HD47,"&lt;9")&gt;=3,SUMIFS(응답입력!$AH47:$HD47,응답입력!$AH$3:$HD$3,"L13",응답입력!$AH47:$HD47,"&lt;9")/COUNTIFS(응답입력!$AH$3:$HD$3,"L13",응답입력!$AH47:$HD47,"&lt;9"),"")</f>
        <v/>
      </c>
      <c r="O46" s="35" t="str">
        <f aca="false">IF(COUNTIFS(응답입력!$AH$3:$HD$3,"L14",응답입력!$AH47:$HD47,"&lt;9")&gt;=3,SUMIFS(응답입력!$AH47:$HD47,응답입력!$AH$3:$HD$3,"L14",응답입력!$AH47:$HD47,"&lt;9")/COUNTIFS(응답입력!$AH$3:$HD$3,"L14",응답입력!$AH47:$HD47,"&lt;9"),"")</f>
        <v/>
      </c>
      <c r="P46" s="35" t="str">
        <f aca="false">IF(COUNTIFS(응답입력!$AH$3:$HD$3,"L15",응답입력!$AH47:$HD47,"&lt;9")&gt;=3,SUMIFS(응답입력!$AH47:$HD47,응답입력!$AH$3:$HD$3,"L15",응답입력!$AH47:$HD47,"&lt;9")/COUNTIFS(응답입력!$AH$3:$HD$3,"L15",응답입력!$AH47:$HD47,"&lt;9"),"")</f>
        <v/>
      </c>
      <c r="Q46" s="35" t="str">
        <f aca="false">IF(COUNTIFS(응답입력!$AH$3:$HD$3,"L16",응답입력!$AH47:$HD47,"&lt;9")&gt;=3,SUMIFS(응답입력!$AH47:$HD47,응답입력!$AH$3:$HD$3,"L16",응답입력!$AH47:$HD47,"&lt;9")/COUNTIFS(응답입력!$AH$3:$HD$3,"L16",응답입력!$AH47:$HD47,"&lt;9"),"")</f>
        <v/>
      </c>
      <c r="R46" s="35" t="str">
        <f aca="false">IF(COUNTIFS(응답입력!$AH$3:$HD$3,"L17",응답입력!$AH47:$HD47,"&lt;9")&gt;=3,SUMIFS(응답입력!$AH47:$HD47,응답입력!$AH$3:$HD$3,"L17",응답입력!$AH47:$HD47,"&lt;9")/COUNTIFS(응답입력!$AH$3:$HD$3,"L17",응답입력!$AH47:$HD47,"&lt;9"),"")</f>
        <v/>
      </c>
      <c r="S46" s="35" t="str">
        <f aca="false">IF(COUNTIFS(응답입력!$AH$3:$HD$3,"L18",응답입력!$AH47:$HD47,"&lt;9")&gt;=3,SUMIFS(응답입력!$AH47:$HD47,응답입력!$AH$3:$HD$3,"L18",응답입력!$AH47:$HD47,"&lt;9")/COUNTIFS(응답입력!$AH$3:$HD$3,"L18",응답입력!$AH47:$HD47,"&lt;9"),"")</f>
        <v/>
      </c>
      <c r="T46" s="35" t="str">
        <f aca="false">IF(COUNTIFS(응답입력!$AH$3:$HD$3,"L19",응답입력!$AH47:$HD47,"&lt;9")&gt;=3,SUMIFS(응답입력!$AH47:$HD47,응답입력!$AH$3:$HD$3,"L19",응답입력!$AH47:$HD47,"&lt;9")/COUNTIFS(응답입력!$AH$3:$HD$3,"L19",응답입력!$AH47:$HD47,"&lt;9"),"")</f>
        <v/>
      </c>
      <c r="U46" s="35" t="str">
        <f aca="false">IF(COUNTIFS(응답입력!$AH$3:$HD$3,"L20",응답입력!$AH47:$HD47,"&lt;9")&gt;=3,SUMIFS(응답입력!$AH47:$HD47,응답입력!$AH$3:$HD$3,"L20",응답입력!$AH47:$HD47,"&lt;9")/COUNTIFS(응답입력!$AH$3:$HD$3,"L20",응답입력!$AH47:$HD47,"&lt;9"),"")</f>
        <v/>
      </c>
      <c r="V46" s="35" t="str">
        <f aca="false">IF(COUNTIFS(응답입력!$AH$3:$HD$3,"L21",응답입력!$AH47:$HD47,"&lt;9")&gt;=3,SUMIFS(응답입력!$AH47:$HD47,응답입력!$AH$3:$HD$3,"L21",응답입력!$AH47:$HD47,"&lt;9")/COUNTIFS(응답입력!$AH$3:$HD$3,"L21",응답입력!$AH47:$HD47,"&lt;9"),"")</f>
        <v/>
      </c>
      <c r="W46" s="35" t="str">
        <f aca="false">IF(COUNTIFS(응답입력!$AH$3:$HD$3,"L22",응답입력!$AH47:$HD47,"&lt;9")&gt;=3,SUMIFS(응답입력!$AH47:$HD47,응답입력!$AH$3:$HD$3,"L22",응답입력!$AH47:$HD47,"&lt;9")/COUNTIFS(응답입력!$AH$3:$HD$3,"L22",응답입력!$AH47:$HD47,"&lt;9"),"")</f>
        <v/>
      </c>
      <c r="X46" s="35" t="str">
        <f aca="false">IF(COUNTIFS(응답입력!$AH$3:$HD$3,"L23",응답입력!$AH47:$HD47,"&lt;9")&gt;=3,SUMIFS(응답입력!$AH47:$HD47,응답입력!$AH$3:$HD$3,"L23",응답입력!$AH47:$HD47,"&lt;9")/COUNTIFS(응답입력!$AH$3:$HD$3,"L23",응답입력!$AH47:$HD47,"&lt;9"),"")</f>
        <v/>
      </c>
      <c r="Y46" s="35" t="str">
        <f aca="false">IF(COUNTIFS(응답입력!$AH$3:$HD$3,"L24",응답입력!$AH47:$HD47,"&lt;9")&gt;=3,SUMIFS(응답입력!$AH47:$HD47,응답입력!$AH$3:$HD$3,"L24",응답입력!$AH47:$HD47,"&lt;9")/COUNTIFS(응답입력!$AH$3:$HD$3,"L24",응답입력!$AH47:$HD47,"&lt;9"),"")</f>
        <v/>
      </c>
      <c r="Z46" s="35" t="str">
        <f aca="false">IF(COUNTIFS(응답입력!$AH$3:$HD$3,"L25",응답입력!$AH47:$HD47,"&lt;9")&gt;=3,SUMIFS(응답입력!$AH47:$HD47,응답입력!$AH$3:$HD$3,"L25",응답입력!$AH47:$HD47,"&lt;9")/COUNTIFS(응답입력!$AH$3:$HD$3,"L25",응답입력!$AH47:$HD47,"&lt;9"),"")</f>
        <v/>
      </c>
      <c r="AA46" s="35" t="str">
        <f aca="false">IF(COUNTIFS(응답입력!$AH$3:$HD$3,"L26",응답입력!$AH47:$HD47,"&lt;9")&gt;=3,SUMIFS(응답입력!$AH47:$HD47,응답입력!$AH$3:$HD$3,"L26",응답입력!$AH47:$HD47,"&lt;9")/COUNTIFS(응답입력!$AH$3:$HD$3,"L26",응답입력!$AH47:$HD47,"&lt;9"),"")</f>
        <v/>
      </c>
      <c r="AB46" s="35" t="str">
        <f aca="false">IF(COUNTIFS(응답입력!$AH$3:$HD$3,"L27",응답입력!$AH47:$HD47,"&lt;9")&gt;=3,SUMIFS(응답입력!$AH47:$HD47,응답입력!$AH$3:$HD$3,"L27",응답입력!$AH47:$HD47,"&lt;9")/COUNTIFS(응답입력!$AH$3:$HD$3,"L27",응답입력!$AH47:$HD47,"&lt;9"),"")</f>
        <v/>
      </c>
      <c r="AC46" s="35" t="str">
        <f aca="false">IF(COUNTIFS(응답입력!$AH$3:$HD$3,"L28",응답입력!$AH47:$HD47,"&lt;9")&gt;=3,SUMIFS(응답입력!$AH47:$HD47,응답입력!$AH$3:$HD$3,"L28",응답입력!$AH47:$HD47,"&lt;9")/COUNTIFS(응답입력!$AH$3:$HD$3,"L28",응답입력!$AH47:$HD47,"&lt;9"),"")</f>
        <v/>
      </c>
      <c r="AD46" s="35" t="str">
        <f aca="false">IF(COUNTIFS(응답입력!$AH$3:$HD$3,"L29",응답입력!$AH47:$HD47,"&lt;9")&gt;=3,SUMIFS(응답입력!$AH47:$HD47,응답입력!$AH$3:$HD$3,"L29",응답입력!$AH47:$HD47,"&lt;9")/COUNTIFS(응답입력!$AH$3:$HD$3,"L29",응답입력!$AH47:$HD47,"&lt;9"),"")</f>
        <v/>
      </c>
      <c r="AE46" s="35" t="str">
        <f aca="false">IF(COUNTIFS(응답입력!$AH$3:$HD$3,"L30",응답입력!$AH47:$HD47,"&lt;9")&gt;=3,SUMIFS(응답입력!$AH47:$HD47,응답입력!$AH$3:$HD$3,"L30",응답입력!$AH47:$HD47,"&lt;9")/COUNTIFS(응답입력!$AH$3:$HD$3,"L30",응답입력!$AH47:$HD47,"&lt;9"),"")</f>
        <v/>
      </c>
      <c r="AF46" s="35" t="str">
        <f aca="false">IF(COUNTIFS(응답입력!$AH$3:$HD$3,"L31",응답입력!$AH47:$HD47,"&lt;9")&gt;=3,SUMIFS(응답입력!$AH47:$HD47,응답입력!$AH$3:$HD$3,"L31",응답입력!$AH47:$HD47,"&lt;9")/COUNTIFS(응답입력!$AH$3:$HD$3,"L31",응답입력!$AH47:$HD47,"&lt;9"),"")</f>
        <v/>
      </c>
      <c r="AG46" s="41" t="str">
        <f aca="false">IFERROR(AVERAGE(B46:AF46),"")</f>
        <v/>
      </c>
    </row>
    <row r="47" customFormat="false" ht="15" hidden="false" customHeight="false" outlineLevel="0" collapsed="false">
      <c r="A47" s="27" t="str">
        <f aca="false">IF(응답입력!A48="","",응답입력!A48)</f>
        <v/>
      </c>
      <c r="B47" s="35" t="str">
        <f aca="false">IF(COUNTIFS(응답입력!$AH$3:$HD$3,"L01",응답입력!$AH48:$HD48,"&lt;9")&gt;=3,SUMIFS(응답입력!$AH48:$HD48,응답입력!$AH$3:$HD$3,"L01",응답입력!$AH48:$HD48,"&lt;9")/COUNTIFS(응답입력!$AH$3:$HD$3,"L01",응답입력!$AH48:$HD48,"&lt;9"),"")</f>
        <v/>
      </c>
      <c r="C47" s="35" t="str">
        <f aca="false">IF(COUNTIFS(응답입력!$AH$3:$HD$3,"L02",응답입력!$AH48:$HD48,"&lt;9")&gt;=3,SUMIFS(응답입력!$AH48:$HD48,응답입력!$AH$3:$HD$3,"L02",응답입력!$AH48:$HD48,"&lt;9")/COUNTIFS(응답입력!$AH$3:$HD$3,"L02",응답입력!$AH48:$HD48,"&lt;9"),"")</f>
        <v/>
      </c>
      <c r="D47" s="35" t="str">
        <f aca="false">IF(COUNTIFS(응답입력!$AH$3:$HD$3,"L03",응답입력!$AH48:$HD48,"&lt;9")&gt;=3,SUMIFS(응답입력!$AH48:$HD48,응답입력!$AH$3:$HD$3,"L03",응답입력!$AH48:$HD48,"&lt;9")/COUNTIFS(응답입력!$AH$3:$HD$3,"L03",응답입력!$AH48:$HD48,"&lt;9"),"")</f>
        <v/>
      </c>
      <c r="E47" s="35" t="str">
        <f aca="false">IF(COUNTIFS(응답입력!$AH$3:$HD$3,"L04",응답입력!$AH48:$HD48,"&lt;9")&gt;=3,SUMIFS(응답입력!$AH48:$HD48,응답입력!$AH$3:$HD$3,"L04",응답입력!$AH48:$HD48,"&lt;9")/COUNTIFS(응답입력!$AH$3:$HD$3,"L04",응답입력!$AH48:$HD48,"&lt;9"),"")</f>
        <v/>
      </c>
      <c r="F47" s="35" t="str">
        <f aca="false">IF(COUNTIFS(응답입력!$AH$3:$HD$3,"L05",응답입력!$AH48:$HD48,"&lt;9")&gt;=3,SUMIFS(응답입력!$AH48:$HD48,응답입력!$AH$3:$HD$3,"L05",응답입력!$AH48:$HD48,"&lt;9")/COUNTIFS(응답입력!$AH$3:$HD$3,"L05",응답입력!$AH48:$HD48,"&lt;9"),"")</f>
        <v/>
      </c>
      <c r="G47" s="35" t="str">
        <f aca="false">IF(COUNTIFS(응답입력!$AH$3:$HD$3,"L06",응답입력!$AH48:$HD48,"&lt;9")&gt;=3,SUMIFS(응답입력!$AH48:$HD48,응답입력!$AH$3:$HD$3,"L06",응답입력!$AH48:$HD48,"&lt;9")/COUNTIFS(응답입력!$AH$3:$HD$3,"L06",응답입력!$AH48:$HD48,"&lt;9"),"")</f>
        <v/>
      </c>
      <c r="H47" s="35" t="str">
        <f aca="false">IF(COUNTIFS(응답입력!$AH$3:$HD$3,"L07",응답입력!$AH48:$HD48,"&lt;9")&gt;=3,SUMIFS(응답입력!$AH48:$HD48,응답입력!$AH$3:$HD$3,"L07",응답입력!$AH48:$HD48,"&lt;9")/COUNTIFS(응답입력!$AH$3:$HD$3,"L07",응답입력!$AH48:$HD48,"&lt;9"),"")</f>
        <v/>
      </c>
      <c r="I47" s="35" t="str">
        <f aca="false">IF(COUNTIFS(응답입력!$AH$3:$HD$3,"L08",응답입력!$AH48:$HD48,"&lt;9")&gt;=3,SUMIFS(응답입력!$AH48:$HD48,응답입력!$AH$3:$HD$3,"L08",응답입력!$AH48:$HD48,"&lt;9")/COUNTIFS(응답입력!$AH$3:$HD$3,"L08",응답입력!$AH48:$HD48,"&lt;9"),"")</f>
        <v/>
      </c>
      <c r="J47" s="35" t="str">
        <f aca="false">IF(COUNTIFS(응답입력!$AH$3:$HD$3,"L09",응답입력!$AH48:$HD48,"&lt;9")&gt;=3,SUMIFS(응답입력!$AH48:$HD48,응답입력!$AH$3:$HD$3,"L09",응답입력!$AH48:$HD48,"&lt;9")/COUNTIFS(응답입력!$AH$3:$HD$3,"L09",응답입력!$AH48:$HD48,"&lt;9"),"")</f>
        <v/>
      </c>
      <c r="K47" s="35" t="str">
        <f aca="false">IF(COUNTIFS(응답입력!$AH$3:$HD$3,"L10",응답입력!$AH48:$HD48,"&lt;9")&gt;=3,SUMIFS(응답입력!$AH48:$HD48,응답입력!$AH$3:$HD$3,"L10",응답입력!$AH48:$HD48,"&lt;9")/COUNTIFS(응답입력!$AH$3:$HD$3,"L10",응답입력!$AH48:$HD48,"&lt;9"),"")</f>
        <v/>
      </c>
      <c r="L47" s="35" t="str">
        <f aca="false">IF(COUNTIFS(응답입력!$AH$3:$HD$3,"L11",응답입력!$AH48:$HD48,"&lt;9")&gt;=3,SUMIFS(응답입력!$AH48:$HD48,응답입력!$AH$3:$HD$3,"L11",응답입력!$AH48:$HD48,"&lt;9")/COUNTIFS(응답입력!$AH$3:$HD$3,"L11",응답입력!$AH48:$HD48,"&lt;9"),"")</f>
        <v/>
      </c>
      <c r="M47" s="35" t="str">
        <f aca="false">IF(COUNTIFS(응답입력!$AH$3:$HD$3,"L12",응답입력!$AH48:$HD48,"&lt;9")&gt;=3,SUMIFS(응답입력!$AH48:$HD48,응답입력!$AH$3:$HD$3,"L12",응답입력!$AH48:$HD48,"&lt;9")/COUNTIFS(응답입력!$AH$3:$HD$3,"L12",응답입력!$AH48:$HD48,"&lt;9"),"")</f>
        <v/>
      </c>
      <c r="N47" s="35" t="str">
        <f aca="false">IF(COUNTIFS(응답입력!$AH$3:$HD$3,"L13",응답입력!$AH48:$HD48,"&lt;9")&gt;=3,SUMIFS(응답입력!$AH48:$HD48,응답입력!$AH$3:$HD$3,"L13",응답입력!$AH48:$HD48,"&lt;9")/COUNTIFS(응답입력!$AH$3:$HD$3,"L13",응답입력!$AH48:$HD48,"&lt;9"),"")</f>
        <v/>
      </c>
      <c r="O47" s="35" t="str">
        <f aca="false">IF(COUNTIFS(응답입력!$AH$3:$HD$3,"L14",응답입력!$AH48:$HD48,"&lt;9")&gt;=3,SUMIFS(응답입력!$AH48:$HD48,응답입력!$AH$3:$HD$3,"L14",응답입력!$AH48:$HD48,"&lt;9")/COUNTIFS(응답입력!$AH$3:$HD$3,"L14",응답입력!$AH48:$HD48,"&lt;9"),"")</f>
        <v/>
      </c>
      <c r="P47" s="35" t="str">
        <f aca="false">IF(COUNTIFS(응답입력!$AH$3:$HD$3,"L15",응답입력!$AH48:$HD48,"&lt;9")&gt;=3,SUMIFS(응답입력!$AH48:$HD48,응답입력!$AH$3:$HD$3,"L15",응답입력!$AH48:$HD48,"&lt;9")/COUNTIFS(응답입력!$AH$3:$HD$3,"L15",응답입력!$AH48:$HD48,"&lt;9"),"")</f>
        <v/>
      </c>
      <c r="Q47" s="35" t="str">
        <f aca="false">IF(COUNTIFS(응답입력!$AH$3:$HD$3,"L16",응답입력!$AH48:$HD48,"&lt;9")&gt;=3,SUMIFS(응답입력!$AH48:$HD48,응답입력!$AH$3:$HD$3,"L16",응답입력!$AH48:$HD48,"&lt;9")/COUNTIFS(응답입력!$AH$3:$HD$3,"L16",응답입력!$AH48:$HD48,"&lt;9"),"")</f>
        <v/>
      </c>
      <c r="R47" s="35" t="str">
        <f aca="false">IF(COUNTIFS(응답입력!$AH$3:$HD$3,"L17",응답입력!$AH48:$HD48,"&lt;9")&gt;=3,SUMIFS(응답입력!$AH48:$HD48,응답입력!$AH$3:$HD$3,"L17",응답입력!$AH48:$HD48,"&lt;9")/COUNTIFS(응답입력!$AH$3:$HD$3,"L17",응답입력!$AH48:$HD48,"&lt;9"),"")</f>
        <v/>
      </c>
      <c r="S47" s="35" t="str">
        <f aca="false">IF(COUNTIFS(응답입력!$AH$3:$HD$3,"L18",응답입력!$AH48:$HD48,"&lt;9")&gt;=3,SUMIFS(응답입력!$AH48:$HD48,응답입력!$AH$3:$HD$3,"L18",응답입력!$AH48:$HD48,"&lt;9")/COUNTIFS(응답입력!$AH$3:$HD$3,"L18",응답입력!$AH48:$HD48,"&lt;9"),"")</f>
        <v/>
      </c>
      <c r="T47" s="35" t="str">
        <f aca="false">IF(COUNTIFS(응답입력!$AH$3:$HD$3,"L19",응답입력!$AH48:$HD48,"&lt;9")&gt;=3,SUMIFS(응답입력!$AH48:$HD48,응답입력!$AH$3:$HD$3,"L19",응답입력!$AH48:$HD48,"&lt;9")/COUNTIFS(응답입력!$AH$3:$HD$3,"L19",응답입력!$AH48:$HD48,"&lt;9"),"")</f>
        <v/>
      </c>
      <c r="U47" s="35" t="str">
        <f aca="false">IF(COUNTIFS(응답입력!$AH$3:$HD$3,"L20",응답입력!$AH48:$HD48,"&lt;9")&gt;=3,SUMIFS(응답입력!$AH48:$HD48,응답입력!$AH$3:$HD$3,"L20",응답입력!$AH48:$HD48,"&lt;9")/COUNTIFS(응답입력!$AH$3:$HD$3,"L20",응답입력!$AH48:$HD48,"&lt;9"),"")</f>
        <v/>
      </c>
      <c r="V47" s="35" t="str">
        <f aca="false">IF(COUNTIFS(응답입력!$AH$3:$HD$3,"L21",응답입력!$AH48:$HD48,"&lt;9")&gt;=3,SUMIFS(응답입력!$AH48:$HD48,응답입력!$AH$3:$HD$3,"L21",응답입력!$AH48:$HD48,"&lt;9")/COUNTIFS(응답입력!$AH$3:$HD$3,"L21",응답입력!$AH48:$HD48,"&lt;9"),"")</f>
        <v/>
      </c>
      <c r="W47" s="35" t="str">
        <f aca="false">IF(COUNTIFS(응답입력!$AH$3:$HD$3,"L22",응답입력!$AH48:$HD48,"&lt;9")&gt;=3,SUMIFS(응답입력!$AH48:$HD48,응답입력!$AH$3:$HD$3,"L22",응답입력!$AH48:$HD48,"&lt;9")/COUNTIFS(응답입력!$AH$3:$HD$3,"L22",응답입력!$AH48:$HD48,"&lt;9"),"")</f>
        <v/>
      </c>
      <c r="X47" s="35" t="str">
        <f aca="false">IF(COUNTIFS(응답입력!$AH$3:$HD$3,"L23",응답입력!$AH48:$HD48,"&lt;9")&gt;=3,SUMIFS(응답입력!$AH48:$HD48,응답입력!$AH$3:$HD$3,"L23",응답입력!$AH48:$HD48,"&lt;9")/COUNTIFS(응답입력!$AH$3:$HD$3,"L23",응답입력!$AH48:$HD48,"&lt;9"),"")</f>
        <v/>
      </c>
      <c r="Y47" s="35" t="str">
        <f aca="false">IF(COUNTIFS(응답입력!$AH$3:$HD$3,"L24",응답입력!$AH48:$HD48,"&lt;9")&gt;=3,SUMIFS(응답입력!$AH48:$HD48,응답입력!$AH$3:$HD$3,"L24",응답입력!$AH48:$HD48,"&lt;9")/COUNTIFS(응답입력!$AH$3:$HD$3,"L24",응답입력!$AH48:$HD48,"&lt;9"),"")</f>
        <v/>
      </c>
      <c r="Z47" s="35" t="str">
        <f aca="false">IF(COUNTIFS(응답입력!$AH$3:$HD$3,"L25",응답입력!$AH48:$HD48,"&lt;9")&gt;=3,SUMIFS(응답입력!$AH48:$HD48,응답입력!$AH$3:$HD$3,"L25",응답입력!$AH48:$HD48,"&lt;9")/COUNTIFS(응답입력!$AH$3:$HD$3,"L25",응답입력!$AH48:$HD48,"&lt;9"),"")</f>
        <v/>
      </c>
      <c r="AA47" s="35" t="str">
        <f aca="false">IF(COUNTIFS(응답입력!$AH$3:$HD$3,"L26",응답입력!$AH48:$HD48,"&lt;9")&gt;=3,SUMIFS(응답입력!$AH48:$HD48,응답입력!$AH$3:$HD$3,"L26",응답입력!$AH48:$HD48,"&lt;9")/COUNTIFS(응답입력!$AH$3:$HD$3,"L26",응답입력!$AH48:$HD48,"&lt;9"),"")</f>
        <v/>
      </c>
      <c r="AB47" s="35" t="str">
        <f aca="false">IF(COUNTIFS(응답입력!$AH$3:$HD$3,"L27",응답입력!$AH48:$HD48,"&lt;9")&gt;=3,SUMIFS(응답입력!$AH48:$HD48,응답입력!$AH$3:$HD$3,"L27",응답입력!$AH48:$HD48,"&lt;9")/COUNTIFS(응답입력!$AH$3:$HD$3,"L27",응답입력!$AH48:$HD48,"&lt;9"),"")</f>
        <v/>
      </c>
      <c r="AC47" s="35" t="str">
        <f aca="false">IF(COUNTIFS(응답입력!$AH$3:$HD$3,"L28",응답입력!$AH48:$HD48,"&lt;9")&gt;=3,SUMIFS(응답입력!$AH48:$HD48,응답입력!$AH$3:$HD$3,"L28",응답입력!$AH48:$HD48,"&lt;9")/COUNTIFS(응답입력!$AH$3:$HD$3,"L28",응답입력!$AH48:$HD48,"&lt;9"),"")</f>
        <v/>
      </c>
      <c r="AD47" s="35" t="str">
        <f aca="false">IF(COUNTIFS(응답입력!$AH$3:$HD$3,"L29",응답입력!$AH48:$HD48,"&lt;9")&gt;=3,SUMIFS(응답입력!$AH48:$HD48,응답입력!$AH$3:$HD$3,"L29",응답입력!$AH48:$HD48,"&lt;9")/COUNTIFS(응답입력!$AH$3:$HD$3,"L29",응답입력!$AH48:$HD48,"&lt;9"),"")</f>
        <v/>
      </c>
      <c r="AE47" s="35" t="str">
        <f aca="false">IF(COUNTIFS(응답입력!$AH$3:$HD$3,"L30",응답입력!$AH48:$HD48,"&lt;9")&gt;=3,SUMIFS(응답입력!$AH48:$HD48,응답입력!$AH$3:$HD$3,"L30",응답입력!$AH48:$HD48,"&lt;9")/COUNTIFS(응답입력!$AH$3:$HD$3,"L30",응답입력!$AH48:$HD48,"&lt;9"),"")</f>
        <v/>
      </c>
      <c r="AF47" s="35" t="str">
        <f aca="false">IF(COUNTIFS(응답입력!$AH$3:$HD$3,"L31",응답입력!$AH48:$HD48,"&lt;9")&gt;=3,SUMIFS(응답입력!$AH48:$HD48,응답입력!$AH$3:$HD$3,"L31",응답입력!$AH48:$HD48,"&lt;9")/COUNTIFS(응답입력!$AH$3:$HD$3,"L31",응답입력!$AH48:$HD48,"&lt;9"),"")</f>
        <v/>
      </c>
      <c r="AG47" s="41" t="str">
        <f aca="false">IFERROR(AVERAGE(B47:AF47),"")</f>
        <v/>
      </c>
    </row>
    <row r="48" customFormat="false" ht="15" hidden="false" customHeight="false" outlineLevel="0" collapsed="false">
      <c r="A48" s="27" t="str">
        <f aca="false">IF(응답입력!A49="","",응답입력!A49)</f>
        <v/>
      </c>
      <c r="B48" s="35" t="str">
        <f aca="false">IF(COUNTIFS(응답입력!$AH$3:$HD$3,"L01",응답입력!$AH49:$HD49,"&lt;9")&gt;=3,SUMIFS(응답입력!$AH49:$HD49,응답입력!$AH$3:$HD$3,"L01",응답입력!$AH49:$HD49,"&lt;9")/COUNTIFS(응답입력!$AH$3:$HD$3,"L01",응답입력!$AH49:$HD49,"&lt;9"),"")</f>
        <v/>
      </c>
      <c r="C48" s="35" t="str">
        <f aca="false">IF(COUNTIFS(응답입력!$AH$3:$HD$3,"L02",응답입력!$AH49:$HD49,"&lt;9")&gt;=3,SUMIFS(응답입력!$AH49:$HD49,응답입력!$AH$3:$HD$3,"L02",응답입력!$AH49:$HD49,"&lt;9")/COUNTIFS(응답입력!$AH$3:$HD$3,"L02",응답입력!$AH49:$HD49,"&lt;9"),"")</f>
        <v/>
      </c>
      <c r="D48" s="35" t="str">
        <f aca="false">IF(COUNTIFS(응답입력!$AH$3:$HD$3,"L03",응답입력!$AH49:$HD49,"&lt;9")&gt;=3,SUMIFS(응답입력!$AH49:$HD49,응답입력!$AH$3:$HD$3,"L03",응답입력!$AH49:$HD49,"&lt;9")/COUNTIFS(응답입력!$AH$3:$HD$3,"L03",응답입력!$AH49:$HD49,"&lt;9"),"")</f>
        <v/>
      </c>
      <c r="E48" s="35" t="str">
        <f aca="false">IF(COUNTIFS(응답입력!$AH$3:$HD$3,"L04",응답입력!$AH49:$HD49,"&lt;9")&gt;=3,SUMIFS(응답입력!$AH49:$HD49,응답입력!$AH$3:$HD$3,"L04",응답입력!$AH49:$HD49,"&lt;9")/COUNTIFS(응답입력!$AH$3:$HD$3,"L04",응답입력!$AH49:$HD49,"&lt;9"),"")</f>
        <v/>
      </c>
      <c r="F48" s="35" t="str">
        <f aca="false">IF(COUNTIFS(응답입력!$AH$3:$HD$3,"L05",응답입력!$AH49:$HD49,"&lt;9")&gt;=3,SUMIFS(응답입력!$AH49:$HD49,응답입력!$AH$3:$HD$3,"L05",응답입력!$AH49:$HD49,"&lt;9")/COUNTIFS(응답입력!$AH$3:$HD$3,"L05",응답입력!$AH49:$HD49,"&lt;9"),"")</f>
        <v/>
      </c>
      <c r="G48" s="35" t="str">
        <f aca="false">IF(COUNTIFS(응답입력!$AH$3:$HD$3,"L06",응답입력!$AH49:$HD49,"&lt;9")&gt;=3,SUMIFS(응답입력!$AH49:$HD49,응답입력!$AH$3:$HD$3,"L06",응답입력!$AH49:$HD49,"&lt;9")/COUNTIFS(응답입력!$AH$3:$HD$3,"L06",응답입력!$AH49:$HD49,"&lt;9"),"")</f>
        <v/>
      </c>
      <c r="H48" s="35" t="str">
        <f aca="false">IF(COUNTIFS(응답입력!$AH$3:$HD$3,"L07",응답입력!$AH49:$HD49,"&lt;9")&gt;=3,SUMIFS(응답입력!$AH49:$HD49,응답입력!$AH$3:$HD$3,"L07",응답입력!$AH49:$HD49,"&lt;9")/COUNTIFS(응답입력!$AH$3:$HD$3,"L07",응답입력!$AH49:$HD49,"&lt;9"),"")</f>
        <v/>
      </c>
      <c r="I48" s="35" t="str">
        <f aca="false">IF(COUNTIFS(응답입력!$AH$3:$HD$3,"L08",응답입력!$AH49:$HD49,"&lt;9")&gt;=3,SUMIFS(응답입력!$AH49:$HD49,응답입력!$AH$3:$HD$3,"L08",응답입력!$AH49:$HD49,"&lt;9")/COUNTIFS(응답입력!$AH$3:$HD$3,"L08",응답입력!$AH49:$HD49,"&lt;9"),"")</f>
        <v/>
      </c>
      <c r="J48" s="35" t="str">
        <f aca="false">IF(COUNTIFS(응답입력!$AH$3:$HD$3,"L09",응답입력!$AH49:$HD49,"&lt;9")&gt;=3,SUMIFS(응답입력!$AH49:$HD49,응답입력!$AH$3:$HD$3,"L09",응답입력!$AH49:$HD49,"&lt;9")/COUNTIFS(응답입력!$AH$3:$HD$3,"L09",응답입력!$AH49:$HD49,"&lt;9"),"")</f>
        <v/>
      </c>
      <c r="K48" s="35" t="str">
        <f aca="false">IF(COUNTIFS(응답입력!$AH$3:$HD$3,"L10",응답입력!$AH49:$HD49,"&lt;9")&gt;=3,SUMIFS(응답입력!$AH49:$HD49,응답입력!$AH$3:$HD$3,"L10",응답입력!$AH49:$HD49,"&lt;9")/COUNTIFS(응답입력!$AH$3:$HD$3,"L10",응답입력!$AH49:$HD49,"&lt;9"),"")</f>
        <v/>
      </c>
      <c r="L48" s="35" t="str">
        <f aca="false">IF(COUNTIFS(응답입력!$AH$3:$HD$3,"L11",응답입력!$AH49:$HD49,"&lt;9")&gt;=3,SUMIFS(응답입력!$AH49:$HD49,응답입력!$AH$3:$HD$3,"L11",응답입력!$AH49:$HD49,"&lt;9")/COUNTIFS(응답입력!$AH$3:$HD$3,"L11",응답입력!$AH49:$HD49,"&lt;9"),"")</f>
        <v/>
      </c>
      <c r="M48" s="35" t="str">
        <f aca="false">IF(COUNTIFS(응답입력!$AH$3:$HD$3,"L12",응답입력!$AH49:$HD49,"&lt;9")&gt;=3,SUMIFS(응답입력!$AH49:$HD49,응답입력!$AH$3:$HD$3,"L12",응답입력!$AH49:$HD49,"&lt;9")/COUNTIFS(응답입력!$AH$3:$HD$3,"L12",응답입력!$AH49:$HD49,"&lt;9"),"")</f>
        <v/>
      </c>
      <c r="N48" s="35" t="str">
        <f aca="false">IF(COUNTIFS(응답입력!$AH$3:$HD$3,"L13",응답입력!$AH49:$HD49,"&lt;9")&gt;=3,SUMIFS(응답입력!$AH49:$HD49,응답입력!$AH$3:$HD$3,"L13",응답입력!$AH49:$HD49,"&lt;9")/COUNTIFS(응답입력!$AH$3:$HD$3,"L13",응답입력!$AH49:$HD49,"&lt;9"),"")</f>
        <v/>
      </c>
      <c r="O48" s="35" t="str">
        <f aca="false">IF(COUNTIFS(응답입력!$AH$3:$HD$3,"L14",응답입력!$AH49:$HD49,"&lt;9")&gt;=3,SUMIFS(응답입력!$AH49:$HD49,응답입력!$AH$3:$HD$3,"L14",응답입력!$AH49:$HD49,"&lt;9")/COUNTIFS(응답입력!$AH$3:$HD$3,"L14",응답입력!$AH49:$HD49,"&lt;9"),"")</f>
        <v/>
      </c>
      <c r="P48" s="35" t="str">
        <f aca="false">IF(COUNTIFS(응답입력!$AH$3:$HD$3,"L15",응답입력!$AH49:$HD49,"&lt;9")&gt;=3,SUMIFS(응답입력!$AH49:$HD49,응답입력!$AH$3:$HD$3,"L15",응답입력!$AH49:$HD49,"&lt;9")/COUNTIFS(응답입력!$AH$3:$HD$3,"L15",응답입력!$AH49:$HD49,"&lt;9"),"")</f>
        <v/>
      </c>
      <c r="Q48" s="35" t="str">
        <f aca="false">IF(COUNTIFS(응답입력!$AH$3:$HD$3,"L16",응답입력!$AH49:$HD49,"&lt;9")&gt;=3,SUMIFS(응답입력!$AH49:$HD49,응답입력!$AH$3:$HD$3,"L16",응답입력!$AH49:$HD49,"&lt;9")/COUNTIFS(응답입력!$AH$3:$HD$3,"L16",응답입력!$AH49:$HD49,"&lt;9"),"")</f>
        <v/>
      </c>
      <c r="R48" s="35" t="str">
        <f aca="false">IF(COUNTIFS(응답입력!$AH$3:$HD$3,"L17",응답입력!$AH49:$HD49,"&lt;9")&gt;=3,SUMIFS(응답입력!$AH49:$HD49,응답입력!$AH$3:$HD$3,"L17",응답입력!$AH49:$HD49,"&lt;9")/COUNTIFS(응답입력!$AH$3:$HD$3,"L17",응답입력!$AH49:$HD49,"&lt;9"),"")</f>
        <v/>
      </c>
      <c r="S48" s="35" t="str">
        <f aca="false">IF(COUNTIFS(응답입력!$AH$3:$HD$3,"L18",응답입력!$AH49:$HD49,"&lt;9")&gt;=3,SUMIFS(응답입력!$AH49:$HD49,응답입력!$AH$3:$HD$3,"L18",응답입력!$AH49:$HD49,"&lt;9")/COUNTIFS(응답입력!$AH$3:$HD$3,"L18",응답입력!$AH49:$HD49,"&lt;9"),"")</f>
        <v/>
      </c>
      <c r="T48" s="35" t="str">
        <f aca="false">IF(COUNTIFS(응답입력!$AH$3:$HD$3,"L19",응답입력!$AH49:$HD49,"&lt;9")&gt;=3,SUMIFS(응답입력!$AH49:$HD49,응답입력!$AH$3:$HD$3,"L19",응답입력!$AH49:$HD49,"&lt;9")/COUNTIFS(응답입력!$AH$3:$HD$3,"L19",응답입력!$AH49:$HD49,"&lt;9"),"")</f>
        <v/>
      </c>
      <c r="U48" s="35" t="str">
        <f aca="false">IF(COUNTIFS(응답입력!$AH$3:$HD$3,"L20",응답입력!$AH49:$HD49,"&lt;9")&gt;=3,SUMIFS(응답입력!$AH49:$HD49,응답입력!$AH$3:$HD$3,"L20",응답입력!$AH49:$HD49,"&lt;9")/COUNTIFS(응답입력!$AH$3:$HD$3,"L20",응답입력!$AH49:$HD49,"&lt;9"),"")</f>
        <v/>
      </c>
      <c r="V48" s="35" t="str">
        <f aca="false">IF(COUNTIFS(응답입력!$AH$3:$HD$3,"L21",응답입력!$AH49:$HD49,"&lt;9")&gt;=3,SUMIFS(응답입력!$AH49:$HD49,응답입력!$AH$3:$HD$3,"L21",응답입력!$AH49:$HD49,"&lt;9")/COUNTIFS(응답입력!$AH$3:$HD$3,"L21",응답입력!$AH49:$HD49,"&lt;9"),"")</f>
        <v/>
      </c>
      <c r="W48" s="35" t="str">
        <f aca="false">IF(COUNTIFS(응답입력!$AH$3:$HD$3,"L22",응답입력!$AH49:$HD49,"&lt;9")&gt;=3,SUMIFS(응답입력!$AH49:$HD49,응답입력!$AH$3:$HD$3,"L22",응답입력!$AH49:$HD49,"&lt;9")/COUNTIFS(응답입력!$AH$3:$HD$3,"L22",응답입력!$AH49:$HD49,"&lt;9"),"")</f>
        <v/>
      </c>
      <c r="X48" s="35" t="str">
        <f aca="false">IF(COUNTIFS(응답입력!$AH$3:$HD$3,"L23",응답입력!$AH49:$HD49,"&lt;9")&gt;=3,SUMIFS(응답입력!$AH49:$HD49,응답입력!$AH$3:$HD$3,"L23",응답입력!$AH49:$HD49,"&lt;9")/COUNTIFS(응답입력!$AH$3:$HD$3,"L23",응답입력!$AH49:$HD49,"&lt;9"),"")</f>
        <v/>
      </c>
      <c r="Y48" s="35" t="str">
        <f aca="false">IF(COUNTIFS(응답입력!$AH$3:$HD$3,"L24",응답입력!$AH49:$HD49,"&lt;9")&gt;=3,SUMIFS(응답입력!$AH49:$HD49,응답입력!$AH$3:$HD$3,"L24",응답입력!$AH49:$HD49,"&lt;9")/COUNTIFS(응답입력!$AH$3:$HD$3,"L24",응답입력!$AH49:$HD49,"&lt;9"),"")</f>
        <v/>
      </c>
      <c r="Z48" s="35" t="str">
        <f aca="false">IF(COUNTIFS(응답입력!$AH$3:$HD$3,"L25",응답입력!$AH49:$HD49,"&lt;9")&gt;=3,SUMIFS(응답입력!$AH49:$HD49,응답입력!$AH$3:$HD$3,"L25",응답입력!$AH49:$HD49,"&lt;9")/COUNTIFS(응답입력!$AH$3:$HD$3,"L25",응답입력!$AH49:$HD49,"&lt;9"),"")</f>
        <v/>
      </c>
      <c r="AA48" s="35" t="str">
        <f aca="false">IF(COUNTIFS(응답입력!$AH$3:$HD$3,"L26",응답입력!$AH49:$HD49,"&lt;9")&gt;=3,SUMIFS(응답입력!$AH49:$HD49,응답입력!$AH$3:$HD$3,"L26",응답입력!$AH49:$HD49,"&lt;9")/COUNTIFS(응답입력!$AH$3:$HD$3,"L26",응답입력!$AH49:$HD49,"&lt;9"),"")</f>
        <v/>
      </c>
      <c r="AB48" s="35" t="str">
        <f aca="false">IF(COUNTIFS(응답입력!$AH$3:$HD$3,"L27",응답입력!$AH49:$HD49,"&lt;9")&gt;=3,SUMIFS(응답입력!$AH49:$HD49,응답입력!$AH$3:$HD$3,"L27",응답입력!$AH49:$HD49,"&lt;9")/COUNTIFS(응답입력!$AH$3:$HD$3,"L27",응답입력!$AH49:$HD49,"&lt;9"),"")</f>
        <v/>
      </c>
      <c r="AC48" s="35" t="str">
        <f aca="false">IF(COUNTIFS(응답입력!$AH$3:$HD$3,"L28",응답입력!$AH49:$HD49,"&lt;9")&gt;=3,SUMIFS(응답입력!$AH49:$HD49,응답입력!$AH$3:$HD$3,"L28",응답입력!$AH49:$HD49,"&lt;9")/COUNTIFS(응답입력!$AH$3:$HD$3,"L28",응답입력!$AH49:$HD49,"&lt;9"),"")</f>
        <v/>
      </c>
      <c r="AD48" s="35" t="str">
        <f aca="false">IF(COUNTIFS(응답입력!$AH$3:$HD$3,"L29",응답입력!$AH49:$HD49,"&lt;9")&gt;=3,SUMIFS(응답입력!$AH49:$HD49,응답입력!$AH$3:$HD$3,"L29",응답입력!$AH49:$HD49,"&lt;9")/COUNTIFS(응답입력!$AH$3:$HD$3,"L29",응답입력!$AH49:$HD49,"&lt;9"),"")</f>
        <v/>
      </c>
      <c r="AE48" s="35" t="str">
        <f aca="false">IF(COUNTIFS(응답입력!$AH$3:$HD$3,"L30",응답입력!$AH49:$HD49,"&lt;9")&gt;=3,SUMIFS(응답입력!$AH49:$HD49,응답입력!$AH$3:$HD$3,"L30",응답입력!$AH49:$HD49,"&lt;9")/COUNTIFS(응답입력!$AH$3:$HD$3,"L30",응답입력!$AH49:$HD49,"&lt;9"),"")</f>
        <v/>
      </c>
      <c r="AF48" s="35" t="str">
        <f aca="false">IF(COUNTIFS(응답입력!$AH$3:$HD$3,"L31",응답입력!$AH49:$HD49,"&lt;9")&gt;=3,SUMIFS(응답입력!$AH49:$HD49,응답입력!$AH$3:$HD$3,"L31",응답입력!$AH49:$HD49,"&lt;9")/COUNTIFS(응답입력!$AH$3:$HD$3,"L31",응답입력!$AH49:$HD49,"&lt;9"),"")</f>
        <v/>
      </c>
      <c r="AG48" s="41" t="str">
        <f aca="false">IFERROR(AVERAGE(B48:AF48),"")</f>
        <v/>
      </c>
    </row>
    <row r="49" customFormat="false" ht="15" hidden="false" customHeight="false" outlineLevel="0" collapsed="false">
      <c r="A49" s="27" t="str">
        <f aca="false">IF(응답입력!A50="","",응답입력!A50)</f>
        <v/>
      </c>
      <c r="B49" s="35" t="str">
        <f aca="false">IF(COUNTIFS(응답입력!$AH$3:$HD$3,"L01",응답입력!$AH50:$HD50,"&lt;9")&gt;=3,SUMIFS(응답입력!$AH50:$HD50,응답입력!$AH$3:$HD$3,"L01",응답입력!$AH50:$HD50,"&lt;9")/COUNTIFS(응답입력!$AH$3:$HD$3,"L01",응답입력!$AH50:$HD50,"&lt;9"),"")</f>
        <v/>
      </c>
      <c r="C49" s="35" t="str">
        <f aca="false">IF(COUNTIFS(응답입력!$AH$3:$HD$3,"L02",응답입력!$AH50:$HD50,"&lt;9")&gt;=3,SUMIFS(응답입력!$AH50:$HD50,응답입력!$AH$3:$HD$3,"L02",응답입력!$AH50:$HD50,"&lt;9")/COUNTIFS(응답입력!$AH$3:$HD$3,"L02",응답입력!$AH50:$HD50,"&lt;9"),"")</f>
        <v/>
      </c>
      <c r="D49" s="35" t="str">
        <f aca="false">IF(COUNTIFS(응답입력!$AH$3:$HD$3,"L03",응답입력!$AH50:$HD50,"&lt;9")&gt;=3,SUMIFS(응답입력!$AH50:$HD50,응답입력!$AH$3:$HD$3,"L03",응답입력!$AH50:$HD50,"&lt;9")/COUNTIFS(응답입력!$AH$3:$HD$3,"L03",응답입력!$AH50:$HD50,"&lt;9"),"")</f>
        <v/>
      </c>
      <c r="E49" s="35" t="str">
        <f aca="false">IF(COUNTIFS(응답입력!$AH$3:$HD$3,"L04",응답입력!$AH50:$HD50,"&lt;9")&gt;=3,SUMIFS(응답입력!$AH50:$HD50,응답입력!$AH$3:$HD$3,"L04",응답입력!$AH50:$HD50,"&lt;9")/COUNTIFS(응답입력!$AH$3:$HD$3,"L04",응답입력!$AH50:$HD50,"&lt;9"),"")</f>
        <v/>
      </c>
      <c r="F49" s="35" t="str">
        <f aca="false">IF(COUNTIFS(응답입력!$AH$3:$HD$3,"L05",응답입력!$AH50:$HD50,"&lt;9")&gt;=3,SUMIFS(응답입력!$AH50:$HD50,응답입력!$AH$3:$HD$3,"L05",응답입력!$AH50:$HD50,"&lt;9")/COUNTIFS(응답입력!$AH$3:$HD$3,"L05",응답입력!$AH50:$HD50,"&lt;9"),"")</f>
        <v/>
      </c>
      <c r="G49" s="35" t="str">
        <f aca="false">IF(COUNTIFS(응답입력!$AH$3:$HD$3,"L06",응답입력!$AH50:$HD50,"&lt;9")&gt;=3,SUMIFS(응답입력!$AH50:$HD50,응답입력!$AH$3:$HD$3,"L06",응답입력!$AH50:$HD50,"&lt;9")/COUNTIFS(응답입력!$AH$3:$HD$3,"L06",응답입력!$AH50:$HD50,"&lt;9"),"")</f>
        <v/>
      </c>
      <c r="H49" s="35" t="str">
        <f aca="false">IF(COUNTIFS(응답입력!$AH$3:$HD$3,"L07",응답입력!$AH50:$HD50,"&lt;9")&gt;=3,SUMIFS(응답입력!$AH50:$HD50,응답입력!$AH$3:$HD$3,"L07",응답입력!$AH50:$HD50,"&lt;9")/COUNTIFS(응답입력!$AH$3:$HD$3,"L07",응답입력!$AH50:$HD50,"&lt;9"),"")</f>
        <v/>
      </c>
      <c r="I49" s="35" t="str">
        <f aca="false">IF(COUNTIFS(응답입력!$AH$3:$HD$3,"L08",응답입력!$AH50:$HD50,"&lt;9")&gt;=3,SUMIFS(응답입력!$AH50:$HD50,응답입력!$AH$3:$HD$3,"L08",응답입력!$AH50:$HD50,"&lt;9")/COUNTIFS(응답입력!$AH$3:$HD$3,"L08",응답입력!$AH50:$HD50,"&lt;9"),"")</f>
        <v/>
      </c>
      <c r="J49" s="35" t="str">
        <f aca="false">IF(COUNTIFS(응답입력!$AH$3:$HD$3,"L09",응답입력!$AH50:$HD50,"&lt;9")&gt;=3,SUMIFS(응답입력!$AH50:$HD50,응답입력!$AH$3:$HD$3,"L09",응답입력!$AH50:$HD50,"&lt;9")/COUNTIFS(응답입력!$AH$3:$HD$3,"L09",응답입력!$AH50:$HD50,"&lt;9"),"")</f>
        <v/>
      </c>
      <c r="K49" s="35" t="str">
        <f aca="false">IF(COUNTIFS(응답입력!$AH$3:$HD$3,"L10",응답입력!$AH50:$HD50,"&lt;9")&gt;=3,SUMIFS(응답입력!$AH50:$HD50,응답입력!$AH$3:$HD$3,"L10",응답입력!$AH50:$HD50,"&lt;9")/COUNTIFS(응답입력!$AH$3:$HD$3,"L10",응답입력!$AH50:$HD50,"&lt;9"),"")</f>
        <v/>
      </c>
      <c r="L49" s="35" t="str">
        <f aca="false">IF(COUNTIFS(응답입력!$AH$3:$HD$3,"L11",응답입력!$AH50:$HD50,"&lt;9")&gt;=3,SUMIFS(응답입력!$AH50:$HD50,응답입력!$AH$3:$HD$3,"L11",응답입력!$AH50:$HD50,"&lt;9")/COUNTIFS(응답입력!$AH$3:$HD$3,"L11",응답입력!$AH50:$HD50,"&lt;9"),"")</f>
        <v/>
      </c>
      <c r="M49" s="35" t="str">
        <f aca="false">IF(COUNTIFS(응답입력!$AH$3:$HD$3,"L12",응답입력!$AH50:$HD50,"&lt;9")&gt;=3,SUMIFS(응답입력!$AH50:$HD50,응답입력!$AH$3:$HD$3,"L12",응답입력!$AH50:$HD50,"&lt;9")/COUNTIFS(응답입력!$AH$3:$HD$3,"L12",응답입력!$AH50:$HD50,"&lt;9"),"")</f>
        <v/>
      </c>
      <c r="N49" s="35" t="str">
        <f aca="false">IF(COUNTIFS(응답입력!$AH$3:$HD$3,"L13",응답입력!$AH50:$HD50,"&lt;9")&gt;=3,SUMIFS(응답입력!$AH50:$HD50,응답입력!$AH$3:$HD$3,"L13",응답입력!$AH50:$HD50,"&lt;9")/COUNTIFS(응답입력!$AH$3:$HD$3,"L13",응답입력!$AH50:$HD50,"&lt;9"),"")</f>
        <v/>
      </c>
      <c r="O49" s="35" t="str">
        <f aca="false">IF(COUNTIFS(응답입력!$AH$3:$HD$3,"L14",응답입력!$AH50:$HD50,"&lt;9")&gt;=3,SUMIFS(응답입력!$AH50:$HD50,응답입력!$AH$3:$HD$3,"L14",응답입력!$AH50:$HD50,"&lt;9")/COUNTIFS(응답입력!$AH$3:$HD$3,"L14",응답입력!$AH50:$HD50,"&lt;9"),"")</f>
        <v/>
      </c>
      <c r="P49" s="35" t="str">
        <f aca="false">IF(COUNTIFS(응답입력!$AH$3:$HD$3,"L15",응답입력!$AH50:$HD50,"&lt;9")&gt;=3,SUMIFS(응답입력!$AH50:$HD50,응답입력!$AH$3:$HD$3,"L15",응답입력!$AH50:$HD50,"&lt;9")/COUNTIFS(응답입력!$AH$3:$HD$3,"L15",응답입력!$AH50:$HD50,"&lt;9"),"")</f>
        <v/>
      </c>
      <c r="Q49" s="35" t="str">
        <f aca="false">IF(COUNTIFS(응답입력!$AH$3:$HD$3,"L16",응답입력!$AH50:$HD50,"&lt;9")&gt;=3,SUMIFS(응답입력!$AH50:$HD50,응답입력!$AH$3:$HD$3,"L16",응답입력!$AH50:$HD50,"&lt;9")/COUNTIFS(응답입력!$AH$3:$HD$3,"L16",응답입력!$AH50:$HD50,"&lt;9"),"")</f>
        <v/>
      </c>
      <c r="R49" s="35" t="str">
        <f aca="false">IF(COUNTIFS(응답입력!$AH$3:$HD$3,"L17",응답입력!$AH50:$HD50,"&lt;9")&gt;=3,SUMIFS(응답입력!$AH50:$HD50,응답입력!$AH$3:$HD$3,"L17",응답입력!$AH50:$HD50,"&lt;9")/COUNTIFS(응답입력!$AH$3:$HD$3,"L17",응답입력!$AH50:$HD50,"&lt;9"),"")</f>
        <v/>
      </c>
      <c r="S49" s="35" t="str">
        <f aca="false">IF(COUNTIFS(응답입력!$AH$3:$HD$3,"L18",응답입력!$AH50:$HD50,"&lt;9")&gt;=3,SUMIFS(응답입력!$AH50:$HD50,응답입력!$AH$3:$HD$3,"L18",응답입력!$AH50:$HD50,"&lt;9")/COUNTIFS(응답입력!$AH$3:$HD$3,"L18",응답입력!$AH50:$HD50,"&lt;9"),"")</f>
        <v/>
      </c>
      <c r="T49" s="35" t="str">
        <f aca="false">IF(COUNTIFS(응답입력!$AH$3:$HD$3,"L19",응답입력!$AH50:$HD50,"&lt;9")&gt;=3,SUMIFS(응답입력!$AH50:$HD50,응답입력!$AH$3:$HD$3,"L19",응답입력!$AH50:$HD50,"&lt;9")/COUNTIFS(응답입력!$AH$3:$HD$3,"L19",응답입력!$AH50:$HD50,"&lt;9"),"")</f>
        <v/>
      </c>
      <c r="U49" s="35" t="str">
        <f aca="false">IF(COUNTIFS(응답입력!$AH$3:$HD$3,"L20",응답입력!$AH50:$HD50,"&lt;9")&gt;=3,SUMIFS(응답입력!$AH50:$HD50,응답입력!$AH$3:$HD$3,"L20",응답입력!$AH50:$HD50,"&lt;9")/COUNTIFS(응답입력!$AH$3:$HD$3,"L20",응답입력!$AH50:$HD50,"&lt;9"),"")</f>
        <v/>
      </c>
      <c r="V49" s="35" t="str">
        <f aca="false">IF(COUNTIFS(응답입력!$AH$3:$HD$3,"L21",응답입력!$AH50:$HD50,"&lt;9")&gt;=3,SUMIFS(응답입력!$AH50:$HD50,응답입력!$AH$3:$HD$3,"L21",응답입력!$AH50:$HD50,"&lt;9")/COUNTIFS(응답입력!$AH$3:$HD$3,"L21",응답입력!$AH50:$HD50,"&lt;9"),"")</f>
        <v/>
      </c>
      <c r="W49" s="35" t="str">
        <f aca="false">IF(COUNTIFS(응답입력!$AH$3:$HD$3,"L22",응답입력!$AH50:$HD50,"&lt;9")&gt;=3,SUMIFS(응답입력!$AH50:$HD50,응답입력!$AH$3:$HD$3,"L22",응답입력!$AH50:$HD50,"&lt;9")/COUNTIFS(응답입력!$AH$3:$HD$3,"L22",응답입력!$AH50:$HD50,"&lt;9"),"")</f>
        <v/>
      </c>
      <c r="X49" s="35" t="str">
        <f aca="false">IF(COUNTIFS(응답입력!$AH$3:$HD$3,"L23",응답입력!$AH50:$HD50,"&lt;9")&gt;=3,SUMIFS(응답입력!$AH50:$HD50,응답입력!$AH$3:$HD$3,"L23",응답입력!$AH50:$HD50,"&lt;9")/COUNTIFS(응답입력!$AH$3:$HD$3,"L23",응답입력!$AH50:$HD50,"&lt;9"),"")</f>
        <v/>
      </c>
      <c r="Y49" s="35" t="str">
        <f aca="false">IF(COUNTIFS(응답입력!$AH$3:$HD$3,"L24",응답입력!$AH50:$HD50,"&lt;9")&gt;=3,SUMIFS(응답입력!$AH50:$HD50,응답입력!$AH$3:$HD$3,"L24",응답입력!$AH50:$HD50,"&lt;9")/COUNTIFS(응답입력!$AH$3:$HD$3,"L24",응답입력!$AH50:$HD50,"&lt;9"),"")</f>
        <v/>
      </c>
      <c r="Z49" s="35" t="str">
        <f aca="false">IF(COUNTIFS(응답입력!$AH$3:$HD$3,"L25",응답입력!$AH50:$HD50,"&lt;9")&gt;=3,SUMIFS(응답입력!$AH50:$HD50,응답입력!$AH$3:$HD$3,"L25",응답입력!$AH50:$HD50,"&lt;9")/COUNTIFS(응답입력!$AH$3:$HD$3,"L25",응답입력!$AH50:$HD50,"&lt;9"),"")</f>
        <v/>
      </c>
      <c r="AA49" s="35" t="str">
        <f aca="false">IF(COUNTIFS(응답입력!$AH$3:$HD$3,"L26",응답입력!$AH50:$HD50,"&lt;9")&gt;=3,SUMIFS(응답입력!$AH50:$HD50,응답입력!$AH$3:$HD$3,"L26",응답입력!$AH50:$HD50,"&lt;9")/COUNTIFS(응답입력!$AH$3:$HD$3,"L26",응답입력!$AH50:$HD50,"&lt;9"),"")</f>
        <v/>
      </c>
      <c r="AB49" s="35" t="str">
        <f aca="false">IF(COUNTIFS(응답입력!$AH$3:$HD$3,"L27",응답입력!$AH50:$HD50,"&lt;9")&gt;=3,SUMIFS(응답입력!$AH50:$HD50,응답입력!$AH$3:$HD$3,"L27",응답입력!$AH50:$HD50,"&lt;9")/COUNTIFS(응답입력!$AH$3:$HD$3,"L27",응답입력!$AH50:$HD50,"&lt;9"),"")</f>
        <v/>
      </c>
      <c r="AC49" s="35" t="str">
        <f aca="false">IF(COUNTIFS(응답입력!$AH$3:$HD$3,"L28",응답입력!$AH50:$HD50,"&lt;9")&gt;=3,SUMIFS(응답입력!$AH50:$HD50,응답입력!$AH$3:$HD$3,"L28",응답입력!$AH50:$HD50,"&lt;9")/COUNTIFS(응답입력!$AH$3:$HD$3,"L28",응답입력!$AH50:$HD50,"&lt;9"),"")</f>
        <v/>
      </c>
      <c r="AD49" s="35" t="str">
        <f aca="false">IF(COUNTIFS(응답입력!$AH$3:$HD$3,"L29",응답입력!$AH50:$HD50,"&lt;9")&gt;=3,SUMIFS(응답입력!$AH50:$HD50,응답입력!$AH$3:$HD$3,"L29",응답입력!$AH50:$HD50,"&lt;9")/COUNTIFS(응답입력!$AH$3:$HD$3,"L29",응답입력!$AH50:$HD50,"&lt;9"),"")</f>
        <v/>
      </c>
      <c r="AE49" s="35" t="str">
        <f aca="false">IF(COUNTIFS(응답입력!$AH$3:$HD$3,"L30",응답입력!$AH50:$HD50,"&lt;9")&gt;=3,SUMIFS(응답입력!$AH50:$HD50,응답입력!$AH$3:$HD$3,"L30",응답입력!$AH50:$HD50,"&lt;9")/COUNTIFS(응답입력!$AH$3:$HD$3,"L30",응답입력!$AH50:$HD50,"&lt;9"),"")</f>
        <v/>
      </c>
      <c r="AF49" s="35" t="str">
        <f aca="false">IF(COUNTIFS(응답입력!$AH$3:$HD$3,"L31",응답입력!$AH50:$HD50,"&lt;9")&gt;=3,SUMIFS(응답입력!$AH50:$HD50,응답입력!$AH$3:$HD$3,"L31",응답입력!$AH50:$HD50,"&lt;9")/COUNTIFS(응답입력!$AH$3:$HD$3,"L31",응답입력!$AH50:$HD50,"&lt;9"),"")</f>
        <v/>
      </c>
      <c r="AG49" s="41" t="str">
        <f aca="false">IFERROR(AVERAGE(B49:AF49),"")</f>
        <v/>
      </c>
    </row>
    <row r="50" customFormat="false" ht="15" hidden="false" customHeight="false" outlineLevel="0" collapsed="false">
      <c r="A50" s="27" t="str">
        <f aca="false">IF(응답입력!A51="","",응답입력!A51)</f>
        <v/>
      </c>
      <c r="B50" s="35" t="str">
        <f aca="false">IF(COUNTIFS(응답입력!$AH$3:$HD$3,"L01",응답입력!$AH51:$HD51,"&lt;9")&gt;=3,SUMIFS(응답입력!$AH51:$HD51,응답입력!$AH$3:$HD$3,"L01",응답입력!$AH51:$HD51,"&lt;9")/COUNTIFS(응답입력!$AH$3:$HD$3,"L01",응답입력!$AH51:$HD51,"&lt;9"),"")</f>
        <v/>
      </c>
      <c r="C50" s="35" t="str">
        <f aca="false">IF(COUNTIFS(응답입력!$AH$3:$HD$3,"L02",응답입력!$AH51:$HD51,"&lt;9")&gt;=3,SUMIFS(응답입력!$AH51:$HD51,응답입력!$AH$3:$HD$3,"L02",응답입력!$AH51:$HD51,"&lt;9")/COUNTIFS(응답입력!$AH$3:$HD$3,"L02",응답입력!$AH51:$HD51,"&lt;9"),"")</f>
        <v/>
      </c>
      <c r="D50" s="35" t="str">
        <f aca="false">IF(COUNTIFS(응답입력!$AH$3:$HD$3,"L03",응답입력!$AH51:$HD51,"&lt;9")&gt;=3,SUMIFS(응답입력!$AH51:$HD51,응답입력!$AH$3:$HD$3,"L03",응답입력!$AH51:$HD51,"&lt;9")/COUNTIFS(응답입력!$AH$3:$HD$3,"L03",응답입력!$AH51:$HD51,"&lt;9"),"")</f>
        <v/>
      </c>
      <c r="E50" s="35" t="str">
        <f aca="false">IF(COUNTIFS(응답입력!$AH$3:$HD$3,"L04",응답입력!$AH51:$HD51,"&lt;9")&gt;=3,SUMIFS(응답입력!$AH51:$HD51,응답입력!$AH$3:$HD$3,"L04",응답입력!$AH51:$HD51,"&lt;9")/COUNTIFS(응답입력!$AH$3:$HD$3,"L04",응답입력!$AH51:$HD51,"&lt;9"),"")</f>
        <v/>
      </c>
      <c r="F50" s="35" t="str">
        <f aca="false">IF(COUNTIFS(응답입력!$AH$3:$HD$3,"L05",응답입력!$AH51:$HD51,"&lt;9")&gt;=3,SUMIFS(응답입력!$AH51:$HD51,응답입력!$AH$3:$HD$3,"L05",응답입력!$AH51:$HD51,"&lt;9")/COUNTIFS(응답입력!$AH$3:$HD$3,"L05",응답입력!$AH51:$HD51,"&lt;9"),"")</f>
        <v/>
      </c>
      <c r="G50" s="35" t="str">
        <f aca="false">IF(COUNTIFS(응답입력!$AH$3:$HD$3,"L06",응답입력!$AH51:$HD51,"&lt;9")&gt;=3,SUMIFS(응답입력!$AH51:$HD51,응답입력!$AH$3:$HD$3,"L06",응답입력!$AH51:$HD51,"&lt;9")/COUNTIFS(응답입력!$AH$3:$HD$3,"L06",응답입력!$AH51:$HD51,"&lt;9"),"")</f>
        <v/>
      </c>
      <c r="H50" s="35" t="str">
        <f aca="false">IF(COUNTIFS(응답입력!$AH$3:$HD$3,"L07",응답입력!$AH51:$HD51,"&lt;9")&gt;=3,SUMIFS(응답입력!$AH51:$HD51,응답입력!$AH$3:$HD$3,"L07",응답입력!$AH51:$HD51,"&lt;9")/COUNTIFS(응답입력!$AH$3:$HD$3,"L07",응답입력!$AH51:$HD51,"&lt;9"),"")</f>
        <v/>
      </c>
      <c r="I50" s="35" t="str">
        <f aca="false">IF(COUNTIFS(응답입력!$AH$3:$HD$3,"L08",응답입력!$AH51:$HD51,"&lt;9")&gt;=3,SUMIFS(응답입력!$AH51:$HD51,응답입력!$AH$3:$HD$3,"L08",응답입력!$AH51:$HD51,"&lt;9")/COUNTIFS(응답입력!$AH$3:$HD$3,"L08",응답입력!$AH51:$HD51,"&lt;9"),"")</f>
        <v/>
      </c>
      <c r="J50" s="35" t="str">
        <f aca="false">IF(COUNTIFS(응답입력!$AH$3:$HD$3,"L09",응답입력!$AH51:$HD51,"&lt;9")&gt;=3,SUMIFS(응답입력!$AH51:$HD51,응답입력!$AH$3:$HD$3,"L09",응답입력!$AH51:$HD51,"&lt;9")/COUNTIFS(응답입력!$AH$3:$HD$3,"L09",응답입력!$AH51:$HD51,"&lt;9"),"")</f>
        <v/>
      </c>
      <c r="K50" s="35" t="str">
        <f aca="false">IF(COUNTIFS(응답입력!$AH$3:$HD$3,"L10",응답입력!$AH51:$HD51,"&lt;9")&gt;=3,SUMIFS(응답입력!$AH51:$HD51,응답입력!$AH$3:$HD$3,"L10",응답입력!$AH51:$HD51,"&lt;9")/COUNTIFS(응답입력!$AH$3:$HD$3,"L10",응답입력!$AH51:$HD51,"&lt;9"),"")</f>
        <v/>
      </c>
      <c r="L50" s="35" t="str">
        <f aca="false">IF(COUNTIFS(응답입력!$AH$3:$HD$3,"L11",응답입력!$AH51:$HD51,"&lt;9")&gt;=3,SUMIFS(응답입력!$AH51:$HD51,응답입력!$AH$3:$HD$3,"L11",응답입력!$AH51:$HD51,"&lt;9")/COUNTIFS(응답입력!$AH$3:$HD$3,"L11",응답입력!$AH51:$HD51,"&lt;9"),"")</f>
        <v/>
      </c>
      <c r="M50" s="35" t="str">
        <f aca="false">IF(COUNTIFS(응답입력!$AH$3:$HD$3,"L12",응답입력!$AH51:$HD51,"&lt;9")&gt;=3,SUMIFS(응답입력!$AH51:$HD51,응답입력!$AH$3:$HD$3,"L12",응답입력!$AH51:$HD51,"&lt;9")/COUNTIFS(응답입력!$AH$3:$HD$3,"L12",응답입력!$AH51:$HD51,"&lt;9"),"")</f>
        <v/>
      </c>
      <c r="N50" s="35" t="str">
        <f aca="false">IF(COUNTIFS(응답입력!$AH$3:$HD$3,"L13",응답입력!$AH51:$HD51,"&lt;9")&gt;=3,SUMIFS(응답입력!$AH51:$HD51,응답입력!$AH$3:$HD$3,"L13",응답입력!$AH51:$HD51,"&lt;9")/COUNTIFS(응답입력!$AH$3:$HD$3,"L13",응답입력!$AH51:$HD51,"&lt;9"),"")</f>
        <v/>
      </c>
      <c r="O50" s="35" t="str">
        <f aca="false">IF(COUNTIFS(응답입력!$AH$3:$HD$3,"L14",응답입력!$AH51:$HD51,"&lt;9")&gt;=3,SUMIFS(응답입력!$AH51:$HD51,응답입력!$AH$3:$HD$3,"L14",응답입력!$AH51:$HD51,"&lt;9")/COUNTIFS(응답입력!$AH$3:$HD$3,"L14",응답입력!$AH51:$HD51,"&lt;9"),"")</f>
        <v/>
      </c>
      <c r="P50" s="35" t="str">
        <f aca="false">IF(COUNTIFS(응답입력!$AH$3:$HD$3,"L15",응답입력!$AH51:$HD51,"&lt;9")&gt;=3,SUMIFS(응답입력!$AH51:$HD51,응답입력!$AH$3:$HD$3,"L15",응답입력!$AH51:$HD51,"&lt;9")/COUNTIFS(응답입력!$AH$3:$HD$3,"L15",응답입력!$AH51:$HD51,"&lt;9"),"")</f>
        <v/>
      </c>
      <c r="Q50" s="35" t="str">
        <f aca="false">IF(COUNTIFS(응답입력!$AH$3:$HD$3,"L16",응답입력!$AH51:$HD51,"&lt;9")&gt;=3,SUMIFS(응답입력!$AH51:$HD51,응답입력!$AH$3:$HD$3,"L16",응답입력!$AH51:$HD51,"&lt;9")/COUNTIFS(응답입력!$AH$3:$HD$3,"L16",응답입력!$AH51:$HD51,"&lt;9"),"")</f>
        <v/>
      </c>
      <c r="R50" s="35" t="str">
        <f aca="false">IF(COUNTIFS(응답입력!$AH$3:$HD$3,"L17",응답입력!$AH51:$HD51,"&lt;9")&gt;=3,SUMIFS(응답입력!$AH51:$HD51,응답입력!$AH$3:$HD$3,"L17",응답입력!$AH51:$HD51,"&lt;9")/COUNTIFS(응답입력!$AH$3:$HD$3,"L17",응답입력!$AH51:$HD51,"&lt;9"),"")</f>
        <v/>
      </c>
      <c r="S50" s="35" t="str">
        <f aca="false">IF(COUNTIFS(응답입력!$AH$3:$HD$3,"L18",응답입력!$AH51:$HD51,"&lt;9")&gt;=3,SUMIFS(응답입력!$AH51:$HD51,응답입력!$AH$3:$HD$3,"L18",응답입력!$AH51:$HD51,"&lt;9")/COUNTIFS(응답입력!$AH$3:$HD$3,"L18",응답입력!$AH51:$HD51,"&lt;9"),"")</f>
        <v/>
      </c>
      <c r="T50" s="35" t="str">
        <f aca="false">IF(COUNTIFS(응답입력!$AH$3:$HD$3,"L19",응답입력!$AH51:$HD51,"&lt;9")&gt;=3,SUMIFS(응답입력!$AH51:$HD51,응답입력!$AH$3:$HD$3,"L19",응답입력!$AH51:$HD51,"&lt;9")/COUNTIFS(응답입력!$AH$3:$HD$3,"L19",응답입력!$AH51:$HD51,"&lt;9"),"")</f>
        <v/>
      </c>
      <c r="U50" s="35" t="str">
        <f aca="false">IF(COUNTIFS(응답입력!$AH$3:$HD$3,"L20",응답입력!$AH51:$HD51,"&lt;9")&gt;=3,SUMIFS(응답입력!$AH51:$HD51,응답입력!$AH$3:$HD$3,"L20",응답입력!$AH51:$HD51,"&lt;9")/COUNTIFS(응답입력!$AH$3:$HD$3,"L20",응답입력!$AH51:$HD51,"&lt;9"),"")</f>
        <v/>
      </c>
      <c r="V50" s="35" t="str">
        <f aca="false">IF(COUNTIFS(응답입력!$AH$3:$HD$3,"L21",응답입력!$AH51:$HD51,"&lt;9")&gt;=3,SUMIFS(응답입력!$AH51:$HD51,응답입력!$AH$3:$HD$3,"L21",응답입력!$AH51:$HD51,"&lt;9")/COUNTIFS(응답입력!$AH$3:$HD$3,"L21",응답입력!$AH51:$HD51,"&lt;9"),"")</f>
        <v/>
      </c>
      <c r="W50" s="35" t="str">
        <f aca="false">IF(COUNTIFS(응답입력!$AH$3:$HD$3,"L22",응답입력!$AH51:$HD51,"&lt;9")&gt;=3,SUMIFS(응답입력!$AH51:$HD51,응답입력!$AH$3:$HD$3,"L22",응답입력!$AH51:$HD51,"&lt;9")/COUNTIFS(응답입력!$AH$3:$HD$3,"L22",응답입력!$AH51:$HD51,"&lt;9"),"")</f>
        <v/>
      </c>
      <c r="X50" s="35" t="str">
        <f aca="false">IF(COUNTIFS(응답입력!$AH$3:$HD$3,"L23",응답입력!$AH51:$HD51,"&lt;9")&gt;=3,SUMIFS(응답입력!$AH51:$HD51,응답입력!$AH$3:$HD$3,"L23",응답입력!$AH51:$HD51,"&lt;9")/COUNTIFS(응답입력!$AH$3:$HD$3,"L23",응답입력!$AH51:$HD51,"&lt;9"),"")</f>
        <v/>
      </c>
      <c r="Y50" s="35" t="str">
        <f aca="false">IF(COUNTIFS(응답입력!$AH$3:$HD$3,"L24",응답입력!$AH51:$HD51,"&lt;9")&gt;=3,SUMIFS(응답입력!$AH51:$HD51,응답입력!$AH$3:$HD$3,"L24",응답입력!$AH51:$HD51,"&lt;9")/COUNTIFS(응답입력!$AH$3:$HD$3,"L24",응답입력!$AH51:$HD51,"&lt;9"),"")</f>
        <v/>
      </c>
      <c r="Z50" s="35" t="str">
        <f aca="false">IF(COUNTIFS(응답입력!$AH$3:$HD$3,"L25",응답입력!$AH51:$HD51,"&lt;9")&gt;=3,SUMIFS(응답입력!$AH51:$HD51,응답입력!$AH$3:$HD$3,"L25",응답입력!$AH51:$HD51,"&lt;9")/COUNTIFS(응답입력!$AH$3:$HD$3,"L25",응답입력!$AH51:$HD51,"&lt;9"),"")</f>
        <v/>
      </c>
      <c r="AA50" s="35" t="str">
        <f aca="false">IF(COUNTIFS(응답입력!$AH$3:$HD$3,"L26",응답입력!$AH51:$HD51,"&lt;9")&gt;=3,SUMIFS(응답입력!$AH51:$HD51,응답입력!$AH$3:$HD$3,"L26",응답입력!$AH51:$HD51,"&lt;9")/COUNTIFS(응답입력!$AH$3:$HD$3,"L26",응답입력!$AH51:$HD51,"&lt;9"),"")</f>
        <v/>
      </c>
      <c r="AB50" s="35" t="str">
        <f aca="false">IF(COUNTIFS(응답입력!$AH$3:$HD$3,"L27",응답입력!$AH51:$HD51,"&lt;9")&gt;=3,SUMIFS(응답입력!$AH51:$HD51,응답입력!$AH$3:$HD$3,"L27",응답입력!$AH51:$HD51,"&lt;9")/COUNTIFS(응답입력!$AH$3:$HD$3,"L27",응답입력!$AH51:$HD51,"&lt;9"),"")</f>
        <v/>
      </c>
      <c r="AC50" s="35" t="str">
        <f aca="false">IF(COUNTIFS(응답입력!$AH$3:$HD$3,"L28",응답입력!$AH51:$HD51,"&lt;9")&gt;=3,SUMIFS(응답입력!$AH51:$HD51,응답입력!$AH$3:$HD$3,"L28",응답입력!$AH51:$HD51,"&lt;9")/COUNTIFS(응답입력!$AH$3:$HD$3,"L28",응답입력!$AH51:$HD51,"&lt;9"),"")</f>
        <v/>
      </c>
      <c r="AD50" s="35" t="str">
        <f aca="false">IF(COUNTIFS(응답입력!$AH$3:$HD$3,"L29",응답입력!$AH51:$HD51,"&lt;9")&gt;=3,SUMIFS(응답입력!$AH51:$HD51,응답입력!$AH$3:$HD$3,"L29",응답입력!$AH51:$HD51,"&lt;9")/COUNTIFS(응답입력!$AH$3:$HD$3,"L29",응답입력!$AH51:$HD51,"&lt;9"),"")</f>
        <v/>
      </c>
      <c r="AE50" s="35" t="str">
        <f aca="false">IF(COUNTIFS(응답입력!$AH$3:$HD$3,"L30",응답입력!$AH51:$HD51,"&lt;9")&gt;=3,SUMIFS(응답입력!$AH51:$HD51,응답입력!$AH$3:$HD$3,"L30",응답입력!$AH51:$HD51,"&lt;9")/COUNTIFS(응답입력!$AH$3:$HD$3,"L30",응답입력!$AH51:$HD51,"&lt;9"),"")</f>
        <v/>
      </c>
      <c r="AF50" s="35" t="str">
        <f aca="false">IF(COUNTIFS(응답입력!$AH$3:$HD$3,"L31",응답입력!$AH51:$HD51,"&lt;9")&gt;=3,SUMIFS(응답입력!$AH51:$HD51,응답입력!$AH$3:$HD$3,"L31",응답입력!$AH51:$HD51,"&lt;9")/COUNTIFS(응답입력!$AH$3:$HD$3,"L31",응답입력!$AH51:$HD51,"&lt;9"),"")</f>
        <v/>
      </c>
      <c r="AG50" s="41" t="str">
        <f aca="false">IFERROR(AVERAGE(B50:AF50),"")</f>
        <v/>
      </c>
    </row>
    <row r="51" customFormat="false" ht="15" hidden="false" customHeight="false" outlineLevel="0" collapsed="false">
      <c r="A51" s="27" t="str">
        <f aca="false">IF(응답입력!A52="","",응답입력!A52)</f>
        <v/>
      </c>
      <c r="B51" s="35" t="str">
        <f aca="false">IF(COUNTIFS(응답입력!$AH$3:$HD$3,"L01",응답입력!$AH52:$HD52,"&lt;9")&gt;=3,SUMIFS(응답입력!$AH52:$HD52,응답입력!$AH$3:$HD$3,"L01",응답입력!$AH52:$HD52,"&lt;9")/COUNTIFS(응답입력!$AH$3:$HD$3,"L01",응답입력!$AH52:$HD52,"&lt;9"),"")</f>
        <v/>
      </c>
      <c r="C51" s="35" t="str">
        <f aca="false">IF(COUNTIFS(응답입력!$AH$3:$HD$3,"L02",응답입력!$AH52:$HD52,"&lt;9")&gt;=3,SUMIFS(응답입력!$AH52:$HD52,응답입력!$AH$3:$HD$3,"L02",응답입력!$AH52:$HD52,"&lt;9")/COUNTIFS(응답입력!$AH$3:$HD$3,"L02",응답입력!$AH52:$HD52,"&lt;9"),"")</f>
        <v/>
      </c>
      <c r="D51" s="35" t="str">
        <f aca="false">IF(COUNTIFS(응답입력!$AH$3:$HD$3,"L03",응답입력!$AH52:$HD52,"&lt;9")&gt;=3,SUMIFS(응답입력!$AH52:$HD52,응답입력!$AH$3:$HD$3,"L03",응답입력!$AH52:$HD52,"&lt;9")/COUNTIFS(응답입력!$AH$3:$HD$3,"L03",응답입력!$AH52:$HD52,"&lt;9"),"")</f>
        <v/>
      </c>
      <c r="E51" s="35" t="str">
        <f aca="false">IF(COUNTIFS(응답입력!$AH$3:$HD$3,"L04",응답입력!$AH52:$HD52,"&lt;9")&gt;=3,SUMIFS(응답입력!$AH52:$HD52,응답입력!$AH$3:$HD$3,"L04",응답입력!$AH52:$HD52,"&lt;9")/COUNTIFS(응답입력!$AH$3:$HD$3,"L04",응답입력!$AH52:$HD52,"&lt;9"),"")</f>
        <v/>
      </c>
      <c r="F51" s="35" t="str">
        <f aca="false">IF(COUNTIFS(응답입력!$AH$3:$HD$3,"L05",응답입력!$AH52:$HD52,"&lt;9")&gt;=3,SUMIFS(응답입력!$AH52:$HD52,응답입력!$AH$3:$HD$3,"L05",응답입력!$AH52:$HD52,"&lt;9")/COUNTIFS(응답입력!$AH$3:$HD$3,"L05",응답입력!$AH52:$HD52,"&lt;9"),"")</f>
        <v/>
      </c>
      <c r="G51" s="35" t="str">
        <f aca="false">IF(COUNTIFS(응답입력!$AH$3:$HD$3,"L06",응답입력!$AH52:$HD52,"&lt;9")&gt;=3,SUMIFS(응답입력!$AH52:$HD52,응답입력!$AH$3:$HD$3,"L06",응답입력!$AH52:$HD52,"&lt;9")/COUNTIFS(응답입력!$AH$3:$HD$3,"L06",응답입력!$AH52:$HD52,"&lt;9"),"")</f>
        <v/>
      </c>
      <c r="H51" s="35" t="str">
        <f aca="false">IF(COUNTIFS(응답입력!$AH$3:$HD$3,"L07",응답입력!$AH52:$HD52,"&lt;9")&gt;=3,SUMIFS(응답입력!$AH52:$HD52,응답입력!$AH$3:$HD$3,"L07",응답입력!$AH52:$HD52,"&lt;9")/COUNTIFS(응답입력!$AH$3:$HD$3,"L07",응답입력!$AH52:$HD52,"&lt;9"),"")</f>
        <v/>
      </c>
      <c r="I51" s="35" t="str">
        <f aca="false">IF(COUNTIFS(응답입력!$AH$3:$HD$3,"L08",응답입력!$AH52:$HD52,"&lt;9")&gt;=3,SUMIFS(응답입력!$AH52:$HD52,응답입력!$AH$3:$HD$3,"L08",응답입력!$AH52:$HD52,"&lt;9")/COUNTIFS(응답입력!$AH$3:$HD$3,"L08",응답입력!$AH52:$HD52,"&lt;9"),"")</f>
        <v/>
      </c>
      <c r="J51" s="35" t="str">
        <f aca="false">IF(COUNTIFS(응답입력!$AH$3:$HD$3,"L09",응답입력!$AH52:$HD52,"&lt;9")&gt;=3,SUMIFS(응답입력!$AH52:$HD52,응답입력!$AH$3:$HD$3,"L09",응답입력!$AH52:$HD52,"&lt;9")/COUNTIFS(응답입력!$AH$3:$HD$3,"L09",응답입력!$AH52:$HD52,"&lt;9"),"")</f>
        <v/>
      </c>
      <c r="K51" s="35" t="str">
        <f aca="false">IF(COUNTIFS(응답입력!$AH$3:$HD$3,"L10",응답입력!$AH52:$HD52,"&lt;9")&gt;=3,SUMIFS(응답입력!$AH52:$HD52,응답입력!$AH$3:$HD$3,"L10",응답입력!$AH52:$HD52,"&lt;9")/COUNTIFS(응답입력!$AH$3:$HD$3,"L10",응답입력!$AH52:$HD52,"&lt;9"),"")</f>
        <v/>
      </c>
      <c r="L51" s="35" t="str">
        <f aca="false">IF(COUNTIFS(응답입력!$AH$3:$HD$3,"L11",응답입력!$AH52:$HD52,"&lt;9")&gt;=3,SUMIFS(응답입력!$AH52:$HD52,응답입력!$AH$3:$HD$3,"L11",응답입력!$AH52:$HD52,"&lt;9")/COUNTIFS(응답입력!$AH$3:$HD$3,"L11",응답입력!$AH52:$HD52,"&lt;9"),"")</f>
        <v/>
      </c>
      <c r="M51" s="35" t="str">
        <f aca="false">IF(COUNTIFS(응답입력!$AH$3:$HD$3,"L12",응답입력!$AH52:$HD52,"&lt;9")&gt;=3,SUMIFS(응답입력!$AH52:$HD52,응답입력!$AH$3:$HD$3,"L12",응답입력!$AH52:$HD52,"&lt;9")/COUNTIFS(응답입력!$AH$3:$HD$3,"L12",응답입력!$AH52:$HD52,"&lt;9"),"")</f>
        <v/>
      </c>
      <c r="N51" s="35" t="str">
        <f aca="false">IF(COUNTIFS(응답입력!$AH$3:$HD$3,"L13",응답입력!$AH52:$HD52,"&lt;9")&gt;=3,SUMIFS(응답입력!$AH52:$HD52,응답입력!$AH$3:$HD$3,"L13",응답입력!$AH52:$HD52,"&lt;9")/COUNTIFS(응답입력!$AH$3:$HD$3,"L13",응답입력!$AH52:$HD52,"&lt;9"),"")</f>
        <v/>
      </c>
      <c r="O51" s="35" t="str">
        <f aca="false">IF(COUNTIFS(응답입력!$AH$3:$HD$3,"L14",응답입력!$AH52:$HD52,"&lt;9")&gt;=3,SUMIFS(응답입력!$AH52:$HD52,응답입력!$AH$3:$HD$3,"L14",응답입력!$AH52:$HD52,"&lt;9")/COUNTIFS(응답입력!$AH$3:$HD$3,"L14",응답입력!$AH52:$HD52,"&lt;9"),"")</f>
        <v/>
      </c>
      <c r="P51" s="35" t="str">
        <f aca="false">IF(COUNTIFS(응답입력!$AH$3:$HD$3,"L15",응답입력!$AH52:$HD52,"&lt;9")&gt;=3,SUMIFS(응답입력!$AH52:$HD52,응답입력!$AH$3:$HD$3,"L15",응답입력!$AH52:$HD52,"&lt;9")/COUNTIFS(응답입력!$AH$3:$HD$3,"L15",응답입력!$AH52:$HD52,"&lt;9"),"")</f>
        <v/>
      </c>
      <c r="Q51" s="35" t="str">
        <f aca="false">IF(COUNTIFS(응답입력!$AH$3:$HD$3,"L16",응답입력!$AH52:$HD52,"&lt;9")&gt;=3,SUMIFS(응답입력!$AH52:$HD52,응답입력!$AH$3:$HD$3,"L16",응답입력!$AH52:$HD52,"&lt;9")/COUNTIFS(응답입력!$AH$3:$HD$3,"L16",응답입력!$AH52:$HD52,"&lt;9"),"")</f>
        <v/>
      </c>
      <c r="R51" s="35" t="str">
        <f aca="false">IF(COUNTIFS(응답입력!$AH$3:$HD$3,"L17",응답입력!$AH52:$HD52,"&lt;9")&gt;=3,SUMIFS(응답입력!$AH52:$HD52,응답입력!$AH$3:$HD$3,"L17",응답입력!$AH52:$HD52,"&lt;9")/COUNTIFS(응답입력!$AH$3:$HD$3,"L17",응답입력!$AH52:$HD52,"&lt;9"),"")</f>
        <v/>
      </c>
      <c r="S51" s="35" t="str">
        <f aca="false">IF(COUNTIFS(응답입력!$AH$3:$HD$3,"L18",응답입력!$AH52:$HD52,"&lt;9")&gt;=3,SUMIFS(응답입력!$AH52:$HD52,응답입력!$AH$3:$HD$3,"L18",응답입력!$AH52:$HD52,"&lt;9")/COUNTIFS(응답입력!$AH$3:$HD$3,"L18",응답입력!$AH52:$HD52,"&lt;9"),"")</f>
        <v/>
      </c>
      <c r="T51" s="35" t="str">
        <f aca="false">IF(COUNTIFS(응답입력!$AH$3:$HD$3,"L19",응답입력!$AH52:$HD52,"&lt;9")&gt;=3,SUMIFS(응답입력!$AH52:$HD52,응답입력!$AH$3:$HD$3,"L19",응답입력!$AH52:$HD52,"&lt;9")/COUNTIFS(응답입력!$AH$3:$HD$3,"L19",응답입력!$AH52:$HD52,"&lt;9"),"")</f>
        <v/>
      </c>
      <c r="U51" s="35" t="str">
        <f aca="false">IF(COUNTIFS(응답입력!$AH$3:$HD$3,"L20",응답입력!$AH52:$HD52,"&lt;9")&gt;=3,SUMIFS(응답입력!$AH52:$HD52,응답입력!$AH$3:$HD$3,"L20",응답입력!$AH52:$HD52,"&lt;9")/COUNTIFS(응답입력!$AH$3:$HD$3,"L20",응답입력!$AH52:$HD52,"&lt;9"),"")</f>
        <v/>
      </c>
      <c r="V51" s="35" t="str">
        <f aca="false">IF(COUNTIFS(응답입력!$AH$3:$HD$3,"L21",응답입력!$AH52:$HD52,"&lt;9")&gt;=3,SUMIFS(응답입력!$AH52:$HD52,응답입력!$AH$3:$HD$3,"L21",응답입력!$AH52:$HD52,"&lt;9")/COUNTIFS(응답입력!$AH$3:$HD$3,"L21",응답입력!$AH52:$HD52,"&lt;9"),"")</f>
        <v/>
      </c>
      <c r="W51" s="35" t="str">
        <f aca="false">IF(COUNTIFS(응답입력!$AH$3:$HD$3,"L22",응답입력!$AH52:$HD52,"&lt;9")&gt;=3,SUMIFS(응답입력!$AH52:$HD52,응답입력!$AH$3:$HD$3,"L22",응답입력!$AH52:$HD52,"&lt;9")/COUNTIFS(응답입력!$AH$3:$HD$3,"L22",응답입력!$AH52:$HD52,"&lt;9"),"")</f>
        <v/>
      </c>
      <c r="X51" s="35" t="str">
        <f aca="false">IF(COUNTIFS(응답입력!$AH$3:$HD$3,"L23",응답입력!$AH52:$HD52,"&lt;9")&gt;=3,SUMIFS(응답입력!$AH52:$HD52,응답입력!$AH$3:$HD$3,"L23",응답입력!$AH52:$HD52,"&lt;9")/COUNTIFS(응답입력!$AH$3:$HD$3,"L23",응답입력!$AH52:$HD52,"&lt;9"),"")</f>
        <v/>
      </c>
      <c r="Y51" s="35" t="str">
        <f aca="false">IF(COUNTIFS(응답입력!$AH$3:$HD$3,"L24",응답입력!$AH52:$HD52,"&lt;9")&gt;=3,SUMIFS(응답입력!$AH52:$HD52,응답입력!$AH$3:$HD$3,"L24",응답입력!$AH52:$HD52,"&lt;9")/COUNTIFS(응답입력!$AH$3:$HD$3,"L24",응답입력!$AH52:$HD52,"&lt;9"),"")</f>
        <v/>
      </c>
      <c r="Z51" s="35" t="str">
        <f aca="false">IF(COUNTIFS(응답입력!$AH$3:$HD$3,"L25",응답입력!$AH52:$HD52,"&lt;9")&gt;=3,SUMIFS(응답입력!$AH52:$HD52,응답입력!$AH$3:$HD$3,"L25",응답입력!$AH52:$HD52,"&lt;9")/COUNTIFS(응답입력!$AH$3:$HD$3,"L25",응답입력!$AH52:$HD52,"&lt;9"),"")</f>
        <v/>
      </c>
      <c r="AA51" s="35" t="str">
        <f aca="false">IF(COUNTIFS(응답입력!$AH$3:$HD$3,"L26",응답입력!$AH52:$HD52,"&lt;9")&gt;=3,SUMIFS(응답입력!$AH52:$HD52,응답입력!$AH$3:$HD$3,"L26",응답입력!$AH52:$HD52,"&lt;9")/COUNTIFS(응답입력!$AH$3:$HD$3,"L26",응답입력!$AH52:$HD52,"&lt;9"),"")</f>
        <v/>
      </c>
      <c r="AB51" s="35" t="str">
        <f aca="false">IF(COUNTIFS(응답입력!$AH$3:$HD$3,"L27",응답입력!$AH52:$HD52,"&lt;9")&gt;=3,SUMIFS(응답입력!$AH52:$HD52,응답입력!$AH$3:$HD$3,"L27",응답입력!$AH52:$HD52,"&lt;9")/COUNTIFS(응답입력!$AH$3:$HD$3,"L27",응답입력!$AH52:$HD52,"&lt;9"),"")</f>
        <v/>
      </c>
      <c r="AC51" s="35" t="str">
        <f aca="false">IF(COUNTIFS(응답입력!$AH$3:$HD$3,"L28",응답입력!$AH52:$HD52,"&lt;9")&gt;=3,SUMIFS(응답입력!$AH52:$HD52,응답입력!$AH$3:$HD$3,"L28",응답입력!$AH52:$HD52,"&lt;9")/COUNTIFS(응답입력!$AH$3:$HD$3,"L28",응답입력!$AH52:$HD52,"&lt;9"),"")</f>
        <v/>
      </c>
      <c r="AD51" s="35" t="str">
        <f aca="false">IF(COUNTIFS(응답입력!$AH$3:$HD$3,"L29",응답입력!$AH52:$HD52,"&lt;9")&gt;=3,SUMIFS(응답입력!$AH52:$HD52,응답입력!$AH$3:$HD$3,"L29",응답입력!$AH52:$HD52,"&lt;9")/COUNTIFS(응답입력!$AH$3:$HD$3,"L29",응답입력!$AH52:$HD52,"&lt;9"),"")</f>
        <v/>
      </c>
      <c r="AE51" s="35" t="str">
        <f aca="false">IF(COUNTIFS(응답입력!$AH$3:$HD$3,"L30",응답입력!$AH52:$HD52,"&lt;9")&gt;=3,SUMIFS(응답입력!$AH52:$HD52,응답입력!$AH$3:$HD$3,"L30",응답입력!$AH52:$HD52,"&lt;9")/COUNTIFS(응답입력!$AH$3:$HD$3,"L30",응답입력!$AH52:$HD52,"&lt;9"),"")</f>
        <v/>
      </c>
      <c r="AF51" s="35" t="str">
        <f aca="false">IF(COUNTIFS(응답입력!$AH$3:$HD$3,"L31",응답입력!$AH52:$HD52,"&lt;9")&gt;=3,SUMIFS(응답입력!$AH52:$HD52,응답입력!$AH$3:$HD$3,"L31",응답입력!$AH52:$HD52,"&lt;9")/COUNTIFS(응답입력!$AH$3:$HD$3,"L31",응답입력!$AH52:$HD52,"&lt;9"),"")</f>
        <v/>
      </c>
      <c r="AG51" s="41" t="str">
        <f aca="false">IFERROR(AVERAGE(B51:AF51),"")</f>
        <v/>
      </c>
    </row>
    <row r="52" customFormat="false" ht="15" hidden="false" customHeight="false" outlineLevel="0" collapsed="false">
      <c r="A52" s="27" t="str">
        <f aca="false">IF(응답입력!A53="","",응답입력!A53)</f>
        <v/>
      </c>
      <c r="B52" s="35" t="str">
        <f aca="false">IF(COUNTIFS(응답입력!$AH$3:$HD$3,"L01",응답입력!$AH53:$HD53,"&lt;9")&gt;=3,SUMIFS(응답입력!$AH53:$HD53,응답입력!$AH$3:$HD$3,"L01",응답입력!$AH53:$HD53,"&lt;9")/COUNTIFS(응답입력!$AH$3:$HD$3,"L01",응답입력!$AH53:$HD53,"&lt;9"),"")</f>
        <v/>
      </c>
      <c r="C52" s="35" t="str">
        <f aca="false">IF(COUNTIFS(응답입력!$AH$3:$HD$3,"L02",응답입력!$AH53:$HD53,"&lt;9")&gt;=3,SUMIFS(응답입력!$AH53:$HD53,응답입력!$AH$3:$HD$3,"L02",응답입력!$AH53:$HD53,"&lt;9")/COUNTIFS(응답입력!$AH$3:$HD$3,"L02",응답입력!$AH53:$HD53,"&lt;9"),"")</f>
        <v/>
      </c>
      <c r="D52" s="35" t="str">
        <f aca="false">IF(COUNTIFS(응답입력!$AH$3:$HD$3,"L03",응답입력!$AH53:$HD53,"&lt;9")&gt;=3,SUMIFS(응답입력!$AH53:$HD53,응답입력!$AH$3:$HD$3,"L03",응답입력!$AH53:$HD53,"&lt;9")/COUNTIFS(응답입력!$AH$3:$HD$3,"L03",응답입력!$AH53:$HD53,"&lt;9"),"")</f>
        <v/>
      </c>
      <c r="E52" s="35" t="str">
        <f aca="false">IF(COUNTIFS(응답입력!$AH$3:$HD$3,"L04",응답입력!$AH53:$HD53,"&lt;9")&gt;=3,SUMIFS(응답입력!$AH53:$HD53,응답입력!$AH$3:$HD$3,"L04",응답입력!$AH53:$HD53,"&lt;9")/COUNTIFS(응답입력!$AH$3:$HD$3,"L04",응답입력!$AH53:$HD53,"&lt;9"),"")</f>
        <v/>
      </c>
      <c r="F52" s="35" t="str">
        <f aca="false">IF(COUNTIFS(응답입력!$AH$3:$HD$3,"L05",응답입력!$AH53:$HD53,"&lt;9")&gt;=3,SUMIFS(응답입력!$AH53:$HD53,응답입력!$AH$3:$HD$3,"L05",응답입력!$AH53:$HD53,"&lt;9")/COUNTIFS(응답입력!$AH$3:$HD$3,"L05",응답입력!$AH53:$HD53,"&lt;9"),"")</f>
        <v/>
      </c>
      <c r="G52" s="35" t="str">
        <f aca="false">IF(COUNTIFS(응답입력!$AH$3:$HD$3,"L06",응답입력!$AH53:$HD53,"&lt;9")&gt;=3,SUMIFS(응답입력!$AH53:$HD53,응답입력!$AH$3:$HD$3,"L06",응답입력!$AH53:$HD53,"&lt;9")/COUNTIFS(응답입력!$AH$3:$HD$3,"L06",응답입력!$AH53:$HD53,"&lt;9"),"")</f>
        <v/>
      </c>
      <c r="H52" s="35" t="str">
        <f aca="false">IF(COUNTIFS(응답입력!$AH$3:$HD$3,"L07",응답입력!$AH53:$HD53,"&lt;9")&gt;=3,SUMIFS(응답입력!$AH53:$HD53,응답입력!$AH$3:$HD$3,"L07",응답입력!$AH53:$HD53,"&lt;9")/COUNTIFS(응답입력!$AH$3:$HD$3,"L07",응답입력!$AH53:$HD53,"&lt;9"),"")</f>
        <v/>
      </c>
      <c r="I52" s="35" t="str">
        <f aca="false">IF(COUNTIFS(응답입력!$AH$3:$HD$3,"L08",응답입력!$AH53:$HD53,"&lt;9")&gt;=3,SUMIFS(응답입력!$AH53:$HD53,응답입력!$AH$3:$HD$3,"L08",응답입력!$AH53:$HD53,"&lt;9")/COUNTIFS(응답입력!$AH$3:$HD$3,"L08",응답입력!$AH53:$HD53,"&lt;9"),"")</f>
        <v/>
      </c>
      <c r="J52" s="35" t="str">
        <f aca="false">IF(COUNTIFS(응답입력!$AH$3:$HD$3,"L09",응답입력!$AH53:$HD53,"&lt;9")&gt;=3,SUMIFS(응답입력!$AH53:$HD53,응답입력!$AH$3:$HD$3,"L09",응답입력!$AH53:$HD53,"&lt;9")/COUNTIFS(응답입력!$AH$3:$HD$3,"L09",응답입력!$AH53:$HD53,"&lt;9"),"")</f>
        <v/>
      </c>
      <c r="K52" s="35" t="str">
        <f aca="false">IF(COUNTIFS(응답입력!$AH$3:$HD$3,"L10",응답입력!$AH53:$HD53,"&lt;9")&gt;=3,SUMIFS(응답입력!$AH53:$HD53,응답입력!$AH$3:$HD$3,"L10",응답입력!$AH53:$HD53,"&lt;9")/COUNTIFS(응답입력!$AH$3:$HD$3,"L10",응답입력!$AH53:$HD53,"&lt;9"),"")</f>
        <v/>
      </c>
      <c r="L52" s="35" t="str">
        <f aca="false">IF(COUNTIFS(응답입력!$AH$3:$HD$3,"L11",응답입력!$AH53:$HD53,"&lt;9")&gt;=3,SUMIFS(응답입력!$AH53:$HD53,응답입력!$AH$3:$HD$3,"L11",응답입력!$AH53:$HD53,"&lt;9")/COUNTIFS(응답입력!$AH$3:$HD$3,"L11",응답입력!$AH53:$HD53,"&lt;9"),"")</f>
        <v/>
      </c>
      <c r="M52" s="35" t="str">
        <f aca="false">IF(COUNTIFS(응답입력!$AH$3:$HD$3,"L12",응답입력!$AH53:$HD53,"&lt;9")&gt;=3,SUMIFS(응답입력!$AH53:$HD53,응답입력!$AH$3:$HD$3,"L12",응답입력!$AH53:$HD53,"&lt;9")/COUNTIFS(응답입력!$AH$3:$HD$3,"L12",응답입력!$AH53:$HD53,"&lt;9"),"")</f>
        <v/>
      </c>
      <c r="N52" s="35" t="str">
        <f aca="false">IF(COUNTIFS(응답입력!$AH$3:$HD$3,"L13",응답입력!$AH53:$HD53,"&lt;9")&gt;=3,SUMIFS(응답입력!$AH53:$HD53,응답입력!$AH$3:$HD$3,"L13",응답입력!$AH53:$HD53,"&lt;9")/COUNTIFS(응답입력!$AH$3:$HD$3,"L13",응답입력!$AH53:$HD53,"&lt;9"),"")</f>
        <v/>
      </c>
      <c r="O52" s="35" t="str">
        <f aca="false">IF(COUNTIFS(응답입력!$AH$3:$HD$3,"L14",응답입력!$AH53:$HD53,"&lt;9")&gt;=3,SUMIFS(응답입력!$AH53:$HD53,응답입력!$AH$3:$HD$3,"L14",응답입력!$AH53:$HD53,"&lt;9")/COUNTIFS(응답입력!$AH$3:$HD$3,"L14",응답입력!$AH53:$HD53,"&lt;9"),"")</f>
        <v/>
      </c>
      <c r="P52" s="35" t="str">
        <f aca="false">IF(COUNTIFS(응답입력!$AH$3:$HD$3,"L15",응답입력!$AH53:$HD53,"&lt;9")&gt;=3,SUMIFS(응답입력!$AH53:$HD53,응답입력!$AH$3:$HD$3,"L15",응답입력!$AH53:$HD53,"&lt;9")/COUNTIFS(응답입력!$AH$3:$HD$3,"L15",응답입력!$AH53:$HD53,"&lt;9"),"")</f>
        <v/>
      </c>
      <c r="Q52" s="35" t="str">
        <f aca="false">IF(COUNTIFS(응답입력!$AH$3:$HD$3,"L16",응답입력!$AH53:$HD53,"&lt;9")&gt;=3,SUMIFS(응답입력!$AH53:$HD53,응답입력!$AH$3:$HD$3,"L16",응답입력!$AH53:$HD53,"&lt;9")/COUNTIFS(응답입력!$AH$3:$HD$3,"L16",응답입력!$AH53:$HD53,"&lt;9"),"")</f>
        <v/>
      </c>
      <c r="R52" s="35" t="str">
        <f aca="false">IF(COUNTIFS(응답입력!$AH$3:$HD$3,"L17",응답입력!$AH53:$HD53,"&lt;9")&gt;=3,SUMIFS(응답입력!$AH53:$HD53,응답입력!$AH$3:$HD$3,"L17",응답입력!$AH53:$HD53,"&lt;9")/COUNTIFS(응답입력!$AH$3:$HD$3,"L17",응답입력!$AH53:$HD53,"&lt;9"),"")</f>
        <v/>
      </c>
      <c r="S52" s="35" t="str">
        <f aca="false">IF(COUNTIFS(응답입력!$AH$3:$HD$3,"L18",응답입력!$AH53:$HD53,"&lt;9")&gt;=3,SUMIFS(응답입력!$AH53:$HD53,응답입력!$AH$3:$HD$3,"L18",응답입력!$AH53:$HD53,"&lt;9")/COUNTIFS(응답입력!$AH$3:$HD$3,"L18",응답입력!$AH53:$HD53,"&lt;9"),"")</f>
        <v/>
      </c>
      <c r="T52" s="35" t="str">
        <f aca="false">IF(COUNTIFS(응답입력!$AH$3:$HD$3,"L19",응답입력!$AH53:$HD53,"&lt;9")&gt;=3,SUMIFS(응답입력!$AH53:$HD53,응답입력!$AH$3:$HD$3,"L19",응답입력!$AH53:$HD53,"&lt;9")/COUNTIFS(응답입력!$AH$3:$HD$3,"L19",응답입력!$AH53:$HD53,"&lt;9"),"")</f>
        <v/>
      </c>
      <c r="U52" s="35" t="str">
        <f aca="false">IF(COUNTIFS(응답입력!$AH$3:$HD$3,"L20",응답입력!$AH53:$HD53,"&lt;9")&gt;=3,SUMIFS(응답입력!$AH53:$HD53,응답입력!$AH$3:$HD$3,"L20",응답입력!$AH53:$HD53,"&lt;9")/COUNTIFS(응답입력!$AH$3:$HD$3,"L20",응답입력!$AH53:$HD53,"&lt;9"),"")</f>
        <v/>
      </c>
      <c r="V52" s="35" t="str">
        <f aca="false">IF(COUNTIFS(응답입력!$AH$3:$HD$3,"L21",응답입력!$AH53:$HD53,"&lt;9")&gt;=3,SUMIFS(응답입력!$AH53:$HD53,응답입력!$AH$3:$HD$3,"L21",응답입력!$AH53:$HD53,"&lt;9")/COUNTIFS(응답입력!$AH$3:$HD$3,"L21",응답입력!$AH53:$HD53,"&lt;9"),"")</f>
        <v/>
      </c>
      <c r="W52" s="35" t="str">
        <f aca="false">IF(COUNTIFS(응답입력!$AH$3:$HD$3,"L22",응답입력!$AH53:$HD53,"&lt;9")&gt;=3,SUMIFS(응답입력!$AH53:$HD53,응답입력!$AH$3:$HD$3,"L22",응답입력!$AH53:$HD53,"&lt;9")/COUNTIFS(응답입력!$AH$3:$HD$3,"L22",응답입력!$AH53:$HD53,"&lt;9"),"")</f>
        <v/>
      </c>
      <c r="X52" s="35" t="str">
        <f aca="false">IF(COUNTIFS(응답입력!$AH$3:$HD$3,"L23",응답입력!$AH53:$HD53,"&lt;9")&gt;=3,SUMIFS(응답입력!$AH53:$HD53,응답입력!$AH$3:$HD$3,"L23",응답입력!$AH53:$HD53,"&lt;9")/COUNTIFS(응답입력!$AH$3:$HD$3,"L23",응답입력!$AH53:$HD53,"&lt;9"),"")</f>
        <v/>
      </c>
      <c r="Y52" s="35" t="str">
        <f aca="false">IF(COUNTIFS(응답입력!$AH$3:$HD$3,"L24",응답입력!$AH53:$HD53,"&lt;9")&gt;=3,SUMIFS(응답입력!$AH53:$HD53,응답입력!$AH$3:$HD$3,"L24",응답입력!$AH53:$HD53,"&lt;9")/COUNTIFS(응답입력!$AH$3:$HD$3,"L24",응답입력!$AH53:$HD53,"&lt;9"),"")</f>
        <v/>
      </c>
      <c r="Z52" s="35" t="str">
        <f aca="false">IF(COUNTIFS(응답입력!$AH$3:$HD$3,"L25",응답입력!$AH53:$HD53,"&lt;9")&gt;=3,SUMIFS(응답입력!$AH53:$HD53,응답입력!$AH$3:$HD$3,"L25",응답입력!$AH53:$HD53,"&lt;9")/COUNTIFS(응답입력!$AH$3:$HD$3,"L25",응답입력!$AH53:$HD53,"&lt;9"),"")</f>
        <v/>
      </c>
      <c r="AA52" s="35" t="str">
        <f aca="false">IF(COUNTIFS(응답입력!$AH$3:$HD$3,"L26",응답입력!$AH53:$HD53,"&lt;9")&gt;=3,SUMIFS(응답입력!$AH53:$HD53,응답입력!$AH$3:$HD$3,"L26",응답입력!$AH53:$HD53,"&lt;9")/COUNTIFS(응답입력!$AH$3:$HD$3,"L26",응답입력!$AH53:$HD53,"&lt;9"),"")</f>
        <v/>
      </c>
      <c r="AB52" s="35" t="str">
        <f aca="false">IF(COUNTIFS(응답입력!$AH$3:$HD$3,"L27",응답입력!$AH53:$HD53,"&lt;9")&gt;=3,SUMIFS(응답입력!$AH53:$HD53,응답입력!$AH$3:$HD$3,"L27",응답입력!$AH53:$HD53,"&lt;9")/COUNTIFS(응답입력!$AH$3:$HD$3,"L27",응답입력!$AH53:$HD53,"&lt;9"),"")</f>
        <v/>
      </c>
      <c r="AC52" s="35" t="str">
        <f aca="false">IF(COUNTIFS(응답입력!$AH$3:$HD$3,"L28",응답입력!$AH53:$HD53,"&lt;9")&gt;=3,SUMIFS(응답입력!$AH53:$HD53,응답입력!$AH$3:$HD$3,"L28",응답입력!$AH53:$HD53,"&lt;9")/COUNTIFS(응답입력!$AH$3:$HD$3,"L28",응답입력!$AH53:$HD53,"&lt;9"),"")</f>
        <v/>
      </c>
      <c r="AD52" s="35" t="str">
        <f aca="false">IF(COUNTIFS(응답입력!$AH$3:$HD$3,"L29",응답입력!$AH53:$HD53,"&lt;9")&gt;=3,SUMIFS(응답입력!$AH53:$HD53,응답입력!$AH$3:$HD$3,"L29",응답입력!$AH53:$HD53,"&lt;9")/COUNTIFS(응답입력!$AH$3:$HD$3,"L29",응답입력!$AH53:$HD53,"&lt;9"),"")</f>
        <v/>
      </c>
      <c r="AE52" s="35" t="str">
        <f aca="false">IF(COUNTIFS(응답입력!$AH$3:$HD$3,"L30",응답입력!$AH53:$HD53,"&lt;9")&gt;=3,SUMIFS(응답입력!$AH53:$HD53,응답입력!$AH$3:$HD$3,"L30",응답입력!$AH53:$HD53,"&lt;9")/COUNTIFS(응답입력!$AH$3:$HD$3,"L30",응답입력!$AH53:$HD53,"&lt;9"),"")</f>
        <v/>
      </c>
      <c r="AF52" s="35" t="str">
        <f aca="false">IF(COUNTIFS(응답입력!$AH$3:$HD$3,"L31",응답입력!$AH53:$HD53,"&lt;9")&gt;=3,SUMIFS(응답입력!$AH53:$HD53,응답입력!$AH$3:$HD$3,"L31",응답입력!$AH53:$HD53,"&lt;9")/COUNTIFS(응답입력!$AH$3:$HD$3,"L31",응답입력!$AH53:$HD53,"&lt;9"),"")</f>
        <v/>
      </c>
      <c r="AG52" s="41" t="str">
        <f aca="false">IFERROR(AVERAGE(B52:AF52),"")</f>
        <v/>
      </c>
    </row>
    <row r="53" customFormat="false" ht="15" hidden="false" customHeight="false" outlineLevel="0" collapsed="false">
      <c r="A53" s="27" t="str">
        <f aca="false">IF(응답입력!A54="","",응답입력!A54)</f>
        <v/>
      </c>
      <c r="B53" s="35" t="str">
        <f aca="false">IF(COUNTIFS(응답입력!$AH$3:$HD$3,"L01",응답입력!$AH54:$HD54,"&lt;9")&gt;=3,SUMIFS(응답입력!$AH54:$HD54,응답입력!$AH$3:$HD$3,"L01",응답입력!$AH54:$HD54,"&lt;9")/COUNTIFS(응답입력!$AH$3:$HD$3,"L01",응답입력!$AH54:$HD54,"&lt;9"),"")</f>
        <v/>
      </c>
      <c r="C53" s="35" t="str">
        <f aca="false">IF(COUNTIFS(응답입력!$AH$3:$HD$3,"L02",응답입력!$AH54:$HD54,"&lt;9")&gt;=3,SUMIFS(응답입력!$AH54:$HD54,응답입력!$AH$3:$HD$3,"L02",응답입력!$AH54:$HD54,"&lt;9")/COUNTIFS(응답입력!$AH$3:$HD$3,"L02",응답입력!$AH54:$HD54,"&lt;9"),"")</f>
        <v/>
      </c>
      <c r="D53" s="35" t="str">
        <f aca="false">IF(COUNTIFS(응답입력!$AH$3:$HD$3,"L03",응답입력!$AH54:$HD54,"&lt;9")&gt;=3,SUMIFS(응답입력!$AH54:$HD54,응답입력!$AH$3:$HD$3,"L03",응답입력!$AH54:$HD54,"&lt;9")/COUNTIFS(응답입력!$AH$3:$HD$3,"L03",응답입력!$AH54:$HD54,"&lt;9"),"")</f>
        <v/>
      </c>
      <c r="E53" s="35" t="str">
        <f aca="false">IF(COUNTIFS(응답입력!$AH$3:$HD$3,"L04",응답입력!$AH54:$HD54,"&lt;9")&gt;=3,SUMIFS(응답입력!$AH54:$HD54,응답입력!$AH$3:$HD$3,"L04",응답입력!$AH54:$HD54,"&lt;9")/COUNTIFS(응답입력!$AH$3:$HD$3,"L04",응답입력!$AH54:$HD54,"&lt;9"),"")</f>
        <v/>
      </c>
      <c r="F53" s="35" t="str">
        <f aca="false">IF(COUNTIFS(응답입력!$AH$3:$HD$3,"L05",응답입력!$AH54:$HD54,"&lt;9")&gt;=3,SUMIFS(응답입력!$AH54:$HD54,응답입력!$AH$3:$HD$3,"L05",응답입력!$AH54:$HD54,"&lt;9")/COUNTIFS(응답입력!$AH$3:$HD$3,"L05",응답입력!$AH54:$HD54,"&lt;9"),"")</f>
        <v/>
      </c>
      <c r="G53" s="35" t="str">
        <f aca="false">IF(COUNTIFS(응답입력!$AH$3:$HD$3,"L06",응답입력!$AH54:$HD54,"&lt;9")&gt;=3,SUMIFS(응답입력!$AH54:$HD54,응답입력!$AH$3:$HD$3,"L06",응답입력!$AH54:$HD54,"&lt;9")/COUNTIFS(응답입력!$AH$3:$HD$3,"L06",응답입력!$AH54:$HD54,"&lt;9"),"")</f>
        <v/>
      </c>
      <c r="H53" s="35" t="str">
        <f aca="false">IF(COUNTIFS(응답입력!$AH$3:$HD$3,"L07",응답입력!$AH54:$HD54,"&lt;9")&gt;=3,SUMIFS(응답입력!$AH54:$HD54,응답입력!$AH$3:$HD$3,"L07",응답입력!$AH54:$HD54,"&lt;9")/COUNTIFS(응답입력!$AH$3:$HD$3,"L07",응답입력!$AH54:$HD54,"&lt;9"),"")</f>
        <v/>
      </c>
      <c r="I53" s="35" t="str">
        <f aca="false">IF(COUNTIFS(응답입력!$AH$3:$HD$3,"L08",응답입력!$AH54:$HD54,"&lt;9")&gt;=3,SUMIFS(응답입력!$AH54:$HD54,응답입력!$AH$3:$HD$3,"L08",응답입력!$AH54:$HD54,"&lt;9")/COUNTIFS(응답입력!$AH$3:$HD$3,"L08",응답입력!$AH54:$HD54,"&lt;9"),"")</f>
        <v/>
      </c>
      <c r="J53" s="35" t="str">
        <f aca="false">IF(COUNTIFS(응답입력!$AH$3:$HD$3,"L09",응답입력!$AH54:$HD54,"&lt;9")&gt;=3,SUMIFS(응답입력!$AH54:$HD54,응답입력!$AH$3:$HD$3,"L09",응답입력!$AH54:$HD54,"&lt;9")/COUNTIFS(응답입력!$AH$3:$HD$3,"L09",응답입력!$AH54:$HD54,"&lt;9"),"")</f>
        <v/>
      </c>
      <c r="K53" s="35" t="str">
        <f aca="false">IF(COUNTIFS(응답입력!$AH$3:$HD$3,"L10",응답입력!$AH54:$HD54,"&lt;9")&gt;=3,SUMIFS(응답입력!$AH54:$HD54,응답입력!$AH$3:$HD$3,"L10",응답입력!$AH54:$HD54,"&lt;9")/COUNTIFS(응답입력!$AH$3:$HD$3,"L10",응답입력!$AH54:$HD54,"&lt;9"),"")</f>
        <v/>
      </c>
      <c r="L53" s="35" t="str">
        <f aca="false">IF(COUNTIFS(응답입력!$AH$3:$HD$3,"L11",응답입력!$AH54:$HD54,"&lt;9")&gt;=3,SUMIFS(응답입력!$AH54:$HD54,응답입력!$AH$3:$HD$3,"L11",응답입력!$AH54:$HD54,"&lt;9")/COUNTIFS(응답입력!$AH$3:$HD$3,"L11",응답입력!$AH54:$HD54,"&lt;9"),"")</f>
        <v/>
      </c>
      <c r="M53" s="35" t="str">
        <f aca="false">IF(COUNTIFS(응답입력!$AH$3:$HD$3,"L12",응답입력!$AH54:$HD54,"&lt;9")&gt;=3,SUMIFS(응답입력!$AH54:$HD54,응답입력!$AH$3:$HD$3,"L12",응답입력!$AH54:$HD54,"&lt;9")/COUNTIFS(응답입력!$AH$3:$HD$3,"L12",응답입력!$AH54:$HD54,"&lt;9"),"")</f>
        <v/>
      </c>
      <c r="N53" s="35" t="str">
        <f aca="false">IF(COUNTIFS(응답입력!$AH$3:$HD$3,"L13",응답입력!$AH54:$HD54,"&lt;9")&gt;=3,SUMIFS(응답입력!$AH54:$HD54,응답입력!$AH$3:$HD$3,"L13",응답입력!$AH54:$HD54,"&lt;9")/COUNTIFS(응답입력!$AH$3:$HD$3,"L13",응답입력!$AH54:$HD54,"&lt;9"),"")</f>
        <v/>
      </c>
      <c r="O53" s="35" t="str">
        <f aca="false">IF(COUNTIFS(응답입력!$AH$3:$HD$3,"L14",응답입력!$AH54:$HD54,"&lt;9")&gt;=3,SUMIFS(응답입력!$AH54:$HD54,응답입력!$AH$3:$HD$3,"L14",응답입력!$AH54:$HD54,"&lt;9")/COUNTIFS(응답입력!$AH$3:$HD$3,"L14",응답입력!$AH54:$HD54,"&lt;9"),"")</f>
        <v/>
      </c>
      <c r="P53" s="35" t="str">
        <f aca="false">IF(COUNTIFS(응답입력!$AH$3:$HD$3,"L15",응답입력!$AH54:$HD54,"&lt;9")&gt;=3,SUMIFS(응답입력!$AH54:$HD54,응답입력!$AH$3:$HD$3,"L15",응답입력!$AH54:$HD54,"&lt;9")/COUNTIFS(응답입력!$AH$3:$HD$3,"L15",응답입력!$AH54:$HD54,"&lt;9"),"")</f>
        <v/>
      </c>
      <c r="Q53" s="35" t="str">
        <f aca="false">IF(COUNTIFS(응답입력!$AH$3:$HD$3,"L16",응답입력!$AH54:$HD54,"&lt;9")&gt;=3,SUMIFS(응답입력!$AH54:$HD54,응답입력!$AH$3:$HD$3,"L16",응답입력!$AH54:$HD54,"&lt;9")/COUNTIFS(응답입력!$AH$3:$HD$3,"L16",응답입력!$AH54:$HD54,"&lt;9"),"")</f>
        <v/>
      </c>
      <c r="R53" s="35" t="str">
        <f aca="false">IF(COUNTIFS(응답입력!$AH$3:$HD$3,"L17",응답입력!$AH54:$HD54,"&lt;9")&gt;=3,SUMIFS(응답입력!$AH54:$HD54,응답입력!$AH$3:$HD$3,"L17",응답입력!$AH54:$HD54,"&lt;9")/COUNTIFS(응답입력!$AH$3:$HD$3,"L17",응답입력!$AH54:$HD54,"&lt;9"),"")</f>
        <v/>
      </c>
      <c r="S53" s="35" t="str">
        <f aca="false">IF(COUNTIFS(응답입력!$AH$3:$HD$3,"L18",응답입력!$AH54:$HD54,"&lt;9")&gt;=3,SUMIFS(응답입력!$AH54:$HD54,응답입력!$AH$3:$HD$3,"L18",응답입력!$AH54:$HD54,"&lt;9")/COUNTIFS(응답입력!$AH$3:$HD$3,"L18",응답입력!$AH54:$HD54,"&lt;9"),"")</f>
        <v/>
      </c>
      <c r="T53" s="35" t="str">
        <f aca="false">IF(COUNTIFS(응답입력!$AH$3:$HD$3,"L19",응답입력!$AH54:$HD54,"&lt;9")&gt;=3,SUMIFS(응답입력!$AH54:$HD54,응답입력!$AH$3:$HD$3,"L19",응답입력!$AH54:$HD54,"&lt;9")/COUNTIFS(응답입력!$AH$3:$HD$3,"L19",응답입력!$AH54:$HD54,"&lt;9"),"")</f>
        <v/>
      </c>
      <c r="U53" s="35" t="str">
        <f aca="false">IF(COUNTIFS(응답입력!$AH$3:$HD$3,"L20",응답입력!$AH54:$HD54,"&lt;9")&gt;=3,SUMIFS(응답입력!$AH54:$HD54,응답입력!$AH$3:$HD$3,"L20",응답입력!$AH54:$HD54,"&lt;9")/COUNTIFS(응답입력!$AH$3:$HD$3,"L20",응답입력!$AH54:$HD54,"&lt;9"),"")</f>
        <v/>
      </c>
      <c r="V53" s="35" t="str">
        <f aca="false">IF(COUNTIFS(응답입력!$AH$3:$HD$3,"L21",응답입력!$AH54:$HD54,"&lt;9")&gt;=3,SUMIFS(응답입력!$AH54:$HD54,응답입력!$AH$3:$HD$3,"L21",응답입력!$AH54:$HD54,"&lt;9")/COUNTIFS(응답입력!$AH$3:$HD$3,"L21",응답입력!$AH54:$HD54,"&lt;9"),"")</f>
        <v/>
      </c>
      <c r="W53" s="35" t="str">
        <f aca="false">IF(COUNTIFS(응답입력!$AH$3:$HD$3,"L22",응답입력!$AH54:$HD54,"&lt;9")&gt;=3,SUMIFS(응답입력!$AH54:$HD54,응답입력!$AH$3:$HD$3,"L22",응답입력!$AH54:$HD54,"&lt;9")/COUNTIFS(응답입력!$AH$3:$HD$3,"L22",응답입력!$AH54:$HD54,"&lt;9"),"")</f>
        <v/>
      </c>
      <c r="X53" s="35" t="str">
        <f aca="false">IF(COUNTIFS(응답입력!$AH$3:$HD$3,"L23",응답입력!$AH54:$HD54,"&lt;9")&gt;=3,SUMIFS(응답입력!$AH54:$HD54,응답입력!$AH$3:$HD$3,"L23",응답입력!$AH54:$HD54,"&lt;9")/COUNTIFS(응답입력!$AH$3:$HD$3,"L23",응답입력!$AH54:$HD54,"&lt;9"),"")</f>
        <v/>
      </c>
      <c r="Y53" s="35" t="str">
        <f aca="false">IF(COUNTIFS(응답입력!$AH$3:$HD$3,"L24",응답입력!$AH54:$HD54,"&lt;9")&gt;=3,SUMIFS(응답입력!$AH54:$HD54,응답입력!$AH$3:$HD$3,"L24",응답입력!$AH54:$HD54,"&lt;9")/COUNTIFS(응답입력!$AH$3:$HD$3,"L24",응답입력!$AH54:$HD54,"&lt;9"),"")</f>
        <v/>
      </c>
      <c r="Z53" s="35" t="str">
        <f aca="false">IF(COUNTIFS(응답입력!$AH$3:$HD$3,"L25",응답입력!$AH54:$HD54,"&lt;9")&gt;=3,SUMIFS(응답입력!$AH54:$HD54,응답입력!$AH$3:$HD$3,"L25",응답입력!$AH54:$HD54,"&lt;9")/COUNTIFS(응답입력!$AH$3:$HD$3,"L25",응답입력!$AH54:$HD54,"&lt;9"),"")</f>
        <v/>
      </c>
      <c r="AA53" s="35" t="str">
        <f aca="false">IF(COUNTIFS(응답입력!$AH$3:$HD$3,"L26",응답입력!$AH54:$HD54,"&lt;9")&gt;=3,SUMIFS(응답입력!$AH54:$HD54,응답입력!$AH$3:$HD$3,"L26",응답입력!$AH54:$HD54,"&lt;9")/COUNTIFS(응답입력!$AH$3:$HD$3,"L26",응답입력!$AH54:$HD54,"&lt;9"),"")</f>
        <v/>
      </c>
      <c r="AB53" s="35" t="str">
        <f aca="false">IF(COUNTIFS(응답입력!$AH$3:$HD$3,"L27",응답입력!$AH54:$HD54,"&lt;9")&gt;=3,SUMIFS(응답입력!$AH54:$HD54,응답입력!$AH$3:$HD$3,"L27",응답입력!$AH54:$HD54,"&lt;9")/COUNTIFS(응답입력!$AH$3:$HD$3,"L27",응답입력!$AH54:$HD54,"&lt;9"),"")</f>
        <v/>
      </c>
      <c r="AC53" s="35" t="str">
        <f aca="false">IF(COUNTIFS(응답입력!$AH$3:$HD$3,"L28",응답입력!$AH54:$HD54,"&lt;9")&gt;=3,SUMIFS(응답입력!$AH54:$HD54,응답입력!$AH$3:$HD$3,"L28",응답입력!$AH54:$HD54,"&lt;9")/COUNTIFS(응답입력!$AH$3:$HD$3,"L28",응답입력!$AH54:$HD54,"&lt;9"),"")</f>
        <v/>
      </c>
      <c r="AD53" s="35" t="str">
        <f aca="false">IF(COUNTIFS(응답입력!$AH$3:$HD$3,"L29",응답입력!$AH54:$HD54,"&lt;9")&gt;=3,SUMIFS(응답입력!$AH54:$HD54,응답입력!$AH$3:$HD$3,"L29",응답입력!$AH54:$HD54,"&lt;9")/COUNTIFS(응답입력!$AH$3:$HD$3,"L29",응답입력!$AH54:$HD54,"&lt;9"),"")</f>
        <v/>
      </c>
      <c r="AE53" s="35" t="str">
        <f aca="false">IF(COUNTIFS(응답입력!$AH$3:$HD$3,"L30",응답입력!$AH54:$HD54,"&lt;9")&gt;=3,SUMIFS(응답입력!$AH54:$HD54,응답입력!$AH$3:$HD$3,"L30",응답입력!$AH54:$HD54,"&lt;9")/COUNTIFS(응답입력!$AH$3:$HD$3,"L30",응답입력!$AH54:$HD54,"&lt;9"),"")</f>
        <v/>
      </c>
      <c r="AF53" s="35" t="str">
        <f aca="false">IF(COUNTIFS(응답입력!$AH$3:$HD$3,"L31",응답입력!$AH54:$HD54,"&lt;9")&gt;=3,SUMIFS(응답입력!$AH54:$HD54,응답입력!$AH$3:$HD$3,"L31",응답입력!$AH54:$HD54,"&lt;9")/COUNTIFS(응답입력!$AH$3:$HD$3,"L31",응답입력!$AH54:$HD54,"&lt;9"),"")</f>
        <v/>
      </c>
      <c r="AG53" s="41" t="str">
        <f aca="false">IFERROR(AVERAGE(B53:AF53),"")</f>
        <v/>
      </c>
    </row>
    <row r="54" customFormat="false" ht="15" hidden="false" customHeight="false" outlineLevel="0" collapsed="false">
      <c r="A54" s="27" t="str">
        <f aca="false">IF(응답입력!A55="","",응답입력!A55)</f>
        <v/>
      </c>
      <c r="B54" s="35" t="str">
        <f aca="false">IF(COUNTIFS(응답입력!$AH$3:$HD$3,"L01",응답입력!$AH55:$HD55,"&lt;9")&gt;=3,SUMIFS(응답입력!$AH55:$HD55,응답입력!$AH$3:$HD$3,"L01",응답입력!$AH55:$HD55,"&lt;9")/COUNTIFS(응답입력!$AH$3:$HD$3,"L01",응답입력!$AH55:$HD55,"&lt;9"),"")</f>
        <v/>
      </c>
      <c r="C54" s="35" t="str">
        <f aca="false">IF(COUNTIFS(응답입력!$AH$3:$HD$3,"L02",응답입력!$AH55:$HD55,"&lt;9")&gt;=3,SUMIFS(응답입력!$AH55:$HD55,응답입력!$AH$3:$HD$3,"L02",응답입력!$AH55:$HD55,"&lt;9")/COUNTIFS(응답입력!$AH$3:$HD$3,"L02",응답입력!$AH55:$HD55,"&lt;9"),"")</f>
        <v/>
      </c>
      <c r="D54" s="35" t="str">
        <f aca="false">IF(COUNTIFS(응답입력!$AH$3:$HD$3,"L03",응답입력!$AH55:$HD55,"&lt;9")&gt;=3,SUMIFS(응답입력!$AH55:$HD55,응답입력!$AH$3:$HD$3,"L03",응답입력!$AH55:$HD55,"&lt;9")/COUNTIFS(응답입력!$AH$3:$HD$3,"L03",응답입력!$AH55:$HD55,"&lt;9"),"")</f>
        <v/>
      </c>
      <c r="E54" s="35" t="str">
        <f aca="false">IF(COUNTIFS(응답입력!$AH$3:$HD$3,"L04",응답입력!$AH55:$HD55,"&lt;9")&gt;=3,SUMIFS(응답입력!$AH55:$HD55,응답입력!$AH$3:$HD$3,"L04",응답입력!$AH55:$HD55,"&lt;9")/COUNTIFS(응답입력!$AH$3:$HD$3,"L04",응답입력!$AH55:$HD55,"&lt;9"),"")</f>
        <v/>
      </c>
      <c r="F54" s="35" t="str">
        <f aca="false">IF(COUNTIFS(응답입력!$AH$3:$HD$3,"L05",응답입력!$AH55:$HD55,"&lt;9")&gt;=3,SUMIFS(응답입력!$AH55:$HD55,응답입력!$AH$3:$HD$3,"L05",응답입력!$AH55:$HD55,"&lt;9")/COUNTIFS(응답입력!$AH$3:$HD$3,"L05",응답입력!$AH55:$HD55,"&lt;9"),"")</f>
        <v/>
      </c>
      <c r="G54" s="35" t="str">
        <f aca="false">IF(COUNTIFS(응답입력!$AH$3:$HD$3,"L06",응답입력!$AH55:$HD55,"&lt;9")&gt;=3,SUMIFS(응답입력!$AH55:$HD55,응답입력!$AH$3:$HD$3,"L06",응답입력!$AH55:$HD55,"&lt;9")/COUNTIFS(응답입력!$AH$3:$HD$3,"L06",응답입력!$AH55:$HD55,"&lt;9"),"")</f>
        <v/>
      </c>
      <c r="H54" s="35" t="str">
        <f aca="false">IF(COUNTIFS(응답입력!$AH$3:$HD$3,"L07",응답입력!$AH55:$HD55,"&lt;9")&gt;=3,SUMIFS(응답입력!$AH55:$HD55,응답입력!$AH$3:$HD$3,"L07",응답입력!$AH55:$HD55,"&lt;9")/COUNTIFS(응답입력!$AH$3:$HD$3,"L07",응답입력!$AH55:$HD55,"&lt;9"),"")</f>
        <v/>
      </c>
      <c r="I54" s="35" t="str">
        <f aca="false">IF(COUNTIFS(응답입력!$AH$3:$HD$3,"L08",응답입력!$AH55:$HD55,"&lt;9")&gt;=3,SUMIFS(응답입력!$AH55:$HD55,응답입력!$AH$3:$HD$3,"L08",응답입력!$AH55:$HD55,"&lt;9")/COUNTIFS(응답입력!$AH$3:$HD$3,"L08",응답입력!$AH55:$HD55,"&lt;9"),"")</f>
        <v/>
      </c>
      <c r="J54" s="35" t="str">
        <f aca="false">IF(COUNTIFS(응답입력!$AH$3:$HD$3,"L09",응답입력!$AH55:$HD55,"&lt;9")&gt;=3,SUMIFS(응답입력!$AH55:$HD55,응답입력!$AH$3:$HD$3,"L09",응답입력!$AH55:$HD55,"&lt;9")/COUNTIFS(응답입력!$AH$3:$HD$3,"L09",응답입력!$AH55:$HD55,"&lt;9"),"")</f>
        <v/>
      </c>
      <c r="K54" s="35" t="str">
        <f aca="false">IF(COUNTIFS(응답입력!$AH$3:$HD$3,"L10",응답입력!$AH55:$HD55,"&lt;9")&gt;=3,SUMIFS(응답입력!$AH55:$HD55,응답입력!$AH$3:$HD$3,"L10",응답입력!$AH55:$HD55,"&lt;9")/COUNTIFS(응답입력!$AH$3:$HD$3,"L10",응답입력!$AH55:$HD55,"&lt;9"),"")</f>
        <v/>
      </c>
      <c r="L54" s="35" t="str">
        <f aca="false">IF(COUNTIFS(응답입력!$AH$3:$HD$3,"L11",응답입력!$AH55:$HD55,"&lt;9")&gt;=3,SUMIFS(응답입력!$AH55:$HD55,응답입력!$AH$3:$HD$3,"L11",응답입력!$AH55:$HD55,"&lt;9")/COUNTIFS(응답입력!$AH$3:$HD$3,"L11",응답입력!$AH55:$HD55,"&lt;9"),"")</f>
        <v/>
      </c>
      <c r="M54" s="35" t="str">
        <f aca="false">IF(COUNTIFS(응답입력!$AH$3:$HD$3,"L12",응답입력!$AH55:$HD55,"&lt;9")&gt;=3,SUMIFS(응답입력!$AH55:$HD55,응답입력!$AH$3:$HD$3,"L12",응답입력!$AH55:$HD55,"&lt;9")/COUNTIFS(응답입력!$AH$3:$HD$3,"L12",응답입력!$AH55:$HD55,"&lt;9"),"")</f>
        <v/>
      </c>
      <c r="N54" s="35" t="str">
        <f aca="false">IF(COUNTIFS(응답입력!$AH$3:$HD$3,"L13",응답입력!$AH55:$HD55,"&lt;9")&gt;=3,SUMIFS(응답입력!$AH55:$HD55,응답입력!$AH$3:$HD$3,"L13",응답입력!$AH55:$HD55,"&lt;9")/COUNTIFS(응답입력!$AH$3:$HD$3,"L13",응답입력!$AH55:$HD55,"&lt;9"),"")</f>
        <v/>
      </c>
      <c r="O54" s="35" t="str">
        <f aca="false">IF(COUNTIFS(응답입력!$AH$3:$HD$3,"L14",응답입력!$AH55:$HD55,"&lt;9")&gt;=3,SUMIFS(응답입력!$AH55:$HD55,응답입력!$AH$3:$HD$3,"L14",응답입력!$AH55:$HD55,"&lt;9")/COUNTIFS(응답입력!$AH$3:$HD$3,"L14",응답입력!$AH55:$HD55,"&lt;9"),"")</f>
        <v/>
      </c>
      <c r="P54" s="35" t="str">
        <f aca="false">IF(COUNTIFS(응답입력!$AH$3:$HD$3,"L15",응답입력!$AH55:$HD55,"&lt;9")&gt;=3,SUMIFS(응답입력!$AH55:$HD55,응답입력!$AH$3:$HD$3,"L15",응답입력!$AH55:$HD55,"&lt;9")/COUNTIFS(응답입력!$AH$3:$HD$3,"L15",응답입력!$AH55:$HD55,"&lt;9"),"")</f>
        <v/>
      </c>
      <c r="Q54" s="35" t="str">
        <f aca="false">IF(COUNTIFS(응답입력!$AH$3:$HD$3,"L16",응답입력!$AH55:$HD55,"&lt;9")&gt;=3,SUMIFS(응답입력!$AH55:$HD55,응답입력!$AH$3:$HD$3,"L16",응답입력!$AH55:$HD55,"&lt;9")/COUNTIFS(응답입력!$AH$3:$HD$3,"L16",응답입력!$AH55:$HD55,"&lt;9"),"")</f>
        <v/>
      </c>
      <c r="R54" s="35" t="str">
        <f aca="false">IF(COUNTIFS(응답입력!$AH$3:$HD$3,"L17",응답입력!$AH55:$HD55,"&lt;9")&gt;=3,SUMIFS(응답입력!$AH55:$HD55,응답입력!$AH$3:$HD$3,"L17",응답입력!$AH55:$HD55,"&lt;9")/COUNTIFS(응답입력!$AH$3:$HD$3,"L17",응답입력!$AH55:$HD55,"&lt;9"),"")</f>
        <v/>
      </c>
      <c r="S54" s="35" t="str">
        <f aca="false">IF(COUNTIFS(응답입력!$AH$3:$HD$3,"L18",응답입력!$AH55:$HD55,"&lt;9")&gt;=3,SUMIFS(응답입력!$AH55:$HD55,응답입력!$AH$3:$HD$3,"L18",응답입력!$AH55:$HD55,"&lt;9")/COUNTIFS(응답입력!$AH$3:$HD$3,"L18",응답입력!$AH55:$HD55,"&lt;9"),"")</f>
        <v/>
      </c>
      <c r="T54" s="35" t="str">
        <f aca="false">IF(COUNTIFS(응답입력!$AH$3:$HD$3,"L19",응답입력!$AH55:$HD55,"&lt;9")&gt;=3,SUMIFS(응답입력!$AH55:$HD55,응답입력!$AH$3:$HD$3,"L19",응답입력!$AH55:$HD55,"&lt;9")/COUNTIFS(응답입력!$AH$3:$HD$3,"L19",응답입력!$AH55:$HD55,"&lt;9"),"")</f>
        <v/>
      </c>
      <c r="U54" s="35" t="str">
        <f aca="false">IF(COUNTIFS(응답입력!$AH$3:$HD$3,"L20",응답입력!$AH55:$HD55,"&lt;9")&gt;=3,SUMIFS(응답입력!$AH55:$HD55,응답입력!$AH$3:$HD$3,"L20",응답입력!$AH55:$HD55,"&lt;9")/COUNTIFS(응답입력!$AH$3:$HD$3,"L20",응답입력!$AH55:$HD55,"&lt;9"),"")</f>
        <v/>
      </c>
      <c r="V54" s="35" t="str">
        <f aca="false">IF(COUNTIFS(응답입력!$AH$3:$HD$3,"L21",응답입력!$AH55:$HD55,"&lt;9")&gt;=3,SUMIFS(응답입력!$AH55:$HD55,응답입력!$AH$3:$HD$3,"L21",응답입력!$AH55:$HD55,"&lt;9")/COUNTIFS(응답입력!$AH$3:$HD$3,"L21",응답입력!$AH55:$HD55,"&lt;9"),"")</f>
        <v/>
      </c>
      <c r="W54" s="35" t="str">
        <f aca="false">IF(COUNTIFS(응답입력!$AH$3:$HD$3,"L22",응답입력!$AH55:$HD55,"&lt;9")&gt;=3,SUMIFS(응답입력!$AH55:$HD55,응답입력!$AH$3:$HD$3,"L22",응답입력!$AH55:$HD55,"&lt;9")/COUNTIFS(응답입력!$AH$3:$HD$3,"L22",응답입력!$AH55:$HD55,"&lt;9"),"")</f>
        <v/>
      </c>
      <c r="X54" s="35" t="str">
        <f aca="false">IF(COUNTIFS(응답입력!$AH$3:$HD$3,"L23",응답입력!$AH55:$HD55,"&lt;9")&gt;=3,SUMIFS(응답입력!$AH55:$HD55,응답입력!$AH$3:$HD$3,"L23",응답입력!$AH55:$HD55,"&lt;9")/COUNTIFS(응답입력!$AH$3:$HD$3,"L23",응답입력!$AH55:$HD55,"&lt;9"),"")</f>
        <v/>
      </c>
      <c r="Y54" s="35" t="str">
        <f aca="false">IF(COUNTIFS(응답입력!$AH$3:$HD$3,"L24",응답입력!$AH55:$HD55,"&lt;9")&gt;=3,SUMIFS(응답입력!$AH55:$HD55,응답입력!$AH$3:$HD$3,"L24",응답입력!$AH55:$HD55,"&lt;9")/COUNTIFS(응답입력!$AH$3:$HD$3,"L24",응답입력!$AH55:$HD55,"&lt;9"),"")</f>
        <v/>
      </c>
      <c r="Z54" s="35" t="str">
        <f aca="false">IF(COUNTIFS(응답입력!$AH$3:$HD$3,"L25",응답입력!$AH55:$HD55,"&lt;9")&gt;=3,SUMIFS(응답입력!$AH55:$HD55,응답입력!$AH$3:$HD$3,"L25",응답입력!$AH55:$HD55,"&lt;9")/COUNTIFS(응답입력!$AH$3:$HD$3,"L25",응답입력!$AH55:$HD55,"&lt;9"),"")</f>
        <v/>
      </c>
      <c r="AA54" s="35" t="str">
        <f aca="false">IF(COUNTIFS(응답입력!$AH$3:$HD$3,"L26",응답입력!$AH55:$HD55,"&lt;9")&gt;=3,SUMIFS(응답입력!$AH55:$HD55,응답입력!$AH$3:$HD$3,"L26",응답입력!$AH55:$HD55,"&lt;9")/COUNTIFS(응답입력!$AH$3:$HD$3,"L26",응답입력!$AH55:$HD55,"&lt;9"),"")</f>
        <v/>
      </c>
      <c r="AB54" s="35" t="str">
        <f aca="false">IF(COUNTIFS(응답입력!$AH$3:$HD$3,"L27",응답입력!$AH55:$HD55,"&lt;9")&gt;=3,SUMIFS(응답입력!$AH55:$HD55,응답입력!$AH$3:$HD$3,"L27",응답입력!$AH55:$HD55,"&lt;9")/COUNTIFS(응답입력!$AH$3:$HD$3,"L27",응답입력!$AH55:$HD55,"&lt;9"),"")</f>
        <v/>
      </c>
      <c r="AC54" s="35" t="str">
        <f aca="false">IF(COUNTIFS(응답입력!$AH$3:$HD$3,"L28",응답입력!$AH55:$HD55,"&lt;9")&gt;=3,SUMIFS(응답입력!$AH55:$HD55,응답입력!$AH$3:$HD$3,"L28",응답입력!$AH55:$HD55,"&lt;9")/COUNTIFS(응답입력!$AH$3:$HD$3,"L28",응답입력!$AH55:$HD55,"&lt;9"),"")</f>
        <v/>
      </c>
      <c r="AD54" s="35" t="str">
        <f aca="false">IF(COUNTIFS(응답입력!$AH$3:$HD$3,"L29",응답입력!$AH55:$HD55,"&lt;9")&gt;=3,SUMIFS(응답입력!$AH55:$HD55,응답입력!$AH$3:$HD$3,"L29",응답입력!$AH55:$HD55,"&lt;9")/COUNTIFS(응답입력!$AH$3:$HD$3,"L29",응답입력!$AH55:$HD55,"&lt;9"),"")</f>
        <v/>
      </c>
      <c r="AE54" s="35" t="str">
        <f aca="false">IF(COUNTIFS(응답입력!$AH$3:$HD$3,"L30",응답입력!$AH55:$HD55,"&lt;9")&gt;=3,SUMIFS(응답입력!$AH55:$HD55,응답입력!$AH$3:$HD$3,"L30",응답입력!$AH55:$HD55,"&lt;9")/COUNTIFS(응답입력!$AH$3:$HD$3,"L30",응답입력!$AH55:$HD55,"&lt;9"),"")</f>
        <v/>
      </c>
      <c r="AF54" s="35" t="str">
        <f aca="false">IF(COUNTIFS(응답입력!$AH$3:$HD$3,"L31",응답입력!$AH55:$HD55,"&lt;9")&gt;=3,SUMIFS(응답입력!$AH55:$HD55,응답입력!$AH$3:$HD$3,"L31",응답입력!$AH55:$HD55,"&lt;9")/COUNTIFS(응답입력!$AH$3:$HD$3,"L31",응답입력!$AH55:$HD55,"&lt;9"),"")</f>
        <v/>
      </c>
      <c r="AG54" s="41" t="str">
        <f aca="false">IFERROR(AVERAGE(B54:AF54),"")</f>
        <v/>
      </c>
    </row>
    <row r="55" customFormat="false" ht="15" hidden="false" customHeight="false" outlineLevel="0" collapsed="false">
      <c r="A55" s="27" t="str">
        <f aca="false">IF(응답입력!A56="","",응답입력!A56)</f>
        <v/>
      </c>
      <c r="B55" s="35" t="str">
        <f aca="false">IF(COUNTIFS(응답입력!$AH$3:$HD$3,"L01",응답입력!$AH56:$HD56,"&lt;9")&gt;=3,SUMIFS(응답입력!$AH56:$HD56,응답입력!$AH$3:$HD$3,"L01",응답입력!$AH56:$HD56,"&lt;9")/COUNTIFS(응답입력!$AH$3:$HD$3,"L01",응답입력!$AH56:$HD56,"&lt;9"),"")</f>
        <v/>
      </c>
      <c r="C55" s="35" t="str">
        <f aca="false">IF(COUNTIFS(응답입력!$AH$3:$HD$3,"L02",응답입력!$AH56:$HD56,"&lt;9")&gt;=3,SUMIFS(응답입력!$AH56:$HD56,응답입력!$AH$3:$HD$3,"L02",응답입력!$AH56:$HD56,"&lt;9")/COUNTIFS(응답입력!$AH$3:$HD$3,"L02",응답입력!$AH56:$HD56,"&lt;9"),"")</f>
        <v/>
      </c>
      <c r="D55" s="35" t="str">
        <f aca="false">IF(COUNTIFS(응답입력!$AH$3:$HD$3,"L03",응답입력!$AH56:$HD56,"&lt;9")&gt;=3,SUMIFS(응답입력!$AH56:$HD56,응답입력!$AH$3:$HD$3,"L03",응답입력!$AH56:$HD56,"&lt;9")/COUNTIFS(응답입력!$AH$3:$HD$3,"L03",응답입력!$AH56:$HD56,"&lt;9"),"")</f>
        <v/>
      </c>
      <c r="E55" s="35" t="str">
        <f aca="false">IF(COUNTIFS(응답입력!$AH$3:$HD$3,"L04",응답입력!$AH56:$HD56,"&lt;9")&gt;=3,SUMIFS(응답입력!$AH56:$HD56,응답입력!$AH$3:$HD$3,"L04",응답입력!$AH56:$HD56,"&lt;9")/COUNTIFS(응답입력!$AH$3:$HD$3,"L04",응답입력!$AH56:$HD56,"&lt;9"),"")</f>
        <v/>
      </c>
      <c r="F55" s="35" t="str">
        <f aca="false">IF(COUNTIFS(응답입력!$AH$3:$HD$3,"L05",응답입력!$AH56:$HD56,"&lt;9")&gt;=3,SUMIFS(응답입력!$AH56:$HD56,응답입력!$AH$3:$HD$3,"L05",응답입력!$AH56:$HD56,"&lt;9")/COUNTIFS(응답입력!$AH$3:$HD$3,"L05",응답입력!$AH56:$HD56,"&lt;9"),"")</f>
        <v/>
      </c>
      <c r="G55" s="35" t="str">
        <f aca="false">IF(COUNTIFS(응답입력!$AH$3:$HD$3,"L06",응답입력!$AH56:$HD56,"&lt;9")&gt;=3,SUMIFS(응답입력!$AH56:$HD56,응답입력!$AH$3:$HD$3,"L06",응답입력!$AH56:$HD56,"&lt;9")/COUNTIFS(응답입력!$AH$3:$HD$3,"L06",응답입력!$AH56:$HD56,"&lt;9"),"")</f>
        <v/>
      </c>
      <c r="H55" s="35" t="str">
        <f aca="false">IF(COUNTIFS(응답입력!$AH$3:$HD$3,"L07",응답입력!$AH56:$HD56,"&lt;9")&gt;=3,SUMIFS(응답입력!$AH56:$HD56,응답입력!$AH$3:$HD$3,"L07",응답입력!$AH56:$HD56,"&lt;9")/COUNTIFS(응답입력!$AH$3:$HD$3,"L07",응답입력!$AH56:$HD56,"&lt;9"),"")</f>
        <v/>
      </c>
      <c r="I55" s="35" t="str">
        <f aca="false">IF(COUNTIFS(응답입력!$AH$3:$HD$3,"L08",응답입력!$AH56:$HD56,"&lt;9")&gt;=3,SUMIFS(응답입력!$AH56:$HD56,응답입력!$AH$3:$HD$3,"L08",응답입력!$AH56:$HD56,"&lt;9")/COUNTIFS(응답입력!$AH$3:$HD$3,"L08",응답입력!$AH56:$HD56,"&lt;9"),"")</f>
        <v/>
      </c>
      <c r="J55" s="35" t="str">
        <f aca="false">IF(COUNTIFS(응답입력!$AH$3:$HD$3,"L09",응답입력!$AH56:$HD56,"&lt;9")&gt;=3,SUMIFS(응답입력!$AH56:$HD56,응답입력!$AH$3:$HD$3,"L09",응답입력!$AH56:$HD56,"&lt;9")/COUNTIFS(응답입력!$AH$3:$HD$3,"L09",응답입력!$AH56:$HD56,"&lt;9"),"")</f>
        <v/>
      </c>
      <c r="K55" s="35" t="str">
        <f aca="false">IF(COUNTIFS(응답입력!$AH$3:$HD$3,"L10",응답입력!$AH56:$HD56,"&lt;9")&gt;=3,SUMIFS(응답입력!$AH56:$HD56,응답입력!$AH$3:$HD$3,"L10",응답입력!$AH56:$HD56,"&lt;9")/COUNTIFS(응답입력!$AH$3:$HD$3,"L10",응답입력!$AH56:$HD56,"&lt;9"),"")</f>
        <v/>
      </c>
      <c r="L55" s="35" t="str">
        <f aca="false">IF(COUNTIFS(응답입력!$AH$3:$HD$3,"L11",응답입력!$AH56:$HD56,"&lt;9")&gt;=3,SUMIFS(응답입력!$AH56:$HD56,응답입력!$AH$3:$HD$3,"L11",응답입력!$AH56:$HD56,"&lt;9")/COUNTIFS(응답입력!$AH$3:$HD$3,"L11",응답입력!$AH56:$HD56,"&lt;9"),"")</f>
        <v/>
      </c>
      <c r="M55" s="35" t="str">
        <f aca="false">IF(COUNTIFS(응답입력!$AH$3:$HD$3,"L12",응답입력!$AH56:$HD56,"&lt;9")&gt;=3,SUMIFS(응답입력!$AH56:$HD56,응답입력!$AH$3:$HD$3,"L12",응답입력!$AH56:$HD56,"&lt;9")/COUNTIFS(응답입력!$AH$3:$HD$3,"L12",응답입력!$AH56:$HD56,"&lt;9"),"")</f>
        <v/>
      </c>
      <c r="N55" s="35" t="str">
        <f aca="false">IF(COUNTIFS(응답입력!$AH$3:$HD$3,"L13",응답입력!$AH56:$HD56,"&lt;9")&gt;=3,SUMIFS(응답입력!$AH56:$HD56,응답입력!$AH$3:$HD$3,"L13",응답입력!$AH56:$HD56,"&lt;9")/COUNTIFS(응답입력!$AH$3:$HD$3,"L13",응답입력!$AH56:$HD56,"&lt;9"),"")</f>
        <v/>
      </c>
      <c r="O55" s="35" t="str">
        <f aca="false">IF(COUNTIFS(응답입력!$AH$3:$HD$3,"L14",응답입력!$AH56:$HD56,"&lt;9")&gt;=3,SUMIFS(응답입력!$AH56:$HD56,응답입력!$AH$3:$HD$3,"L14",응답입력!$AH56:$HD56,"&lt;9")/COUNTIFS(응답입력!$AH$3:$HD$3,"L14",응답입력!$AH56:$HD56,"&lt;9"),"")</f>
        <v/>
      </c>
      <c r="P55" s="35" t="str">
        <f aca="false">IF(COUNTIFS(응답입력!$AH$3:$HD$3,"L15",응답입력!$AH56:$HD56,"&lt;9")&gt;=3,SUMIFS(응답입력!$AH56:$HD56,응답입력!$AH$3:$HD$3,"L15",응답입력!$AH56:$HD56,"&lt;9")/COUNTIFS(응답입력!$AH$3:$HD$3,"L15",응답입력!$AH56:$HD56,"&lt;9"),"")</f>
        <v/>
      </c>
      <c r="Q55" s="35" t="str">
        <f aca="false">IF(COUNTIFS(응답입력!$AH$3:$HD$3,"L16",응답입력!$AH56:$HD56,"&lt;9")&gt;=3,SUMIFS(응답입력!$AH56:$HD56,응답입력!$AH$3:$HD$3,"L16",응답입력!$AH56:$HD56,"&lt;9")/COUNTIFS(응답입력!$AH$3:$HD$3,"L16",응답입력!$AH56:$HD56,"&lt;9"),"")</f>
        <v/>
      </c>
      <c r="R55" s="35" t="str">
        <f aca="false">IF(COUNTIFS(응답입력!$AH$3:$HD$3,"L17",응답입력!$AH56:$HD56,"&lt;9")&gt;=3,SUMIFS(응답입력!$AH56:$HD56,응답입력!$AH$3:$HD$3,"L17",응답입력!$AH56:$HD56,"&lt;9")/COUNTIFS(응답입력!$AH$3:$HD$3,"L17",응답입력!$AH56:$HD56,"&lt;9"),"")</f>
        <v/>
      </c>
      <c r="S55" s="35" t="str">
        <f aca="false">IF(COUNTIFS(응답입력!$AH$3:$HD$3,"L18",응답입력!$AH56:$HD56,"&lt;9")&gt;=3,SUMIFS(응답입력!$AH56:$HD56,응답입력!$AH$3:$HD$3,"L18",응답입력!$AH56:$HD56,"&lt;9")/COUNTIFS(응답입력!$AH$3:$HD$3,"L18",응답입력!$AH56:$HD56,"&lt;9"),"")</f>
        <v/>
      </c>
      <c r="T55" s="35" t="str">
        <f aca="false">IF(COUNTIFS(응답입력!$AH$3:$HD$3,"L19",응답입력!$AH56:$HD56,"&lt;9")&gt;=3,SUMIFS(응답입력!$AH56:$HD56,응답입력!$AH$3:$HD$3,"L19",응답입력!$AH56:$HD56,"&lt;9")/COUNTIFS(응답입력!$AH$3:$HD$3,"L19",응답입력!$AH56:$HD56,"&lt;9"),"")</f>
        <v/>
      </c>
      <c r="U55" s="35" t="str">
        <f aca="false">IF(COUNTIFS(응답입력!$AH$3:$HD$3,"L20",응답입력!$AH56:$HD56,"&lt;9")&gt;=3,SUMIFS(응답입력!$AH56:$HD56,응답입력!$AH$3:$HD$3,"L20",응답입력!$AH56:$HD56,"&lt;9")/COUNTIFS(응답입력!$AH$3:$HD$3,"L20",응답입력!$AH56:$HD56,"&lt;9"),"")</f>
        <v/>
      </c>
      <c r="V55" s="35" t="str">
        <f aca="false">IF(COUNTIFS(응답입력!$AH$3:$HD$3,"L21",응답입력!$AH56:$HD56,"&lt;9")&gt;=3,SUMIFS(응답입력!$AH56:$HD56,응답입력!$AH$3:$HD$3,"L21",응답입력!$AH56:$HD56,"&lt;9")/COUNTIFS(응답입력!$AH$3:$HD$3,"L21",응답입력!$AH56:$HD56,"&lt;9"),"")</f>
        <v/>
      </c>
      <c r="W55" s="35" t="str">
        <f aca="false">IF(COUNTIFS(응답입력!$AH$3:$HD$3,"L22",응답입력!$AH56:$HD56,"&lt;9")&gt;=3,SUMIFS(응답입력!$AH56:$HD56,응답입력!$AH$3:$HD$3,"L22",응답입력!$AH56:$HD56,"&lt;9")/COUNTIFS(응답입력!$AH$3:$HD$3,"L22",응답입력!$AH56:$HD56,"&lt;9"),"")</f>
        <v/>
      </c>
      <c r="X55" s="35" t="str">
        <f aca="false">IF(COUNTIFS(응답입력!$AH$3:$HD$3,"L23",응답입력!$AH56:$HD56,"&lt;9")&gt;=3,SUMIFS(응답입력!$AH56:$HD56,응답입력!$AH$3:$HD$3,"L23",응답입력!$AH56:$HD56,"&lt;9")/COUNTIFS(응답입력!$AH$3:$HD$3,"L23",응답입력!$AH56:$HD56,"&lt;9"),"")</f>
        <v/>
      </c>
      <c r="Y55" s="35" t="str">
        <f aca="false">IF(COUNTIFS(응답입력!$AH$3:$HD$3,"L24",응답입력!$AH56:$HD56,"&lt;9")&gt;=3,SUMIFS(응답입력!$AH56:$HD56,응답입력!$AH$3:$HD$3,"L24",응답입력!$AH56:$HD56,"&lt;9")/COUNTIFS(응답입력!$AH$3:$HD$3,"L24",응답입력!$AH56:$HD56,"&lt;9"),"")</f>
        <v/>
      </c>
      <c r="Z55" s="35" t="str">
        <f aca="false">IF(COUNTIFS(응답입력!$AH$3:$HD$3,"L25",응답입력!$AH56:$HD56,"&lt;9")&gt;=3,SUMIFS(응답입력!$AH56:$HD56,응답입력!$AH$3:$HD$3,"L25",응답입력!$AH56:$HD56,"&lt;9")/COUNTIFS(응답입력!$AH$3:$HD$3,"L25",응답입력!$AH56:$HD56,"&lt;9"),"")</f>
        <v/>
      </c>
      <c r="AA55" s="35" t="str">
        <f aca="false">IF(COUNTIFS(응답입력!$AH$3:$HD$3,"L26",응답입력!$AH56:$HD56,"&lt;9")&gt;=3,SUMIFS(응답입력!$AH56:$HD56,응답입력!$AH$3:$HD$3,"L26",응답입력!$AH56:$HD56,"&lt;9")/COUNTIFS(응답입력!$AH$3:$HD$3,"L26",응답입력!$AH56:$HD56,"&lt;9"),"")</f>
        <v/>
      </c>
      <c r="AB55" s="35" t="str">
        <f aca="false">IF(COUNTIFS(응답입력!$AH$3:$HD$3,"L27",응답입력!$AH56:$HD56,"&lt;9")&gt;=3,SUMIFS(응답입력!$AH56:$HD56,응답입력!$AH$3:$HD$3,"L27",응답입력!$AH56:$HD56,"&lt;9")/COUNTIFS(응답입력!$AH$3:$HD$3,"L27",응답입력!$AH56:$HD56,"&lt;9"),"")</f>
        <v/>
      </c>
      <c r="AC55" s="35" t="str">
        <f aca="false">IF(COUNTIFS(응답입력!$AH$3:$HD$3,"L28",응답입력!$AH56:$HD56,"&lt;9")&gt;=3,SUMIFS(응답입력!$AH56:$HD56,응답입력!$AH$3:$HD$3,"L28",응답입력!$AH56:$HD56,"&lt;9")/COUNTIFS(응답입력!$AH$3:$HD$3,"L28",응답입력!$AH56:$HD56,"&lt;9"),"")</f>
        <v/>
      </c>
      <c r="AD55" s="35" t="str">
        <f aca="false">IF(COUNTIFS(응답입력!$AH$3:$HD$3,"L29",응답입력!$AH56:$HD56,"&lt;9")&gt;=3,SUMIFS(응답입력!$AH56:$HD56,응답입력!$AH$3:$HD$3,"L29",응답입력!$AH56:$HD56,"&lt;9")/COUNTIFS(응답입력!$AH$3:$HD$3,"L29",응답입력!$AH56:$HD56,"&lt;9"),"")</f>
        <v/>
      </c>
      <c r="AE55" s="35" t="str">
        <f aca="false">IF(COUNTIFS(응답입력!$AH$3:$HD$3,"L30",응답입력!$AH56:$HD56,"&lt;9")&gt;=3,SUMIFS(응답입력!$AH56:$HD56,응답입력!$AH$3:$HD$3,"L30",응답입력!$AH56:$HD56,"&lt;9")/COUNTIFS(응답입력!$AH$3:$HD$3,"L30",응답입력!$AH56:$HD56,"&lt;9"),"")</f>
        <v/>
      </c>
      <c r="AF55" s="35" t="str">
        <f aca="false">IF(COUNTIFS(응답입력!$AH$3:$HD$3,"L31",응답입력!$AH56:$HD56,"&lt;9")&gt;=3,SUMIFS(응답입력!$AH56:$HD56,응답입력!$AH$3:$HD$3,"L31",응답입력!$AH56:$HD56,"&lt;9")/COUNTIFS(응답입력!$AH$3:$HD$3,"L31",응답입력!$AH56:$HD56,"&lt;9"),"")</f>
        <v/>
      </c>
      <c r="AG55" s="41" t="str">
        <f aca="false">IFERROR(AVERAGE(B55:AF55),"")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7" min="2" style="0" width="11"/>
    <col collapsed="false" customWidth="true" hidden="false" outlineLevel="0" max="8" min="8" style="0" width="16"/>
  </cols>
  <sheetData>
    <row r="1" customFormat="false" ht="19.4" hidden="false" customHeight="false" outlineLevel="0" collapsed="false">
      <c r="A1" s="7" t="s">
        <v>1811</v>
      </c>
    </row>
    <row r="5" customFormat="false" ht="15" hidden="false" customHeight="false" outlineLevel="0" collapsed="false">
      <c r="A5" s="9" t="s">
        <v>1799</v>
      </c>
      <c r="B5" s="9" t="s">
        <v>75</v>
      </c>
      <c r="C5" s="9" t="s">
        <v>81</v>
      </c>
      <c r="D5" s="9" t="s">
        <v>85</v>
      </c>
      <c r="E5" s="9" t="s">
        <v>90</v>
      </c>
      <c r="F5" s="9" t="s">
        <v>95</v>
      </c>
      <c r="G5" s="9" t="s">
        <v>100</v>
      </c>
      <c r="H5" s="9" t="s">
        <v>1812</v>
      </c>
    </row>
    <row r="6" customFormat="false" ht="15" hidden="false" customHeight="false" outlineLevel="0" collapsed="false">
      <c r="A6" s="27" t="str">
        <f aca="false">IF(응답입력!A7="","",응답입력!A7)</f>
        <v/>
      </c>
      <c r="B6" s="35" t="str">
        <f aca="false">IF(COUNTIFS(응답입력!$AH$4:$HD$4,"CO",응답입력!$AH$3:$HD$3,"L*",응답입력!$AH7:$HD7,"&lt;9")&gt;=5,SUMIFS(응답입력!$AH7:$HD7,응답입력!$AH$4:$HD$4,"CO",응답입력!$AH$3:$HD$3,"L*",응답입력!$AH7:$HD7,"&lt;9")/COUNTIFS(응답입력!$AH$4:$HD$4,"CO",응답입력!$AH$3:$HD$3,"L*",응답입력!$AH7:$HD7,"&lt;9"),"")</f>
        <v/>
      </c>
      <c r="C6" s="35" t="str">
        <f aca="false">IF(COUNTIFS(응답입력!$AH$4:$HD$4,"TR",응답입력!$AH$3:$HD$3,"L*",응답입력!$AH7:$HD7,"&lt;9")&gt;=5,SUMIFS(응답입력!$AH7:$HD7,응답입력!$AH$4:$HD$4,"TR",응답입력!$AH$3:$HD$3,"L*",응답입력!$AH7:$HD7,"&lt;9")/COUNTIFS(응답입력!$AH$4:$HD$4,"TR",응답입력!$AH$3:$HD$3,"L*",응답입력!$AH7:$HD7,"&lt;9"),"")</f>
        <v/>
      </c>
      <c r="D6" s="35" t="str">
        <f aca="false">IF(COUNTIFS(응답입력!$AH$4:$HD$4,"EV",응답입력!$AH$3:$HD$3,"L*",응답입력!$AH7:$HD7,"&lt;9")&gt;=5,SUMIFS(응답입력!$AH7:$HD7,응답입력!$AH$4:$HD$4,"EV",응답입력!$AH$3:$HD$3,"L*",응답입력!$AH7:$HD7,"&lt;9")/COUNTIFS(응답입력!$AH$4:$HD$4,"EV",응답입력!$AH$3:$HD$3,"L*",응답입력!$AH7:$HD7,"&lt;9"),"")</f>
        <v/>
      </c>
      <c r="E6" s="35" t="str">
        <f aca="false">IF(COUNTIFS(응답입력!$AH$4:$HD$4,"AC",응답입력!$AH$3:$HD$3,"L*",응답입력!$AH7:$HD7,"&lt;9")&gt;=5,SUMIFS(응답입력!$AH7:$HD7,응답입력!$AH$4:$HD$4,"AC",응답입력!$AH$3:$HD$3,"L*",응답입력!$AH7:$HD7,"&lt;9")/COUNTIFS(응답입력!$AH$4:$HD$4,"AC",응답입력!$AH$3:$HD$3,"L*",응답입력!$AH7:$HD7,"&lt;9"),"")</f>
        <v/>
      </c>
      <c r="F6" s="35" t="str">
        <f aca="false">IF(COUNTIFS(응답입력!$AH$4:$HD$4,"TM",응답입력!$AH$3:$HD$3,"L*",응답입력!$AH7:$HD7,"&lt;9")&gt;=5,SUMIFS(응답입력!$AH7:$HD7,응답입력!$AH$4:$HD$4,"TM",응답입력!$AH$3:$HD$3,"L*",응답입력!$AH7:$HD7,"&lt;9")/COUNTIFS(응답입력!$AH$4:$HD$4,"TM",응답입력!$AH$3:$HD$3,"L*",응답입력!$AH7:$HD7,"&lt;9"),"")</f>
        <v/>
      </c>
      <c r="G6" s="35" t="str">
        <f aca="false">IF(COUNTIFS(응답입력!$AH$4:$HD$4,"FC",응답입력!$AH$3:$HD$3,"L*",응답입력!$AH7:$HD7,"&lt;9")&gt;=2,SUMIFS(응답입력!$AH7:$HD7,응답입력!$AH$4:$HD$4,"FC",응답입력!$AH$3:$HD$3,"L*",응답입력!$AH7:$HD7,"&lt;9")/COUNTIFS(응답입력!$AH$4:$HD$4,"FC",응답입력!$AH$3:$HD$3,"L*",응답입력!$AH7:$HD7,"&lt;9"),"")</f>
        <v/>
      </c>
      <c r="H6" s="41" t="str">
        <f aca="false">IFERROR(AVERAGE(B6:G6),"")</f>
        <v/>
      </c>
    </row>
    <row r="7" customFormat="false" ht="15" hidden="false" customHeight="false" outlineLevel="0" collapsed="false">
      <c r="A7" s="27" t="str">
        <f aca="false">IF(응답입력!A8="","",응답입력!A8)</f>
        <v/>
      </c>
      <c r="B7" s="35" t="str">
        <f aca="false">IF(COUNTIFS(응답입력!$AH$4:$HD$4,"CO",응답입력!$AH$3:$HD$3,"L*",응답입력!$AH8:$HD8,"&lt;9")&gt;=5,SUMIFS(응답입력!$AH8:$HD8,응답입력!$AH$4:$HD$4,"CO",응답입력!$AH$3:$HD$3,"L*",응답입력!$AH8:$HD8,"&lt;9")/COUNTIFS(응답입력!$AH$4:$HD$4,"CO",응답입력!$AH$3:$HD$3,"L*",응답입력!$AH8:$HD8,"&lt;9"),"")</f>
        <v/>
      </c>
      <c r="C7" s="35" t="str">
        <f aca="false">IF(COUNTIFS(응답입력!$AH$4:$HD$4,"TR",응답입력!$AH$3:$HD$3,"L*",응답입력!$AH8:$HD8,"&lt;9")&gt;=5,SUMIFS(응답입력!$AH8:$HD8,응답입력!$AH$4:$HD$4,"TR",응답입력!$AH$3:$HD$3,"L*",응답입력!$AH8:$HD8,"&lt;9")/COUNTIFS(응답입력!$AH$4:$HD$4,"TR",응답입력!$AH$3:$HD$3,"L*",응답입력!$AH8:$HD8,"&lt;9"),"")</f>
        <v/>
      </c>
      <c r="D7" s="35" t="str">
        <f aca="false">IF(COUNTIFS(응답입력!$AH$4:$HD$4,"EV",응답입력!$AH$3:$HD$3,"L*",응답입력!$AH8:$HD8,"&lt;9")&gt;=5,SUMIFS(응답입력!$AH8:$HD8,응답입력!$AH$4:$HD$4,"EV",응답입력!$AH$3:$HD$3,"L*",응답입력!$AH8:$HD8,"&lt;9")/COUNTIFS(응답입력!$AH$4:$HD$4,"EV",응답입력!$AH$3:$HD$3,"L*",응답입력!$AH8:$HD8,"&lt;9"),"")</f>
        <v/>
      </c>
      <c r="E7" s="35" t="str">
        <f aca="false">IF(COUNTIFS(응답입력!$AH$4:$HD$4,"AC",응답입력!$AH$3:$HD$3,"L*",응답입력!$AH8:$HD8,"&lt;9")&gt;=5,SUMIFS(응답입력!$AH8:$HD8,응답입력!$AH$4:$HD$4,"AC",응답입력!$AH$3:$HD$3,"L*",응답입력!$AH8:$HD8,"&lt;9")/COUNTIFS(응답입력!$AH$4:$HD$4,"AC",응답입력!$AH$3:$HD$3,"L*",응답입력!$AH8:$HD8,"&lt;9"),"")</f>
        <v/>
      </c>
      <c r="F7" s="35" t="str">
        <f aca="false">IF(COUNTIFS(응답입력!$AH$4:$HD$4,"TM",응답입력!$AH$3:$HD$3,"L*",응답입력!$AH8:$HD8,"&lt;9")&gt;=5,SUMIFS(응답입력!$AH8:$HD8,응답입력!$AH$4:$HD$4,"TM",응답입력!$AH$3:$HD$3,"L*",응답입력!$AH8:$HD8,"&lt;9")/COUNTIFS(응답입력!$AH$4:$HD$4,"TM",응답입력!$AH$3:$HD$3,"L*",응답입력!$AH8:$HD8,"&lt;9"),"")</f>
        <v/>
      </c>
      <c r="G7" s="35" t="str">
        <f aca="false">IF(COUNTIFS(응답입력!$AH$4:$HD$4,"FC",응답입력!$AH$3:$HD$3,"L*",응답입력!$AH8:$HD8,"&lt;9")&gt;=2,SUMIFS(응답입력!$AH8:$HD8,응답입력!$AH$4:$HD$4,"FC",응답입력!$AH$3:$HD$3,"L*",응답입력!$AH8:$HD8,"&lt;9")/COUNTIFS(응답입력!$AH$4:$HD$4,"FC",응답입력!$AH$3:$HD$3,"L*",응답입력!$AH8:$HD8,"&lt;9"),"")</f>
        <v/>
      </c>
      <c r="H7" s="41" t="str">
        <f aca="false">IFERROR(AVERAGE(B7:G7),"")</f>
        <v/>
      </c>
    </row>
    <row r="8" customFormat="false" ht="15" hidden="false" customHeight="false" outlineLevel="0" collapsed="false">
      <c r="A8" s="27" t="str">
        <f aca="false">IF(응답입력!A9="","",응답입력!A9)</f>
        <v/>
      </c>
      <c r="B8" s="35" t="str">
        <f aca="false">IF(COUNTIFS(응답입력!$AH$4:$HD$4,"CO",응답입력!$AH$3:$HD$3,"L*",응답입력!$AH9:$HD9,"&lt;9")&gt;=5,SUMIFS(응답입력!$AH9:$HD9,응답입력!$AH$4:$HD$4,"CO",응답입력!$AH$3:$HD$3,"L*",응답입력!$AH9:$HD9,"&lt;9")/COUNTIFS(응답입력!$AH$4:$HD$4,"CO",응답입력!$AH$3:$HD$3,"L*",응답입력!$AH9:$HD9,"&lt;9"),"")</f>
        <v/>
      </c>
      <c r="C8" s="35" t="str">
        <f aca="false">IF(COUNTIFS(응답입력!$AH$4:$HD$4,"TR",응답입력!$AH$3:$HD$3,"L*",응답입력!$AH9:$HD9,"&lt;9")&gt;=5,SUMIFS(응답입력!$AH9:$HD9,응답입력!$AH$4:$HD$4,"TR",응답입력!$AH$3:$HD$3,"L*",응답입력!$AH9:$HD9,"&lt;9")/COUNTIFS(응답입력!$AH$4:$HD$4,"TR",응답입력!$AH$3:$HD$3,"L*",응답입력!$AH9:$HD9,"&lt;9"),"")</f>
        <v/>
      </c>
      <c r="D8" s="35" t="str">
        <f aca="false">IF(COUNTIFS(응답입력!$AH$4:$HD$4,"EV",응답입력!$AH$3:$HD$3,"L*",응답입력!$AH9:$HD9,"&lt;9")&gt;=5,SUMIFS(응답입력!$AH9:$HD9,응답입력!$AH$4:$HD$4,"EV",응답입력!$AH$3:$HD$3,"L*",응답입력!$AH9:$HD9,"&lt;9")/COUNTIFS(응답입력!$AH$4:$HD$4,"EV",응답입력!$AH$3:$HD$3,"L*",응답입력!$AH9:$HD9,"&lt;9"),"")</f>
        <v/>
      </c>
      <c r="E8" s="35" t="str">
        <f aca="false">IF(COUNTIFS(응답입력!$AH$4:$HD$4,"AC",응답입력!$AH$3:$HD$3,"L*",응답입력!$AH9:$HD9,"&lt;9")&gt;=5,SUMIFS(응답입력!$AH9:$HD9,응답입력!$AH$4:$HD$4,"AC",응답입력!$AH$3:$HD$3,"L*",응답입력!$AH9:$HD9,"&lt;9")/COUNTIFS(응답입력!$AH$4:$HD$4,"AC",응답입력!$AH$3:$HD$3,"L*",응답입력!$AH9:$HD9,"&lt;9"),"")</f>
        <v/>
      </c>
      <c r="F8" s="35" t="str">
        <f aca="false">IF(COUNTIFS(응답입력!$AH$4:$HD$4,"TM",응답입력!$AH$3:$HD$3,"L*",응답입력!$AH9:$HD9,"&lt;9")&gt;=5,SUMIFS(응답입력!$AH9:$HD9,응답입력!$AH$4:$HD$4,"TM",응답입력!$AH$3:$HD$3,"L*",응답입력!$AH9:$HD9,"&lt;9")/COUNTIFS(응답입력!$AH$4:$HD$4,"TM",응답입력!$AH$3:$HD$3,"L*",응답입력!$AH9:$HD9,"&lt;9"),"")</f>
        <v/>
      </c>
      <c r="G8" s="35" t="str">
        <f aca="false">IF(COUNTIFS(응답입력!$AH$4:$HD$4,"FC",응답입력!$AH$3:$HD$3,"L*",응답입력!$AH9:$HD9,"&lt;9")&gt;=2,SUMIFS(응답입력!$AH9:$HD9,응답입력!$AH$4:$HD$4,"FC",응답입력!$AH$3:$HD$3,"L*",응답입력!$AH9:$HD9,"&lt;9")/COUNTIFS(응답입력!$AH$4:$HD$4,"FC",응답입력!$AH$3:$HD$3,"L*",응답입력!$AH9:$HD9,"&lt;9"),"")</f>
        <v/>
      </c>
      <c r="H8" s="41" t="str">
        <f aca="false">IFERROR(AVERAGE(B8:G8),"")</f>
        <v/>
      </c>
    </row>
    <row r="9" customFormat="false" ht="15" hidden="false" customHeight="false" outlineLevel="0" collapsed="false">
      <c r="A9" s="27" t="str">
        <f aca="false">IF(응답입력!A10="","",응답입력!A10)</f>
        <v/>
      </c>
      <c r="B9" s="35" t="str">
        <f aca="false">IF(COUNTIFS(응답입력!$AH$4:$HD$4,"CO",응답입력!$AH$3:$HD$3,"L*",응답입력!$AH10:$HD10,"&lt;9")&gt;=5,SUMIFS(응답입력!$AH10:$HD10,응답입력!$AH$4:$HD$4,"CO",응답입력!$AH$3:$HD$3,"L*",응답입력!$AH10:$HD10,"&lt;9")/COUNTIFS(응답입력!$AH$4:$HD$4,"CO",응답입력!$AH$3:$HD$3,"L*",응답입력!$AH10:$HD10,"&lt;9"),"")</f>
        <v/>
      </c>
      <c r="C9" s="35" t="str">
        <f aca="false">IF(COUNTIFS(응답입력!$AH$4:$HD$4,"TR",응답입력!$AH$3:$HD$3,"L*",응답입력!$AH10:$HD10,"&lt;9")&gt;=5,SUMIFS(응답입력!$AH10:$HD10,응답입력!$AH$4:$HD$4,"TR",응답입력!$AH$3:$HD$3,"L*",응답입력!$AH10:$HD10,"&lt;9")/COUNTIFS(응답입력!$AH$4:$HD$4,"TR",응답입력!$AH$3:$HD$3,"L*",응답입력!$AH10:$HD10,"&lt;9"),"")</f>
        <v/>
      </c>
      <c r="D9" s="35" t="str">
        <f aca="false">IF(COUNTIFS(응답입력!$AH$4:$HD$4,"EV",응답입력!$AH$3:$HD$3,"L*",응답입력!$AH10:$HD10,"&lt;9")&gt;=5,SUMIFS(응답입력!$AH10:$HD10,응답입력!$AH$4:$HD$4,"EV",응답입력!$AH$3:$HD$3,"L*",응답입력!$AH10:$HD10,"&lt;9")/COUNTIFS(응답입력!$AH$4:$HD$4,"EV",응답입력!$AH$3:$HD$3,"L*",응답입력!$AH10:$HD10,"&lt;9"),"")</f>
        <v/>
      </c>
      <c r="E9" s="35" t="str">
        <f aca="false">IF(COUNTIFS(응답입력!$AH$4:$HD$4,"AC",응답입력!$AH$3:$HD$3,"L*",응답입력!$AH10:$HD10,"&lt;9")&gt;=5,SUMIFS(응답입력!$AH10:$HD10,응답입력!$AH$4:$HD$4,"AC",응답입력!$AH$3:$HD$3,"L*",응답입력!$AH10:$HD10,"&lt;9")/COUNTIFS(응답입력!$AH$4:$HD$4,"AC",응답입력!$AH$3:$HD$3,"L*",응답입력!$AH10:$HD10,"&lt;9"),"")</f>
        <v/>
      </c>
      <c r="F9" s="35" t="str">
        <f aca="false">IF(COUNTIFS(응답입력!$AH$4:$HD$4,"TM",응답입력!$AH$3:$HD$3,"L*",응답입력!$AH10:$HD10,"&lt;9")&gt;=5,SUMIFS(응답입력!$AH10:$HD10,응답입력!$AH$4:$HD$4,"TM",응답입력!$AH$3:$HD$3,"L*",응답입력!$AH10:$HD10,"&lt;9")/COUNTIFS(응답입력!$AH$4:$HD$4,"TM",응답입력!$AH$3:$HD$3,"L*",응답입력!$AH10:$HD10,"&lt;9"),"")</f>
        <v/>
      </c>
      <c r="G9" s="35" t="str">
        <f aca="false">IF(COUNTIFS(응답입력!$AH$4:$HD$4,"FC",응답입력!$AH$3:$HD$3,"L*",응답입력!$AH10:$HD10,"&lt;9")&gt;=2,SUMIFS(응답입력!$AH10:$HD10,응답입력!$AH$4:$HD$4,"FC",응답입력!$AH$3:$HD$3,"L*",응답입력!$AH10:$HD10,"&lt;9")/COUNTIFS(응답입력!$AH$4:$HD$4,"FC",응답입력!$AH$3:$HD$3,"L*",응답입력!$AH10:$HD10,"&lt;9"),"")</f>
        <v/>
      </c>
      <c r="H9" s="41" t="str">
        <f aca="false">IFERROR(AVERAGE(B9:G9),"")</f>
        <v/>
      </c>
    </row>
    <row r="10" customFormat="false" ht="15" hidden="false" customHeight="false" outlineLevel="0" collapsed="false">
      <c r="A10" s="27" t="str">
        <f aca="false">IF(응답입력!A11="","",응답입력!A11)</f>
        <v/>
      </c>
      <c r="B10" s="35" t="str">
        <f aca="false">IF(COUNTIFS(응답입력!$AH$4:$HD$4,"CO",응답입력!$AH$3:$HD$3,"L*",응답입력!$AH11:$HD11,"&lt;9")&gt;=5,SUMIFS(응답입력!$AH11:$HD11,응답입력!$AH$4:$HD$4,"CO",응답입력!$AH$3:$HD$3,"L*",응답입력!$AH11:$HD11,"&lt;9")/COUNTIFS(응답입력!$AH$4:$HD$4,"CO",응답입력!$AH$3:$HD$3,"L*",응답입력!$AH11:$HD11,"&lt;9"),"")</f>
        <v/>
      </c>
      <c r="C10" s="35" t="str">
        <f aca="false">IF(COUNTIFS(응답입력!$AH$4:$HD$4,"TR",응답입력!$AH$3:$HD$3,"L*",응답입력!$AH11:$HD11,"&lt;9")&gt;=5,SUMIFS(응답입력!$AH11:$HD11,응답입력!$AH$4:$HD$4,"TR",응답입력!$AH$3:$HD$3,"L*",응답입력!$AH11:$HD11,"&lt;9")/COUNTIFS(응답입력!$AH$4:$HD$4,"TR",응답입력!$AH$3:$HD$3,"L*",응답입력!$AH11:$HD11,"&lt;9"),"")</f>
        <v/>
      </c>
      <c r="D10" s="35" t="str">
        <f aca="false">IF(COUNTIFS(응답입력!$AH$4:$HD$4,"EV",응답입력!$AH$3:$HD$3,"L*",응답입력!$AH11:$HD11,"&lt;9")&gt;=5,SUMIFS(응답입력!$AH11:$HD11,응답입력!$AH$4:$HD$4,"EV",응답입력!$AH$3:$HD$3,"L*",응답입력!$AH11:$HD11,"&lt;9")/COUNTIFS(응답입력!$AH$4:$HD$4,"EV",응답입력!$AH$3:$HD$3,"L*",응답입력!$AH11:$HD11,"&lt;9"),"")</f>
        <v/>
      </c>
      <c r="E10" s="35" t="str">
        <f aca="false">IF(COUNTIFS(응답입력!$AH$4:$HD$4,"AC",응답입력!$AH$3:$HD$3,"L*",응답입력!$AH11:$HD11,"&lt;9")&gt;=5,SUMIFS(응답입력!$AH11:$HD11,응답입력!$AH$4:$HD$4,"AC",응답입력!$AH$3:$HD$3,"L*",응답입력!$AH11:$HD11,"&lt;9")/COUNTIFS(응답입력!$AH$4:$HD$4,"AC",응답입력!$AH$3:$HD$3,"L*",응답입력!$AH11:$HD11,"&lt;9"),"")</f>
        <v/>
      </c>
      <c r="F10" s="35" t="str">
        <f aca="false">IF(COUNTIFS(응답입력!$AH$4:$HD$4,"TM",응답입력!$AH$3:$HD$3,"L*",응답입력!$AH11:$HD11,"&lt;9")&gt;=5,SUMIFS(응답입력!$AH11:$HD11,응답입력!$AH$4:$HD$4,"TM",응답입력!$AH$3:$HD$3,"L*",응답입력!$AH11:$HD11,"&lt;9")/COUNTIFS(응답입력!$AH$4:$HD$4,"TM",응답입력!$AH$3:$HD$3,"L*",응답입력!$AH11:$HD11,"&lt;9"),"")</f>
        <v/>
      </c>
      <c r="G10" s="35" t="str">
        <f aca="false">IF(COUNTIFS(응답입력!$AH$4:$HD$4,"FC",응답입력!$AH$3:$HD$3,"L*",응답입력!$AH11:$HD11,"&lt;9")&gt;=2,SUMIFS(응답입력!$AH11:$HD11,응답입력!$AH$4:$HD$4,"FC",응답입력!$AH$3:$HD$3,"L*",응답입력!$AH11:$HD11,"&lt;9")/COUNTIFS(응답입력!$AH$4:$HD$4,"FC",응답입력!$AH$3:$HD$3,"L*",응답입력!$AH11:$HD11,"&lt;9"),"")</f>
        <v/>
      </c>
      <c r="H10" s="41" t="str">
        <f aca="false">IFERROR(AVERAGE(B10:G10),"")</f>
        <v/>
      </c>
    </row>
    <row r="11" customFormat="false" ht="15" hidden="false" customHeight="false" outlineLevel="0" collapsed="false">
      <c r="A11" s="27" t="str">
        <f aca="false">IF(응답입력!A12="","",응답입력!A12)</f>
        <v/>
      </c>
      <c r="B11" s="35" t="str">
        <f aca="false">IF(COUNTIFS(응답입력!$AH$4:$HD$4,"CO",응답입력!$AH$3:$HD$3,"L*",응답입력!$AH12:$HD12,"&lt;9")&gt;=5,SUMIFS(응답입력!$AH12:$HD12,응답입력!$AH$4:$HD$4,"CO",응답입력!$AH$3:$HD$3,"L*",응답입력!$AH12:$HD12,"&lt;9")/COUNTIFS(응답입력!$AH$4:$HD$4,"CO",응답입력!$AH$3:$HD$3,"L*",응답입력!$AH12:$HD12,"&lt;9"),"")</f>
        <v/>
      </c>
      <c r="C11" s="35" t="str">
        <f aca="false">IF(COUNTIFS(응답입력!$AH$4:$HD$4,"TR",응답입력!$AH$3:$HD$3,"L*",응답입력!$AH12:$HD12,"&lt;9")&gt;=5,SUMIFS(응답입력!$AH12:$HD12,응답입력!$AH$4:$HD$4,"TR",응답입력!$AH$3:$HD$3,"L*",응답입력!$AH12:$HD12,"&lt;9")/COUNTIFS(응답입력!$AH$4:$HD$4,"TR",응답입력!$AH$3:$HD$3,"L*",응답입력!$AH12:$HD12,"&lt;9"),"")</f>
        <v/>
      </c>
      <c r="D11" s="35" t="str">
        <f aca="false">IF(COUNTIFS(응답입력!$AH$4:$HD$4,"EV",응답입력!$AH$3:$HD$3,"L*",응답입력!$AH12:$HD12,"&lt;9")&gt;=5,SUMIFS(응답입력!$AH12:$HD12,응답입력!$AH$4:$HD$4,"EV",응답입력!$AH$3:$HD$3,"L*",응답입력!$AH12:$HD12,"&lt;9")/COUNTIFS(응답입력!$AH$4:$HD$4,"EV",응답입력!$AH$3:$HD$3,"L*",응답입력!$AH12:$HD12,"&lt;9"),"")</f>
        <v/>
      </c>
      <c r="E11" s="35" t="str">
        <f aca="false">IF(COUNTIFS(응답입력!$AH$4:$HD$4,"AC",응답입력!$AH$3:$HD$3,"L*",응답입력!$AH12:$HD12,"&lt;9")&gt;=5,SUMIFS(응답입력!$AH12:$HD12,응답입력!$AH$4:$HD$4,"AC",응답입력!$AH$3:$HD$3,"L*",응답입력!$AH12:$HD12,"&lt;9")/COUNTIFS(응답입력!$AH$4:$HD$4,"AC",응답입력!$AH$3:$HD$3,"L*",응답입력!$AH12:$HD12,"&lt;9"),"")</f>
        <v/>
      </c>
      <c r="F11" s="35" t="str">
        <f aca="false">IF(COUNTIFS(응답입력!$AH$4:$HD$4,"TM",응답입력!$AH$3:$HD$3,"L*",응답입력!$AH12:$HD12,"&lt;9")&gt;=5,SUMIFS(응답입력!$AH12:$HD12,응답입력!$AH$4:$HD$4,"TM",응답입력!$AH$3:$HD$3,"L*",응답입력!$AH12:$HD12,"&lt;9")/COUNTIFS(응답입력!$AH$4:$HD$4,"TM",응답입력!$AH$3:$HD$3,"L*",응답입력!$AH12:$HD12,"&lt;9"),"")</f>
        <v/>
      </c>
      <c r="G11" s="35" t="str">
        <f aca="false">IF(COUNTIFS(응답입력!$AH$4:$HD$4,"FC",응답입력!$AH$3:$HD$3,"L*",응답입력!$AH12:$HD12,"&lt;9")&gt;=2,SUMIFS(응답입력!$AH12:$HD12,응답입력!$AH$4:$HD$4,"FC",응답입력!$AH$3:$HD$3,"L*",응답입력!$AH12:$HD12,"&lt;9")/COUNTIFS(응답입력!$AH$4:$HD$4,"FC",응답입력!$AH$3:$HD$3,"L*",응답입력!$AH12:$HD12,"&lt;9"),"")</f>
        <v/>
      </c>
      <c r="H11" s="41" t="str">
        <f aca="false">IFERROR(AVERAGE(B11:G11),"")</f>
        <v/>
      </c>
    </row>
    <row r="12" customFormat="false" ht="15" hidden="false" customHeight="false" outlineLevel="0" collapsed="false">
      <c r="A12" s="27" t="str">
        <f aca="false">IF(응답입력!A13="","",응답입력!A13)</f>
        <v/>
      </c>
      <c r="B12" s="35" t="str">
        <f aca="false">IF(COUNTIFS(응답입력!$AH$4:$HD$4,"CO",응답입력!$AH$3:$HD$3,"L*",응답입력!$AH13:$HD13,"&lt;9")&gt;=5,SUMIFS(응답입력!$AH13:$HD13,응답입력!$AH$4:$HD$4,"CO",응답입력!$AH$3:$HD$3,"L*",응답입력!$AH13:$HD13,"&lt;9")/COUNTIFS(응답입력!$AH$4:$HD$4,"CO",응답입력!$AH$3:$HD$3,"L*",응답입력!$AH13:$HD13,"&lt;9"),"")</f>
        <v/>
      </c>
      <c r="C12" s="35" t="str">
        <f aca="false">IF(COUNTIFS(응답입력!$AH$4:$HD$4,"TR",응답입력!$AH$3:$HD$3,"L*",응답입력!$AH13:$HD13,"&lt;9")&gt;=5,SUMIFS(응답입력!$AH13:$HD13,응답입력!$AH$4:$HD$4,"TR",응답입력!$AH$3:$HD$3,"L*",응답입력!$AH13:$HD13,"&lt;9")/COUNTIFS(응답입력!$AH$4:$HD$4,"TR",응답입력!$AH$3:$HD$3,"L*",응답입력!$AH13:$HD13,"&lt;9"),"")</f>
        <v/>
      </c>
      <c r="D12" s="35" t="str">
        <f aca="false">IF(COUNTIFS(응답입력!$AH$4:$HD$4,"EV",응답입력!$AH$3:$HD$3,"L*",응답입력!$AH13:$HD13,"&lt;9")&gt;=5,SUMIFS(응답입력!$AH13:$HD13,응답입력!$AH$4:$HD$4,"EV",응답입력!$AH$3:$HD$3,"L*",응답입력!$AH13:$HD13,"&lt;9")/COUNTIFS(응답입력!$AH$4:$HD$4,"EV",응답입력!$AH$3:$HD$3,"L*",응답입력!$AH13:$HD13,"&lt;9"),"")</f>
        <v/>
      </c>
      <c r="E12" s="35" t="str">
        <f aca="false">IF(COUNTIFS(응답입력!$AH$4:$HD$4,"AC",응답입력!$AH$3:$HD$3,"L*",응답입력!$AH13:$HD13,"&lt;9")&gt;=5,SUMIFS(응답입력!$AH13:$HD13,응답입력!$AH$4:$HD$4,"AC",응답입력!$AH$3:$HD$3,"L*",응답입력!$AH13:$HD13,"&lt;9")/COUNTIFS(응답입력!$AH$4:$HD$4,"AC",응답입력!$AH$3:$HD$3,"L*",응답입력!$AH13:$HD13,"&lt;9"),"")</f>
        <v/>
      </c>
      <c r="F12" s="35" t="str">
        <f aca="false">IF(COUNTIFS(응답입력!$AH$4:$HD$4,"TM",응답입력!$AH$3:$HD$3,"L*",응답입력!$AH13:$HD13,"&lt;9")&gt;=5,SUMIFS(응답입력!$AH13:$HD13,응답입력!$AH$4:$HD$4,"TM",응답입력!$AH$3:$HD$3,"L*",응답입력!$AH13:$HD13,"&lt;9")/COUNTIFS(응답입력!$AH$4:$HD$4,"TM",응답입력!$AH$3:$HD$3,"L*",응답입력!$AH13:$HD13,"&lt;9"),"")</f>
        <v/>
      </c>
      <c r="G12" s="35" t="str">
        <f aca="false">IF(COUNTIFS(응답입력!$AH$4:$HD$4,"FC",응답입력!$AH$3:$HD$3,"L*",응답입력!$AH13:$HD13,"&lt;9")&gt;=2,SUMIFS(응답입력!$AH13:$HD13,응답입력!$AH$4:$HD$4,"FC",응답입력!$AH$3:$HD$3,"L*",응답입력!$AH13:$HD13,"&lt;9")/COUNTIFS(응답입력!$AH$4:$HD$4,"FC",응답입력!$AH$3:$HD$3,"L*",응답입력!$AH13:$HD13,"&lt;9"),"")</f>
        <v/>
      </c>
      <c r="H12" s="41" t="str">
        <f aca="false">IFERROR(AVERAGE(B12:G12),"")</f>
        <v/>
      </c>
    </row>
    <row r="13" customFormat="false" ht="15" hidden="false" customHeight="false" outlineLevel="0" collapsed="false">
      <c r="A13" s="27" t="str">
        <f aca="false">IF(응답입력!A14="","",응답입력!A14)</f>
        <v/>
      </c>
      <c r="B13" s="35" t="str">
        <f aca="false">IF(COUNTIFS(응답입력!$AH$4:$HD$4,"CO",응답입력!$AH$3:$HD$3,"L*",응답입력!$AH14:$HD14,"&lt;9")&gt;=5,SUMIFS(응답입력!$AH14:$HD14,응답입력!$AH$4:$HD$4,"CO",응답입력!$AH$3:$HD$3,"L*",응답입력!$AH14:$HD14,"&lt;9")/COUNTIFS(응답입력!$AH$4:$HD$4,"CO",응답입력!$AH$3:$HD$3,"L*",응답입력!$AH14:$HD14,"&lt;9"),"")</f>
        <v/>
      </c>
      <c r="C13" s="35" t="str">
        <f aca="false">IF(COUNTIFS(응답입력!$AH$4:$HD$4,"TR",응답입력!$AH$3:$HD$3,"L*",응답입력!$AH14:$HD14,"&lt;9")&gt;=5,SUMIFS(응답입력!$AH14:$HD14,응답입력!$AH$4:$HD$4,"TR",응답입력!$AH$3:$HD$3,"L*",응답입력!$AH14:$HD14,"&lt;9")/COUNTIFS(응답입력!$AH$4:$HD$4,"TR",응답입력!$AH$3:$HD$3,"L*",응답입력!$AH14:$HD14,"&lt;9"),"")</f>
        <v/>
      </c>
      <c r="D13" s="35" t="str">
        <f aca="false">IF(COUNTIFS(응답입력!$AH$4:$HD$4,"EV",응답입력!$AH$3:$HD$3,"L*",응답입력!$AH14:$HD14,"&lt;9")&gt;=5,SUMIFS(응답입력!$AH14:$HD14,응답입력!$AH$4:$HD$4,"EV",응답입력!$AH$3:$HD$3,"L*",응답입력!$AH14:$HD14,"&lt;9")/COUNTIFS(응답입력!$AH$4:$HD$4,"EV",응답입력!$AH$3:$HD$3,"L*",응답입력!$AH14:$HD14,"&lt;9"),"")</f>
        <v/>
      </c>
      <c r="E13" s="35" t="str">
        <f aca="false">IF(COUNTIFS(응답입력!$AH$4:$HD$4,"AC",응답입력!$AH$3:$HD$3,"L*",응답입력!$AH14:$HD14,"&lt;9")&gt;=5,SUMIFS(응답입력!$AH14:$HD14,응답입력!$AH$4:$HD$4,"AC",응답입력!$AH$3:$HD$3,"L*",응답입력!$AH14:$HD14,"&lt;9")/COUNTIFS(응답입력!$AH$4:$HD$4,"AC",응답입력!$AH$3:$HD$3,"L*",응답입력!$AH14:$HD14,"&lt;9"),"")</f>
        <v/>
      </c>
      <c r="F13" s="35" t="str">
        <f aca="false">IF(COUNTIFS(응답입력!$AH$4:$HD$4,"TM",응답입력!$AH$3:$HD$3,"L*",응답입력!$AH14:$HD14,"&lt;9")&gt;=5,SUMIFS(응답입력!$AH14:$HD14,응답입력!$AH$4:$HD$4,"TM",응답입력!$AH$3:$HD$3,"L*",응답입력!$AH14:$HD14,"&lt;9")/COUNTIFS(응답입력!$AH$4:$HD$4,"TM",응답입력!$AH$3:$HD$3,"L*",응답입력!$AH14:$HD14,"&lt;9"),"")</f>
        <v/>
      </c>
      <c r="G13" s="35" t="str">
        <f aca="false">IF(COUNTIFS(응답입력!$AH$4:$HD$4,"FC",응답입력!$AH$3:$HD$3,"L*",응답입력!$AH14:$HD14,"&lt;9")&gt;=2,SUMIFS(응답입력!$AH14:$HD14,응답입력!$AH$4:$HD$4,"FC",응답입력!$AH$3:$HD$3,"L*",응답입력!$AH14:$HD14,"&lt;9")/COUNTIFS(응답입력!$AH$4:$HD$4,"FC",응답입력!$AH$3:$HD$3,"L*",응답입력!$AH14:$HD14,"&lt;9"),"")</f>
        <v/>
      </c>
      <c r="H13" s="41" t="str">
        <f aca="false">IFERROR(AVERAGE(B13:G13),"")</f>
        <v/>
      </c>
    </row>
    <row r="14" customFormat="false" ht="15" hidden="false" customHeight="false" outlineLevel="0" collapsed="false">
      <c r="A14" s="27" t="str">
        <f aca="false">IF(응답입력!A15="","",응답입력!A15)</f>
        <v/>
      </c>
      <c r="B14" s="35" t="str">
        <f aca="false">IF(COUNTIFS(응답입력!$AH$4:$HD$4,"CO",응답입력!$AH$3:$HD$3,"L*",응답입력!$AH15:$HD15,"&lt;9")&gt;=5,SUMIFS(응답입력!$AH15:$HD15,응답입력!$AH$4:$HD$4,"CO",응답입력!$AH$3:$HD$3,"L*",응답입력!$AH15:$HD15,"&lt;9")/COUNTIFS(응답입력!$AH$4:$HD$4,"CO",응답입력!$AH$3:$HD$3,"L*",응답입력!$AH15:$HD15,"&lt;9"),"")</f>
        <v/>
      </c>
      <c r="C14" s="35" t="str">
        <f aca="false">IF(COUNTIFS(응답입력!$AH$4:$HD$4,"TR",응답입력!$AH$3:$HD$3,"L*",응답입력!$AH15:$HD15,"&lt;9")&gt;=5,SUMIFS(응답입력!$AH15:$HD15,응답입력!$AH$4:$HD$4,"TR",응답입력!$AH$3:$HD$3,"L*",응답입력!$AH15:$HD15,"&lt;9")/COUNTIFS(응답입력!$AH$4:$HD$4,"TR",응답입력!$AH$3:$HD$3,"L*",응답입력!$AH15:$HD15,"&lt;9"),"")</f>
        <v/>
      </c>
      <c r="D14" s="35" t="str">
        <f aca="false">IF(COUNTIFS(응답입력!$AH$4:$HD$4,"EV",응답입력!$AH$3:$HD$3,"L*",응답입력!$AH15:$HD15,"&lt;9")&gt;=5,SUMIFS(응답입력!$AH15:$HD15,응답입력!$AH$4:$HD$4,"EV",응답입력!$AH$3:$HD$3,"L*",응답입력!$AH15:$HD15,"&lt;9")/COUNTIFS(응답입력!$AH$4:$HD$4,"EV",응답입력!$AH$3:$HD$3,"L*",응답입력!$AH15:$HD15,"&lt;9"),"")</f>
        <v/>
      </c>
      <c r="E14" s="35" t="str">
        <f aca="false">IF(COUNTIFS(응답입력!$AH$4:$HD$4,"AC",응답입력!$AH$3:$HD$3,"L*",응답입력!$AH15:$HD15,"&lt;9")&gt;=5,SUMIFS(응답입력!$AH15:$HD15,응답입력!$AH$4:$HD$4,"AC",응답입력!$AH$3:$HD$3,"L*",응답입력!$AH15:$HD15,"&lt;9")/COUNTIFS(응답입력!$AH$4:$HD$4,"AC",응답입력!$AH$3:$HD$3,"L*",응답입력!$AH15:$HD15,"&lt;9"),"")</f>
        <v/>
      </c>
      <c r="F14" s="35" t="str">
        <f aca="false">IF(COUNTIFS(응답입력!$AH$4:$HD$4,"TM",응답입력!$AH$3:$HD$3,"L*",응답입력!$AH15:$HD15,"&lt;9")&gt;=5,SUMIFS(응답입력!$AH15:$HD15,응답입력!$AH$4:$HD$4,"TM",응답입력!$AH$3:$HD$3,"L*",응답입력!$AH15:$HD15,"&lt;9")/COUNTIFS(응답입력!$AH$4:$HD$4,"TM",응답입력!$AH$3:$HD$3,"L*",응답입력!$AH15:$HD15,"&lt;9"),"")</f>
        <v/>
      </c>
      <c r="G14" s="35" t="str">
        <f aca="false">IF(COUNTIFS(응답입력!$AH$4:$HD$4,"FC",응답입력!$AH$3:$HD$3,"L*",응답입력!$AH15:$HD15,"&lt;9")&gt;=2,SUMIFS(응답입력!$AH15:$HD15,응답입력!$AH$4:$HD$4,"FC",응답입력!$AH$3:$HD$3,"L*",응답입력!$AH15:$HD15,"&lt;9")/COUNTIFS(응답입력!$AH$4:$HD$4,"FC",응답입력!$AH$3:$HD$3,"L*",응답입력!$AH15:$HD15,"&lt;9"),"")</f>
        <v/>
      </c>
      <c r="H14" s="41" t="str">
        <f aca="false">IFERROR(AVERAGE(B14:G14),"")</f>
        <v/>
      </c>
    </row>
    <row r="15" customFormat="false" ht="15" hidden="false" customHeight="false" outlineLevel="0" collapsed="false">
      <c r="A15" s="27" t="str">
        <f aca="false">IF(응답입력!A16="","",응답입력!A16)</f>
        <v/>
      </c>
      <c r="B15" s="35" t="str">
        <f aca="false">IF(COUNTIFS(응답입력!$AH$4:$HD$4,"CO",응답입력!$AH$3:$HD$3,"L*",응답입력!$AH16:$HD16,"&lt;9")&gt;=5,SUMIFS(응답입력!$AH16:$HD16,응답입력!$AH$4:$HD$4,"CO",응답입력!$AH$3:$HD$3,"L*",응답입력!$AH16:$HD16,"&lt;9")/COUNTIFS(응답입력!$AH$4:$HD$4,"CO",응답입력!$AH$3:$HD$3,"L*",응답입력!$AH16:$HD16,"&lt;9"),"")</f>
        <v/>
      </c>
      <c r="C15" s="35" t="str">
        <f aca="false">IF(COUNTIFS(응답입력!$AH$4:$HD$4,"TR",응답입력!$AH$3:$HD$3,"L*",응답입력!$AH16:$HD16,"&lt;9")&gt;=5,SUMIFS(응답입력!$AH16:$HD16,응답입력!$AH$4:$HD$4,"TR",응답입력!$AH$3:$HD$3,"L*",응답입력!$AH16:$HD16,"&lt;9")/COUNTIFS(응답입력!$AH$4:$HD$4,"TR",응답입력!$AH$3:$HD$3,"L*",응답입력!$AH16:$HD16,"&lt;9"),"")</f>
        <v/>
      </c>
      <c r="D15" s="35" t="str">
        <f aca="false">IF(COUNTIFS(응답입력!$AH$4:$HD$4,"EV",응답입력!$AH$3:$HD$3,"L*",응답입력!$AH16:$HD16,"&lt;9")&gt;=5,SUMIFS(응답입력!$AH16:$HD16,응답입력!$AH$4:$HD$4,"EV",응답입력!$AH$3:$HD$3,"L*",응답입력!$AH16:$HD16,"&lt;9")/COUNTIFS(응답입력!$AH$4:$HD$4,"EV",응답입력!$AH$3:$HD$3,"L*",응답입력!$AH16:$HD16,"&lt;9"),"")</f>
        <v/>
      </c>
      <c r="E15" s="35" t="str">
        <f aca="false">IF(COUNTIFS(응답입력!$AH$4:$HD$4,"AC",응답입력!$AH$3:$HD$3,"L*",응답입력!$AH16:$HD16,"&lt;9")&gt;=5,SUMIFS(응답입력!$AH16:$HD16,응답입력!$AH$4:$HD$4,"AC",응답입력!$AH$3:$HD$3,"L*",응답입력!$AH16:$HD16,"&lt;9")/COUNTIFS(응답입력!$AH$4:$HD$4,"AC",응답입력!$AH$3:$HD$3,"L*",응답입력!$AH16:$HD16,"&lt;9"),"")</f>
        <v/>
      </c>
      <c r="F15" s="35" t="str">
        <f aca="false">IF(COUNTIFS(응답입력!$AH$4:$HD$4,"TM",응답입력!$AH$3:$HD$3,"L*",응답입력!$AH16:$HD16,"&lt;9")&gt;=5,SUMIFS(응답입력!$AH16:$HD16,응답입력!$AH$4:$HD$4,"TM",응답입력!$AH$3:$HD$3,"L*",응답입력!$AH16:$HD16,"&lt;9")/COUNTIFS(응답입력!$AH$4:$HD$4,"TM",응답입력!$AH$3:$HD$3,"L*",응답입력!$AH16:$HD16,"&lt;9"),"")</f>
        <v/>
      </c>
      <c r="G15" s="35" t="str">
        <f aca="false">IF(COUNTIFS(응답입력!$AH$4:$HD$4,"FC",응답입력!$AH$3:$HD$3,"L*",응답입력!$AH16:$HD16,"&lt;9")&gt;=2,SUMIFS(응답입력!$AH16:$HD16,응답입력!$AH$4:$HD$4,"FC",응답입력!$AH$3:$HD$3,"L*",응답입력!$AH16:$HD16,"&lt;9")/COUNTIFS(응답입력!$AH$4:$HD$4,"FC",응답입력!$AH$3:$HD$3,"L*",응답입력!$AH16:$HD16,"&lt;9"),"")</f>
        <v/>
      </c>
      <c r="H15" s="41" t="str">
        <f aca="false">IFERROR(AVERAGE(B15:G15),"")</f>
        <v/>
      </c>
    </row>
    <row r="16" customFormat="false" ht="15" hidden="false" customHeight="false" outlineLevel="0" collapsed="false">
      <c r="A16" s="27" t="str">
        <f aca="false">IF(응답입력!A17="","",응답입력!A17)</f>
        <v/>
      </c>
      <c r="B16" s="35" t="str">
        <f aca="false">IF(COUNTIFS(응답입력!$AH$4:$HD$4,"CO",응답입력!$AH$3:$HD$3,"L*",응답입력!$AH17:$HD17,"&lt;9")&gt;=5,SUMIFS(응답입력!$AH17:$HD17,응답입력!$AH$4:$HD$4,"CO",응답입력!$AH$3:$HD$3,"L*",응답입력!$AH17:$HD17,"&lt;9")/COUNTIFS(응답입력!$AH$4:$HD$4,"CO",응답입력!$AH$3:$HD$3,"L*",응답입력!$AH17:$HD17,"&lt;9"),"")</f>
        <v/>
      </c>
      <c r="C16" s="35" t="str">
        <f aca="false">IF(COUNTIFS(응답입력!$AH$4:$HD$4,"TR",응답입력!$AH$3:$HD$3,"L*",응답입력!$AH17:$HD17,"&lt;9")&gt;=5,SUMIFS(응답입력!$AH17:$HD17,응답입력!$AH$4:$HD$4,"TR",응답입력!$AH$3:$HD$3,"L*",응답입력!$AH17:$HD17,"&lt;9")/COUNTIFS(응답입력!$AH$4:$HD$4,"TR",응답입력!$AH$3:$HD$3,"L*",응답입력!$AH17:$HD17,"&lt;9"),"")</f>
        <v/>
      </c>
      <c r="D16" s="35" t="str">
        <f aca="false">IF(COUNTIFS(응답입력!$AH$4:$HD$4,"EV",응답입력!$AH$3:$HD$3,"L*",응답입력!$AH17:$HD17,"&lt;9")&gt;=5,SUMIFS(응답입력!$AH17:$HD17,응답입력!$AH$4:$HD$4,"EV",응답입력!$AH$3:$HD$3,"L*",응답입력!$AH17:$HD17,"&lt;9")/COUNTIFS(응답입력!$AH$4:$HD$4,"EV",응답입력!$AH$3:$HD$3,"L*",응답입력!$AH17:$HD17,"&lt;9"),"")</f>
        <v/>
      </c>
      <c r="E16" s="35" t="str">
        <f aca="false">IF(COUNTIFS(응답입력!$AH$4:$HD$4,"AC",응답입력!$AH$3:$HD$3,"L*",응답입력!$AH17:$HD17,"&lt;9")&gt;=5,SUMIFS(응답입력!$AH17:$HD17,응답입력!$AH$4:$HD$4,"AC",응답입력!$AH$3:$HD$3,"L*",응답입력!$AH17:$HD17,"&lt;9")/COUNTIFS(응답입력!$AH$4:$HD$4,"AC",응답입력!$AH$3:$HD$3,"L*",응답입력!$AH17:$HD17,"&lt;9"),"")</f>
        <v/>
      </c>
      <c r="F16" s="35" t="str">
        <f aca="false">IF(COUNTIFS(응답입력!$AH$4:$HD$4,"TM",응답입력!$AH$3:$HD$3,"L*",응답입력!$AH17:$HD17,"&lt;9")&gt;=5,SUMIFS(응답입력!$AH17:$HD17,응답입력!$AH$4:$HD$4,"TM",응답입력!$AH$3:$HD$3,"L*",응답입력!$AH17:$HD17,"&lt;9")/COUNTIFS(응답입력!$AH$4:$HD$4,"TM",응답입력!$AH$3:$HD$3,"L*",응답입력!$AH17:$HD17,"&lt;9"),"")</f>
        <v/>
      </c>
      <c r="G16" s="35" t="str">
        <f aca="false">IF(COUNTIFS(응답입력!$AH$4:$HD$4,"FC",응답입력!$AH$3:$HD$3,"L*",응답입력!$AH17:$HD17,"&lt;9")&gt;=2,SUMIFS(응답입력!$AH17:$HD17,응답입력!$AH$4:$HD$4,"FC",응답입력!$AH$3:$HD$3,"L*",응답입력!$AH17:$HD17,"&lt;9")/COUNTIFS(응답입력!$AH$4:$HD$4,"FC",응답입력!$AH$3:$HD$3,"L*",응답입력!$AH17:$HD17,"&lt;9"),"")</f>
        <v/>
      </c>
      <c r="H16" s="41" t="str">
        <f aca="false">IFERROR(AVERAGE(B16:G16),"")</f>
        <v/>
      </c>
    </row>
    <row r="17" customFormat="false" ht="15" hidden="false" customHeight="false" outlineLevel="0" collapsed="false">
      <c r="A17" s="27" t="str">
        <f aca="false">IF(응답입력!A18="","",응답입력!A18)</f>
        <v/>
      </c>
      <c r="B17" s="35" t="str">
        <f aca="false">IF(COUNTIFS(응답입력!$AH$4:$HD$4,"CO",응답입력!$AH$3:$HD$3,"L*",응답입력!$AH18:$HD18,"&lt;9")&gt;=5,SUMIFS(응답입력!$AH18:$HD18,응답입력!$AH$4:$HD$4,"CO",응답입력!$AH$3:$HD$3,"L*",응답입력!$AH18:$HD18,"&lt;9")/COUNTIFS(응답입력!$AH$4:$HD$4,"CO",응답입력!$AH$3:$HD$3,"L*",응답입력!$AH18:$HD18,"&lt;9"),"")</f>
        <v/>
      </c>
      <c r="C17" s="35" t="str">
        <f aca="false">IF(COUNTIFS(응답입력!$AH$4:$HD$4,"TR",응답입력!$AH$3:$HD$3,"L*",응답입력!$AH18:$HD18,"&lt;9")&gt;=5,SUMIFS(응답입력!$AH18:$HD18,응답입력!$AH$4:$HD$4,"TR",응답입력!$AH$3:$HD$3,"L*",응답입력!$AH18:$HD18,"&lt;9")/COUNTIFS(응답입력!$AH$4:$HD$4,"TR",응답입력!$AH$3:$HD$3,"L*",응답입력!$AH18:$HD18,"&lt;9"),"")</f>
        <v/>
      </c>
      <c r="D17" s="35" t="str">
        <f aca="false">IF(COUNTIFS(응답입력!$AH$4:$HD$4,"EV",응답입력!$AH$3:$HD$3,"L*",응답입력!$AH18:$HD18,"&lt;9")&gt;=5,SUMIFS(응답입력!$AH18:$HD18,응답입력!$AH$4:$HD$4,"EV",응답입력!$AH$3:$HD$3,"L*",응답입력!$AH18:$HD18,"&lt;9")/COUNTIFS(응답입력!$AH$4:$HD$4,"EV",응답입력!$AH$3:$HD$3,"L*",응답입력!$AH18:$HD18,"&lt;9"),"")</f>
        <v/>
      </c>
      <c r="E17" s="35" t="str">
        <f aca="false">IF(COUNTIFS(응답입력!$AH$4:$HD$4,"AC",응답입력!$AH$3:$HD$3,"L*",응답입력!$AH18:$HD18,"&lt;9")&gt;=5,SUMIFS(응답입력!$AH18:$HD18,응답입력!$AH$4:$HD$4,"AC",응답입력!$AH$3:$HD$3,"L*",응답입력!$AH18:$HD18,"&lt;9")/COUNTIFS(응답입력!$AH$4:$HD$4,"AC",응답입력!$AH$3:$HD$3,"L*",응답입력!$AH18:$HD18,"&lt;9"),"")</f>
        <v/>
      </c>
      <c r="F17" s="35" t="str">
        <f aca="false">IF(COUNTIFS(응답입력!$AH$4:$HD$4,"TM",응답입력!$AH$3:$HD$3,"L*",응답입력!$AH18:$HD18,"&lt;9")&gt;=5,SUMIFS(응답입력!$AH18:$HD18,응답입력!$AH$4:$HD$4,"TM",응답입력!$AH$3:$HD$3,"L*",응답입력!$AH18:$HD18,"&lt;9")/COUNTIFS(응답입력!$AH$4:$HD$4,"TM",응답입력!$AH$3:$HD$3,"L*",응답입력!$AH18:$HD18,"&lt;9"),"")</f>
        <v/>
      </c>
      <c r="G17" s="35" t="str">
        <f aca="false">IF(COUNTIFS(응답입력!$AH$4:$HD$4,"FC",응답입력!$AH$3:$HD$3,"L*",응답입력!$AH18:$HD18,"&lt;9")&gt;=2,SUMIFS(응답입력!$AH18:$HD18,응답입력!$AH$4:$HD$4,"FC",응답입력!$AH$3:$HD$3,"L*",응답입력!$AH18:$HD18,"&lt;9")/COUNTIFS(응답입력!$AH$4:$HD$4,"FC",응답입력!$AH$3:$HD$3,"L*",응답입력!$AH18:$HD18,"&lt;9"),"")</f>
        <v/>
      </c>
      <c r="H17" s="41" t="str">
        <f aca="false">IFERROR(AVERAGE(B17:G17),"")</f>
        <v/>
      </c>
    </row>
    <row r="18" customFormat="false" ht="15" hidden="false" customHeight="false" outlineLevel="0" collapsed="false">
      <c r="A18" s="27" t="str">
        <f aca="false">IF(응답입력!A19="","",응답입력!A19)</f>
        <v/>
      </c>
      <c r="B18" s="35" t="str">
        <f aca="false">IF(COUNTIFS(응답입력!$AH$4:$HD$4,"CO",응답입력!$AH$3:$HD$3,"L*",응답입력!$AH19:$HD19,"&lt;9")&gt;=5,SUMIFS(응답입력!$AH19:$HD19,응답입력!$AH$4:$HD$4,"CO",응답입력!$AH$3:$HD$3,"L*",응답입력!$AH19:$HD19,"&lt;9")/COUNTIFS(응답입력!$AH$4:$HD$4,"CO",응답입력!$AH$3:$HD$3,"L*",응답입력!$AH19:$HD19,"&lt;9"),"")</f>
        <v/>
      </c>
      <c r="C18" s="35" t="str">
        <f aca="false">IF(COUNTIFS(응답입력!$AH$4:$HD$4,"TR",응답입력!$AH$3:$HD$3,"L*",응답입력!$AH19:$HD19,"&lt;9")&gt;=5,SUMIFS(응답입력!$AH19:$HD19,응답입력!$AH$4:$HD$4,"TR",응답입력!$AH$3:$HD$3,"L*",응답입력!$AH19:$HD19,"&lt;9")/COUNTIFS(응답입력!$AH$4:$HD$4,"TR",응답입력!$AH$3:$HD$3,"L*",응답입력!$AH19:$HD19,"&lt;9"),"")</f>
        <v/>
      </c>
      <c r="D18" s="35" t="str">
        <f aca="false">IF(COUNTIFS(응답입력!$AH$4:$HD$4,"EV",응답입력!$AH$3:$HD$3,"L*",응답입력!$AH19:$HD19,"&lt;9")&gt;=5,SUMIFS(응답입력!$AH19:$HD19,응답입력!$AH$4:$HD$4,"EV",응답입력!$AH$3:$HD$3,"L*",응답입력!$AH19:$HD19,"&lt;9")/COUNTIFS(응답입력!$AH$4:$HD$4,"EV",응답입력!$AH$3:$HD$3,"L*",응답입력!$AH19:$HD19,"&lt;9"),"")</f>
        <v/>
      </c>
      <c r="E18" s="35" t="str">
        <f aca="false">IF(COUNTIFS(응답입력!$AH$4:$HD$4,"AC",응답입력!$AH$3:$HD$3,"L*",응답입력!$AH19:$HD19,"&lt;9")&gt;=5,SUMIFS(응답입력!$AH19:$HD19,응답입력!$AH$4:$HD$4,"AC",응답입력!$AH$3:$HD$3,"L*",응답입력!$AH19:$HD19,"&lt;9")/COUNTIFS(응답입력!$AH$4:$HD$4,"AC",응답입력!$AH$3:$HD$3,"L*",응답입력!$AH19:$HD19,"&lt;9"),"")</f>
        <v/>
      </c>
      <c r="F18" s="35" t="str">
        <f aca="false">IF(COUNTIFS(응답입력!$AH$4:$HD$4,"TM",응답입력!$AH$3:$HD$3,"L*",응답입력!$AH19:$HD19,"&lt;9")&gt;=5,SUMIFS(응답입력!$AH19:$HD19,응답입력!$AH$4:$HD$4,"TM",응답입력!$AH$3:$HD$3,"L*",응답입력!$AH19:$HD19,"&lt;9")/COUNTIFS(응답입력!$AH$4:$HD$4,"TM",응답입력!$AH$3:$HD$3,"L*",응답입력!$AH19:$HD19,"&lt;9"),"")</f>
        <v/>
      </c>
      <c r="G18" s="35" t="str">
        <f aca="false">IF(COUNTIFS(응답입력!$AH$4:$HD$4,"FC",응답입력!$AH$3:$HD$3,"L*",응답입력!$AH19:$HD19,"&lt;9")&gt;=2,SUMIFS(응답입력!$AH19:$HD19,응답입력!$AH$4:$HD$4,"FC",응답입력!$AH$3:$HD$3,"L*",응답입력!$AH19:$HD19,"&lt;9")/COUNTIFS(응답입력!$AH$4:$HD$4,"FC",응답입력!$AH$3:$HD$3,"L*",응답입력!$AH19:$HD19,"&lt;9"),"")</f>
        <v/>
      </c>
      <c r="H18" s="41" t="str">
        <f aca="false">IFERROR(AVERAGE(B18:G18),"")</f>
        <v/>
      </c>
    </row>
    <row r="19" customFormat="false" ht="15" hidden="false" customHeight="false" outlineLevel="0" collapsed="false">
      <c r="A19" s="27" t="str">
        <f aca="false">IF(응답입력!A20="","",응답입력!A20)</f>
        <v/>
      </c>
      <c r="B19" s="35" t="str">
        <f aca="false">IF(COUNTIFS(응답입력!$AH$4:$HD$4,"CO",응답입력!$AH$3:$HD$3,"L*",응답입력!$AH20:$HD20,"&lt;9")&gt;=5,SUMIFS(응답입력!$AH20:$HD20,응답입력!$AH$4:$HD$4,"CO",응답입력!$AH$3:$HD$3,"L*",응답입력!$AH20:$HD20,"&lt;9")/COUNTIFS(응답입력!$AH$4:$HD$4,"CO",응답입력!$AH$3:$HD$3,"L*",응답입력!$AH20:$HD20,"&lt;9"),"")</f>
        <v/>
      </c>
      <c r="C19" s="35" t="str">
        <f aca="false">IF(COUNTIFS(응답입력!$AH$4:$HD$4,"TR",응답입력!$AH$3:$HD$3,"L*",응답입력!$AH20:$HD20,"&lt;9")&gt;=5,SUMIFS(응답입력!$AH20:$HD20,응답입력!$AH$4:$HD$4,"TR",응답입력!$AH$3:$HD$3,"L*",응답입력!$AH20:$HD20,"&lt;9")/COUNTIFS(응답입력!$AH$4:$HD$4,"TR",응답입력!$AH$3:$HD$3,"L*",응답입력!$AH20:$HD20,"&lt;9"),"")</f>
        <v/>
      </c>
      <c r="D19" s="35" t="str">
        <f aca="false">IF(COUNTIFS(응답입력!$AH$4:$HD$4,"EV",응답입력!$AH$3:$HD$3,"L*",응답입력!$AH20:$HD20,"&lt;9")&gt;=5,SUMIFS(응답입력!$AH20:$HD20,응답입력!$AH$4:$HD$4,"EV",응답입력!$AH$3:$HD$3,"L*",응답입력!$AH20:$HD20,"&lt;9")/COUNTIFS(응답입력!$AH$4:$HD$4,"EV",응답입력!$AH$3:$HD$3,"L*",응답입력!$AH20:$HD20,"&lt;9"),"")</f>
        <v/>
      </c>
      <c r="E19" s="35" t="str">
        <f aca="false">IF(COUNTIFS(응답입력!$AH$4:$HD$4,"AC",응답입력!$AH$3:$HD$3,"L*",응답입력!$AH20:$HD20,"&lt;9")&gt;=5,SUMIFS(응답입력!$AH20:$HD20,응답입력!$AH$4:$HD$4,"AC",응답입력!$AH$3:$HD$3,"L*",응답입력!$AH20:$HD20,"&lt;9")/COUNTIFS(응답입력!$AH$4:$HD$4,"AC",응답입력!$AH$3:$HD$3,"L*",응답입력!$AH20:$HD20,"&lt;9"),"")</f>
        <v/>
      </c>
      <c r="F19" s="35" t="str">
        <f aca="false">IF(COUNTIFS(응답입력!$AH$4:$HD$4,"TM",응답입력!$AH$3:$HD$3,"L*",응답입력!$AH20:$HD20,"&lt;9")&gt;=5,SUMIFS(응답입력!$AH20:$HD20,응답입력!$AH$4:$HD$4,"TM",응답입력!$AH$3:$HD$3,"L*",응답입력!$AH20:$HD20,"&lt;9")/COUNTIFS(응답입력!$AH$4:$HD$4,"TM",응답입력!$AH$3:$HD$3,"L*",응답입력!$AH20:$HD20,"&lt;9"),"")</f>
        <v/>
      </c>
      <c r="G19" s="35" t="str">
        <f aca="false">IF(COUNTIFS(응답입력!$AH$4:$HD$4,"FC",응답입력!$AH$3:$HD$3,"L*",응답입력!$AH20:$HD20,"&lt;9")&gt;=2,SUMIFS(응답입력!$AH20:$HD20,응답입력!$AH$4:$HD$4,"FC",응답입력!$AH$3:$HD$3,"L*",응답입력!$AH20:$HD20,"&lt;9")/COUNTIFS(응답입력!$AH$4:$HD$4,"FC",응답입력!$AH$3:$HD$3,"L*",응답입력!$AH20:$HD20,"&lt;9"),"")</f>
        <v/>
      </c>
      <c r="H19" s="41" t="str">
        <f aca="false">IFERROR(AVERAGE(B19:G19),"")</f>
        <v/>
      </c>
    </row>
    <row r="20" customFormat="false" ht="15" hidden="false" customHeight="false" outlineLevel="0" collapsed="false">
      <c r="A20" s="27" t="str">
        <f aca="false">IF(응답입력!A21="","",응답입력!A21)</f>
        <v/>
      </c>
      <c r="B20" s="35" t="str">
        <f aca="false">IF(COUNTIFS(응답입력!$AH$4:$HD$4,"CO",응답입력!$AH$3:$HD$3,"L*",응답입력!$AH21:$HD21,"&lt;9")&gt;=5,SUMIFS(응답입력!$AH21:$HD21,응답입력!$AH$4:$HD$4,"CO",응답입력!$AH$3:$HD$3,"L*",응답입력!$AH21:$HD21,"&lt;9")/COUNTIFS(응답입력!$AH$4:$HD$4,"CO",응답입력!$AH$3:$HD$3,"L*",응답입력!$AH21:$HD21,"&lt;9"),"")</f>
        <v/>
      </c>
      <c r="C20" s="35" t="str">
        <f aca="false">IF(COUNTIFS(응답입력!$AH$4:$HD$4,"TR",응답입력!$AH$3:$HD$3,"L*",응답입력!$AH21:$HD21,"&lt;9")&gt;=5,SUMIFS(응답입력!$AH21:$HD21,응답입력!$AH$4:$HD$4,"TR",응답입력!$AH$3:$HD$3,"L*",응답입력!$AH21:$HD21,"&lt;9")/COUNTIFS(응답입력!$AH$4:$HD$4,"TR",응답입력!$AH$3:$HD$3,"L*",응답입력!$AH21:$HD21,"&lt;9"),"")</f>
        <v/>
      </c>
      <c r="D20" s="35" t="str">
        <f aca="false">IF(COUNTIFS(응답입력!$AH$4:$HD$4,"EV",응답입력!$AH$3:$HD$3,"L*",응답입력!$AH21:$HD21,"&lt;9")&gt;=5,SUMIFS(응답입력!$AH21:$HD21,응답입력!$AH$4:$HD$4,"EV",응답입력!$AH$3:$HD$3,"L*",응답입력!$AH21:$HD21,"&lt;9")/COUNTIFS(응답입력!$AH$4:$HD$4,"EV",응답입력!$AH$3:$HD$3,"L*",응답입력!$AH21:$HD21,"&lt;9"),"")</f>
        <v/>
      </c>
      <c r="E20" s="35" t="str">
        <f aca="false">IF(COUNTIFS(응답입력!$AH$4:$HD$4,"AC",응답입력!$AH$3:$HD$3,"L*",응답입력!$AH21:$HD21,"&lt;9")&gt;=5,SUMIFS(응답입력!$AH21:$HD21,응답입력!$AH$4:$HD$4,"AC",응답입력!$AH$3:$HD$3,"L*",응답입력!$AH21:$HD21,"&lt;9")/COUNTIFS(응답입력!$AH$4:$HD$4,"AC",응답입력!$AH$3:$HD$3,"L*",응답입력!$AH21:$HD21,"&lt;9"),"")</f>
        <v/>
      </c>
      <c r="F20" s="35" t="str">
        <f aca="false">IF(COUNTIFS(응답입력!$AH$4:$HD$4,"TM",응답입력!$AH$3:$HD$3,"L*",응답입력!$AH21:$HD21,"&lt;9")&gt;=5,SUMIFS(응답입력!$AH21:$HD21,응답입력!$AH$4:$HD$4,"TM",응답입력!$AH$3:$HD$3,"L*",응답입력!$AH21:$HD21,"&lt;9")/COUNTIFS(응답입력!$AH$4:$HD$4,"TM",응답입력!$AH$3:$HD$3,"L*",응답입력!$AH21:$HD21,"&lt;9"),"")</f>
        <v/>
      </c>
      <c r="G20" s="35" t="str">
        <f aca="false">IF(COUNTIFS(응답입력!$AH$4:$HD$4,"FC",응답입력!$AH$3:$HD$3,"L*",응답입력!$AH21:$HD21,"&lt;9")&gt;=2,SUMIFS(응답입력!$AH21:$HD21,응답입력!$AH$4:$HD$4,"FC",응답입력!$AH$3:$HD$3,"L*",응답입력!$AH21:$HD21,"&lt;9")/COUNTIFS(응답입력!$AH$4:$HD$4,"FC",응답입력!$AH$3:$HD$3,"L*",응답입력!$AH21:$HD21,"&lt;9"),"")</f>
        <v/>
      </c>
      <c r="H20" s="41" t="str">
        <f aca="false">IFERROR(AVERAGE(B20:G20),"")</f>
        <v/>
      </c>
    </row>
    <row r="21" customFormat="false" ht="15" hidden="false" customHeight="false" outlineLevel="0" collapsed="false">
      <c r="A21" s="27" t="str">
        <f aca="false">IF(응답입력!A22="","",응답입력!A22)</f>
        <v/>
      </c>
      <c r="B21" s="35" t="str">
        <f aca="false">IF(COUNTIFS(응답입력!$AH$4:$HD$4,"CO",응답입력!$AH$3:$HD$3,"L*",응답입력!$AH22:$HD22,"&lt;9")&gt;=5,SUMIFS(응답입력!$AH22:$HD22,응답입력!$AH$4:$HD$4,"CO",응답입력!$AH$3:$HD$3,"L*",응답입력!$AH22:$HD22,"&lt;9")/COUNTIFS(응답입력!$AH$4:$HD$4,"CO",응답입력!$AH$3:$HD$3,"L*",응답입력!$AH22:$HD22,"&lt;9"),"")</f>
        <v/>
      </c>
      <c r="C21" s="35" t="str">
        <f aca="false">IF(COUNTIFS(응답입력!$AH$4:$HD$4,"TR",응답입력!$AH$3:$HD$3,"L*",응답입력!$AH22:$HD22,"&lt;9")&gt;=5,SUMIFS(응답입력!$AH22:$HD22,응답입력!$AH$4:$HD$4,"TR",응답입력!$AH$3:$HD$3,"L*",응답입력!$AH22:$HD22,"&lt;9")/COUNTIFS(응답입력!$AH$4:$HD$4,"TR",응답입력!$AH$3:$HD$3,"L*",응답입력!$AH22:$HD22,"&lt;9"),"")</f>
        <v/>
      </c>
      <c r="D21" s="35" t="str">
        <f aca="false">IF(COUNTIFS(응답입력!$AH$4:$HD$4,"EV",응답입력!$AH$3:$HD$3,"L*",응답입력!$AH22:$HD22,"&lt;9")&gt;=5,SUMIFS(응답입력!$AH22:$HD22,응답입력!$AH$4:$HD$4,"EV",응답입력!$AH$3:$HD$3,"L*",응답입력!$AH22:$HD22,"&lt;9")/COUNTIFS(응답입력!$AH$4:$HD$4,"EV",응답입력!$AH$3:$HD$3,"L*",응답입력!$AH22:$HD22,"&lt;9"),"")</f>
        <v/>
      </c>
      <c r="E21" s="35" t="str">
        <f aca="false">IF(COUNTIFS(응답입력!$AH$4:$HD$4,"AC",응답입력!$AH$3:$HD$3,"L*",응답입력!$AH22:$HD22,"&lt;9")&gt;=5,SUMIFS(응답입력!$AH22:$HD22,응답입력!$AH$4:$HD$4,"AC",응답입력!$AH$3:$HD$3,"L*",응답입력!$AH22:$HD22,"&lt;9")/COUNTIFS(응답입력!$AH$4:$HD$4,"AC",응답입력!$AH$3:$HD$3,"L*",응답입력!$AH22:$HD22,"&lt;9"),"")</f>
        <v/>
      </c>
      <c r="F21" s="35" t="str">
        <f aca="false">IF(COUNTIFS(응답입력!$AH$4:$HD$4,"TM",응답입력!$AH$3:$HD$3,"L*",응답입력!$AH22:$HD22,"&lt;9")&gt;=5,SUMIFS(응답입력!$AH22:$HD22,응답입력!$AH$4:$HD$4,"TM",응답입력!$AH$3:$HD$3,"L*",응답입력!$AH22:$HD22,"&lt;9")/COUNTIFS(응답입력!$AH$4:$HD$4,"TM",응답입력!$AH$3:$HD$3,"L*",응답입력!$AH22:$HD22,"&lt;9"),"")</f>
        <v/>
      </c>
      <c r="G21" s="35" t="str">
        <f aca="false">IF(COUNTIFS(응답입력!$AH$4:$HD$4,"FC",응답입력!$AH$3:$HD$3,"L*",응답입력!$AH22:$HD22,"&lt;9")&gt;=2,SUMIFS(응답입력!$AH22:$HD22,응답입력!$AH$4:$HD$4,"FC",응답입력!$AH$3:$HD$3,"L*",응답입력!$AH22:$HD22,"&lt;9")/COUNTIFS(응답입력!$AH$4:$HD$4,"FC",응답입력!$AH$3:$HD$3,"L*",응답입력!$AH22:$HD22,"&lt;9"),"")</f>
        <v/>
      </c>
      <c r="H21" s="41" t="str">
        <f aca="false">IFERROR(AVERAGE(B21:G21),"")</f>
        <v/>
      </c>
    </row>
    <row r="22" customFormat="false" ht="15" hidden="false" customHeight="false" outlineLevel="0" collapsed="false">
      <c r="A22" s="27" t="str">
        <f aca="false">IF(응답입력!A23="","",응답입력!A23)</f>
        <v/>
      </c>
      <c r="B22" s="35" t="str">
        <f aca="false">IF(COUNTIFS(응답입력!$AH$4:$HD$4,"CO",응답입력!$AH$3:$HD$3,"L*",응답입력!$AH23:$HD23,"&lt;9")&gt;=5,SUMIFS(응답입력!$AH23:$HD23,응답입력!$AH$4:$HD$4,"CO",응답입력!$AH$3:$HD$3,"L*",응답입력!$AH23:$HD23,"&lt;9")/COUNTIFS(응답입력!$AH$4:$HD$4,"CO",응답입력!$AH$3:$HD$3,"L*",응답입력!$AH23:$HD23,"&lt;9"),"")</f>
        <v/>
      </c>
      <c r="C22" s="35" t="str">
        <f aca="false">IF(COUNTIFS(응답입력!$AH$4:$HD$4,"TR",응답입력!$AH$3:$HD$3,"L*",응답입력!$AH23:$HD23,"&lt;9")&gt;=5,SUMIFS(응답입력!$AH23:$HD23,응답입력!$AH$4:$HD$4,"TR",응답입력!$AH$3:$HD$3,"L*",응답입력!$AH23:$HD23,"&lt;9")/COUNTIFS(응답입력!$AH$4:$HD$4,"TR",응답입력!$AH$3:$HD$3,"L*",응답입력!$AH23:$HD23,"&lt;9"),"")</f>
        <v/>
      </c>
      <c r="D22" s="35" t="str">
        <f aca="false">IF(COUNTIFS(응답입력!$AH$4:$HD$4,"EV",응답입력!$AH$3:$HD$3,"L*",응답입력!$AH23:$HD23,"&lt;9")&gt;=5,SUMIFS(응답입력!$AH23:$HD23,응답입력!$AH$4:$HD$4,"EV",응답입력!$AH$3:$HD$3,"L*",응답입력!$AH23:$HD23,"&lt;9")/COUNTIFS(응답입력!$AH$4:$HD$4,"EV",응답입력!$AH$3:$HD$3,"L*",응답입력!$AH23:$HD23,"&lt;9"),"")</f>
        <v/>
      </c>
      <c r="E22" s="35" t="str">
        <f aca="false">IF(COUNTIFS(응답입력!$AH$4:$HD$4,"AC",응답입력!$AH$3:$HD$3,"L*",응답입력!$AH23:$HD23,"&lt;9")&gt;=5,SUMIFS(응답입력!$AH23:$HD23,응답입력!$AH$4:$HD$4,"AC",응답입력!$AH$3:$HD$3,"L*",응답입력!$AH23:$HD23,"&lt;9")/COUNTIFS(응답입력!$AH$4:$HD$4,"AC",응답입력!$AH$3:$HD$3,"L*",응답입력!$AH23:$HD23,"&lt;9"),"")</f>
        <v/>
      </c>
      <c r="F22" s="35" t="str">
        <f aca="false">IF(COUNTIFS(응답입력!$AH$4:$HD$4,"TM",응답입력!$AH$3:$HD$3,"L*",응답입력!$AH23:$HD23,"&lt;9")&gt;=5,SUMIFS(응답입력!$AH23:$HD23,응답입력!$AH$4:$HD$4,"TM",응답입력!$AH$3:$HD$3,"L*",응답입력!$AH23:$HD23,"&lt;9")/COUNTIFS(응답입력!$AH$4:$HD$4,"TM",응답입력!$AH$3:$HD$3,"L*",응답입력!$AH23:$HD23,"&lt;9"),"")</f>
        <v/>
      </c>
      <c r="G22" s="35" t="str">
        <f aca="false">IF(COUNTIFS(응답입력!$AH$4:$HD$4,"FC",응답입력!$AH$3:$HD$3,"L*",응답입력!$AH23:$HD23,"&lt;9")&gt;=2,SUMIFS(응답입력!$AH23:$HD23,응답입력!$AH$4:$HD$4,"FC",응답입력!$AH$3:$HD$3,"L*",응답입력!$AH23:$HD23,"&lt;9")/COUNTIFS(응답입력!$AH$4:$HD$4,"FC",응답입력!$AH$3:$HD$3,"L*",응답입력!$AH23:$HD23,"&lt;9"),"")</f>
        <v/>
      </c>
      <c r="H22" s="41" t="str">
        <f aca="false">IFERROR(AVERAGE(B22:G22),"")</f>
        <v/>
      </c>
    </row>
    <row r="23" customFormat="false" ht="15" hidden="false" customHeight="false" outlineLevel="0" collapsed="false">
      <c r="A23" s="27" t="str">
        <f aca="false">IF(응답입력!A24="","",응답입력!A24)</f>
        <v/>
      </c>
      <c r="B23" s="35" t="str">
        <f aca="false">IF(COUNTIFS(응답입력!$AH$4:$HD$4,"CO",응답입력!$AH$3:$HD$3,"L*",응답입력!$AH24:$HD24,"&lt;9")&gt;=5,SUMIFS(응답입력!$AH24:$HD24,응답입력!$AH$4:$HD$4,"CO",응답입력!$AH$3:$HD$3,"L*",응답입력!$AH24:$HD24,"&lt;9")/COUNTIFS(응답입력!$AH$4:$HD$4,"CO",응답입력!$AH$3:$HD$3,"L*",응답입력!$AH24:$HD24,"&lt;9"),"")</f>
        <v/>
      </c>
      <c r="C23" s="35" t="str">
        <f aca="false">IF(COUNTIFS(응답입력!$AH$4:$HD$4,"TR",응답입력!$AH$3:$HD$3,"L*",응답입력!$AH24:$HD24,"&lt;9")&gt;=5,SUMIFS(응답입력!$AH24:$HD24,응답입력!$AH$4:$HD$4,"TR",응답입력!$AH$3:$HD$3,"L*",응답입력!$AH24:$HD24,"&lt;9")/COUNTIFS(응답입력!$AH$4:$HD$4,"TR",응답입력!$AH$3:$HD$3,"L*",응답입력!$AH24:$HD24,"&lt;9"),"")</f>
        <v/>
      </c>
      <c r="D23" s="35" t="str">
        <f aca="false">IF(COUNTIFS(응답입력!$AH$4:$HD$4,"EV",응답입력!$AH$3:$HD$3,"L*",응답입력!$AH24:$HD24,"&lt;9")&gt;=5,SUMIFS(응답입력!$AH24:$HD24,응답입력!$AH$4:$HD$4,"EV",응답입력!$AH$3:$HD$3,"L*",응답입력!$AH24:$HD24,"&lt;9")/COUNTIFS(응답입력!$AH$4:$HD$4,"EV",응답입력!$AH$3:$HD$3,"L*",응답입력!$AH24:$HD24,"&lt;9"),"")</f>
        <v/>
      </c>
      <c r="E23" s="35" t="str">
        <f aca="false">IF(COUNTIFS(응답입력!$AH$4:$HD$4,"AC",응답입력!$AH$3:$HD$3,"L*",응답입력!$AH24:$HD24,"&lt;9")&gt;=5,SUMIFS(응답입력!$AH24:$HD24,응답입력!$AH$4:$HD$4,"AC",응답입력!$AH$3:$HD$3,"L*",응답입력!$AH24:$HD24,"&lt;9")/COUNTIFS(응답입력!$AH$4:$HD$4,"AC",응답입력!$AH$3:$HD$3,"L*",응답입력!$AH24:$HD24,"&lt;9"),"")</f>
        <v/>
      </c>
      <c r="F23" s="35" t="str">
        <f aca="false">IF(COUNTIFS(응답입력!$AH$4:$HD$4,"TM",응답입력!$AH$3:$HD$3,"L*",응답입력!$AH24:$HD24,"&lt;9")&gt;=5,SUMIFS(응답입력!$AH24:$HD24,응답입력!$AH$4:$HD$4,"TM",응답입력!$AH$3:$HD$3,"L*",응답입력!$AH24:$HD24,"&lt;9")/COUNTIFS(응답입력!$AH$4:$HD$4,"TM",응답입력!$AH$3:$HD$3,"L*",응답입력!$AH24:$HD24,"&lt;9"),"")</f>
        <v/>
      </c>
      <c r="G23" s="35" t="str">
        <f aca="false">IF(COUNTIFS(응답입력!$AH$4:$HD$4,"FC",응답입력!$AH$3:$HD$3,"L*",응답입력!$AH24:$HD24,"&lt;9")&gt;=2,SUMIFS(응답입력!$AH24:$HD24,응답입력!$AH$4:$HD$4,"FC",응답입력!$AH$3:$HD$3,"L*",응답입력!$AH24:$HD24,"&lt;9")/COUNTIFS(응답입력!$AH$4:$HD$4,"FC",응답입력!$AH$3:$HD$3,"L*",응답입력!$AH24:$HD24,"&lt;9"),"")</f>
        <v/>
      </c>
      <c r="H23" s="41" t="str">
        <f aca="false">IFERROR(AVERAGE(B23:G23),"")</f>
        <v/>
      </c>
    </row>
    <row r="24" customFormat="false" ht="15" hidden="false" customHeight="false" outlineLevel="0" collapsed="false">
      <c r="A24" s="27" t="str">
        <f aca="false">IF(응답입력!A25="","",응답입력!A25)</f>
        <v/>
      </c>
      <c r="B24" s="35" t="str">
        <f aca="false">IF(COUNTIFS(응답입력!$AH$4:$HD$4,"CO",응답입력!$AH$3:$HD$3,"L*",응답입력!$AH25:$HD25,"&lt;9")&gt;=5,SUMIFS(응답입력!$AH25:$HD25,응답입력!$AH$4:$HD$4,"CO",응답입력!$AH$3:$HD$3,"L*",응답입력!$AH25:$HD25,"&lt;9")/COUNTIFS(응답입력!$AH$4:$HD$4,"CO",응답입력!$AH$3:$HD$3,"L*",응답입력!$AH25:$HD25,"&lt;9"),"")</f>
        <v/>
      </c>
      <c r="C24" s="35" t="str">
        <f aca="false">IF(COUNTIFS(응답입력!$AH$4:$HD$4,"TR",응답입력!$AH$3:$HD$3,"L*",응답입력!$AH25:$HD25,"&lt;9")&gt;=5,SUMIFS(응답입력!$AH25:$HD25,응답입력!$AH$4:$HD$4,"TR",응답입력!$AH$3:$HD$3,"L*",응답입력!$AH25:$HD25,"&lt;9")/COUNTIFS(응답입력!$AH$4:$HD$4,"TR",응답입력!$AH$3:$HD$3,"L*",응답입력!$AH25:$HD25,"&lt;9"),"")</f>
        <v/>
      </c>
      <c r="D24" s="35" t="str">
        <f aca="false">IF(COUNTIFS(응답입력!$AH$4:$HD$4,"EV",응답입력!$AH$3:$HD$3,"L*",응답입력!$AH25:$HD25,"&lt;9")&gt;=5,SUMIFS(응답입력!$AH25:$HD25,응답입력!$AH$4:$HD$4,"EV",응답입력!$AH$3:$HD$3,"L*",응답입력!$AH25:$HD25,"&lt;9")/COUNTIFS(응답입력!$AH$4:$HD$4,"EV",응답입력!$AH$3:$HD$3,"L*",응답입력!$AH25:$HD25,"&lt;9"),"")</f>
        <v/>
      </c>
      <c r="E24" s="35" t="str">
        <f aca="false">IF(COUNTIFS(응답입력!$AH$4:$HD$4,"AC",응답입력!$AH$3:$HD$3,"L*",응답입력!$AH25:$HD25,"&lt;9")&gt;=5,SUMIFS(응답입력!$AH25:$HD25,응답입력!$AH$4:$HD$4,"AC",응답입력!$AH$3:$HD$3,"L*",응답입력!$AH25:$HD25,"&lt;9")/COUNTIFS(응답입력!$AH$4:$HD$4,"AC",응답입력!$AH$3:$HD$3,"L*",응답입력!$AH25:$HD25,"&lt;9"),"")</f>
        <v/>
      </c>
      <c r="F24" s="35" t="str">
        <f aca="false">IF(COUNTIFS(응답입력!$AH$4:$HD$4,"TM",응답입력!$AH$3:$HD$3,"L*",응답입력!$AH25:$HD25,"&lt;9")&gt;=5,SUMIFS(응답입력!$AH25:$HD25,응답입력!$AH$4:$HD$4,"TM",응답입력!$AH$3:$HD$3,"L*",응답입력!$AH25:$HD25,"&lt;9")/COUNTIFS(응답입력!$AH$4:$HD$4,"TM",응답입력!$AH$3:$HD$3,"L*",응답입력!$AH25:$HD25,"&lt;9"),"")</f>
        <v/>
      </c>
      <c r="G24" s="35" t="str">
        <f aca="false">IF(COUNTIFS(응답입력!$AH$4:$HD$4,"FC",응답입력!$AH$3:$HD$3,"L*",응답입력!$AH25:$HD25,"&lt;9")&gt;=2,SUMIFS(응답입력!$AH25:$HD25,응답입력!$AH$4:$HD$4,"FC",응답입력!$AH$3:$HD$3,"L*",응답입력!$AH25:$HD25,"&lt;9")/COUNTIFS(응답입력!$AH$4:$HD$4,"FC",응답입력!$AH$3:$HD$3,"L*",응답입력!$AH25:$HD25,"&lt;9"),"")</f>
        <v/>
      </c>
      <c r="H24" s="41" t="str">
        <f aca="false">IFERROR(AVERAGE(B24:G24),"")</f>
        <v/>
      </c>
    </row>
    <row r="25" customFormat="false" ht="15" hidden="false" customHeight="false" outlineLevel="0" collapsed="false">
      <c r="A25" s="27" t="str">
        <f aca="false">IF(응답입력!A26="","",응답입력!A26)</f>
        <v/>
      </c>
      <c r="B25" s="35" t="str">
        <f aca="false">IF(COUNTIFS(응답입력!$AH$4:$HD$4,"CO",응답입력!$AH$3:$HD$3,"L*",응답입력!$AH26:$HD26,"&lt;9")&gt;=5,SUMIFS(응답입력!$AH26:$HD26,응답입력!$AH$4:$HD$4,"CO",응답입력!$AH$3:$HD$3,"L*",응답입력!$AH26:$HD26,"&lt;9")/COUNTIFS(응답입력!$AH$4:$HD$4,"CO",응답입력!$AH$3:$HD$3,"L*",응답입력!$AH26:$HD26,"&lt;9"),"")</f>
        <v/>
      </c>
      <c r="C25" s="35" t="str">
        <f aca="false">IF(COUNTIFS(응답입력!$AH$4:$HD$4,"TR",응답입력!$AH$3:$HD$3,"L*",응답입력!$AH26:$HD26,"&lt;9")&gt;=5,SUMIFS(응답입력!$AH26:$HD26,응답입력!$AH$4:$HD$4,"TR",응답입력!$AH$3:$HD$3,"L*",응답입력!$AH26:$HD26,"&lt;9")/COUNTIFS(응답입력!$AH$4:$HD$4,"TR",응답입력!$AH$3:$HD$3,"L*",응답입력!$AH26:$HD26,"&lt;9"),"")</f>
        <v/>
      </c>
      <c r="D25" s="35" t="str">
        <f aca="false">IF(COUNTIFS(응답입력!$AH$4:$HD$4,"EV",응답입력!$AH$3:$HD$3,"L*",응답입력!$AH26:$HD26,"&lt;9")&gt;=5,SUMIFS(응답입력!$AH26:$HD26,응답입력!$AH$4:$HD$4,"EV",응답입력!$AH$3:$HD$3,"L*",응답입력!$AH26:$HD26,"&lt;9")/COUNTIFS(응답입력!$AH$4:$HD$4,"EV",응답입력!$AH$3:$HD$3,"L*",응답입력!$AH26:$HD26,"&lt;9"),"")</f>
        <v/>
      </c>
      <c r="E25" s="35" t="str">
        <f aca="false">IF(COUNTIFS(응답입력!$AH$4:$HD$4,"AC",응답입력!$AH$3:$HD$3,"L*",응답입력!$AH26:$HD26,"&lt;9")&gt;=5,SUMIFS(응답입력!$AH26:$HD26,응답입력!$AH$4:$HD$4,"AC",응답입력!$AH$3:$HD$3,"L*",응답입력!$AH26:$HD26,"&lt;9")/COUNTIFS(응답입력!$AH$4:$HD$4,"AC",응답입력!$AH$3:$HD$3,"L*",응답입력!$AH26:$HD26,"&lt;9"),"")</f>
        <v/>
      </c>
      <c r="F25" s="35" t="str">
        <f aca="false">IF(COUNTIFS(응답입력!$AH$4:$HD$4,"TM",응답입력!$AH$3:$HD$3,"L*",응답입력!$AH26:$HD26,"&lt;9")&gt;=5,SUMIFS(응답입력!$AH26:$HD26,응답입력!$AH$4:$HD$4,"TM",응답입력!$AH$3:$HD$3,"L*",응답입력!$AH26:$HD26,"&lt;9")/COUNTIFS(응답입력!$AH$4:$HD$4,"TM",응답입력!$AH$3:$HD$3,"L*",응답입력!$AH26:$HD26,"&lt;9"),"")</f>
        <v/>
      </c>
      <c r="G25" s="35" t="str">
        <f aca="false">IF(COUNTIFS(응답입력!$AH$4:$HD$4,"FC",응답입력!$AH$3:$HD$3,"L*",응답입력!$AH26:$HD26,"&lt;9")&gt;=2,SUMIFS(응답입력!$AH26:$HD26,응답입력!$AH$4:$HD$4,"FC",응답입력!$AH$3:$HD$3,"L*",응답입력!$AH26:$HD26,"&lt;9")/COUNTIFS(응답입력!$AH$4:$HD$4,"FC",응답입력!$AH$3:$HD$3,"L*",응답입력!$AH26:$HD26,"&lt;9"),"")</f>
        <v/>
      </c>
      <c r="H25" s="41" t="str">
        <f aca="false">IFERROR(AVERAGE(B25:G25),"")</f>
        <v/>
      </c>
    </row>
    <row r="26" customFormat="false" ht="15" hidden="false" customHeight="false" outlineLevel="0" collapsed="false">
      <c r="A26" s="27" t="str">
        <f aca="false">IF(응답입력!A27="","",응답입력!A27)</f>
        <v/>
      </c>
      <c r="B26" s="35" t="str">
        <f aca="false">IF(COUNTIFS(응답입력!$AH$4:$HD$4,"CO",응답입력!$AH$3:$HD$3,"L*",응답입력!$AH27:$HD27,"&lt;9")&gt;=5,SUMIFS(응답입력!$AH27:$HD27,응답입력!$AH$4:$HD$4,"CO",응답입력!$AH$3:$HD$3,"L*",응답입력!$AH27:$HD27,"&lt;9")/COUNTIFS(응답입력!$AH$4:$HD$4,"CO",응답입력!$AH$3:$HD$3,"L*",응답입력!$AH27:$HD27,"&lt;9"),"")</f>
        <v/>
      </c>
      <c r="C26" s="35" t="str">
        <f aca="false">IF(COUNTIFS(응답입력!$AH$4:$HD$4,"TR",응답입력!$AH$3:$HD$3,"L*",응답입력!$AH27:$HD27,"&lt;9")&gt;=5,SUMIFS(응답입력!$AH27:$HD27,응답입력!$AH$4:$HD$4,"TR",응답입력!$AH$3:$HD$3,"L*",응답입력!$AH27:$HD27,"&lt;9")/COUNTIFS(응답입력!$AH$4:$HD$4,"TR",응답입력!$AH$3:$HD$3,"L*",응답입력!$AH27:$HD27,"&lt;9"),"")</f>
        <v/>
      </c>
      <c r="D26" s="35" t="str">
        <f aca="false">IF(COUNTIFS(응답입력!$AH$4:$HD$4,"EV",응답입력!$AH$3:$HD$3,"L*",응답입력!$AH27:$HD27,"&lt;9")&gt;=5,SUMIFS(응답입력!$AH27:$HD27,응답입력!$AH$4:$HD$4,"EV",응답입력!$AH$3:$HD$3,"L*",응답입력!$AH27:$HD27,"&lt;9")/COUNTIFS(응답입력!$AH$4:$HD$4,"EV",응답입력!$AH$3:$HD$3,"L*",응답입력!$AH27:$HD27,"&lt;9"),"")</f>
        <v/>
      </c>
      <c r="E26" s="35" t="str">
        <f aca="false">IF(COUNTIFS(응답입력!$AH$4:$HD$4,"AC",응답입력!$AH$3:$HD$3,"L*",응답입력!$AH27:$HD27,"&lt;9")&gt;=5,SUMIFS(응답입력!$AH27:$HD27,응답입력!$AH$4:$HD$4,"AC",응답입력!$AH$3:$HD$3,"L*",응답입력!$AH27:$HD27,"&lt;9")/COUNTIFS(응답입력!$AH$4:$HD$4,"AC",응답입력!$AH$3:$HD$3,"L*",응답입력!$AH27:$HD27,"&lt;9"),"")</f>
        <v/>
      </c>
      <c r="F26" s="35" t="str">
        <f aca="false">IF(COUNTIFS(응답입력!$AH$4:$HD$4,"TM",응답입력!$AH$3:$HD$3,"L*",응답입력!$AH27:$HD27,"&lt;9")&gt;=5,SUMIFS(응답입력!$AH27:$HD27,응답입력!$AH$4:$HD$4,"TM",응답입력!$AH$3:$HD$3,"L*",응답입력!$AH27:$HD27,"&lt;9")/COUNTIFS(응답입력!$AH$4:$HD$4,"TM",응답입력!$AH$3:$HD$3,"L*",응답입력!$AH27:$HD27,"&lt;9"),"")</f>
        <v/>
      </c>
      <c r="G26" s="35" t="str">
        <f aca="false">IF(COUNTIFS(응답입력!$AH$4:$HD$4,"FC",응답입력!$AH$3:$HD$3,"L*",응답입력!$AH27:$HD27,"&lt;9")&gt;=2,SUMIFS(응답입력!$AH27:$HD27,응답입력!$AH$4:$HD$4,"FC",응답입력!$AH$3:$HD$3,"L*",응답입력!$AH27:$HD27,"&lt;9")/COUNTIFS(응답입력!$AH$4:$HD$4,"FC",응답입력!$AH$3:$HD$3,"L*",응답입력!$AH27:$HD27,"&lt;9"),"")</f>
        <v/>
      </c>
      <c r="H26" s="41" t="str">
        <f aca="false">IFERROR(AVERAGE(B26:G26),"")</f>
        <v/>
      </c>
    </row>
    <row r="27" customFormat="false" ht="15" hidden="false" customHeight="false" outlineLevel="0" collapsed="false">
      <c r="A27" s="27" t="str">
        <f aca="false">IF(응답입력!A28="","",응답입력!A28)</f>
        <v/>
      </c>
      <c r="B27" s="35" t="str">
        <f aca="false">IF(COUNTIFS(응답입력!$AH$4:$HD$4,"CO",응답입력!$AH$3:$HD$3,"L*",응답입력!$AH28:$HD28,"&lt;9")&gt;=5,SUMIFS(응답입력!$AH28:$HD28,응답입력!$AH$4:$HD$4,"CO",응답입력!$AH$3:$HD$3,"L*",응답입력!$AH28:$HD28,"&lt;9")/COUNTIFS(응답입력!$AH$4:$HD$4,"CO",응답입력!$AH$3:$HD$3,"L*",응답입력!$AH28:$HD28,"&lt;9"),"")</f>
        <v/>
      </c>
      <c r="C27" s="35" t="str">
        <f aca="false">IF(COUNTIFS(응답입력!$AH$4:$HD$4,"TR",응답입력!$AH$3:$HD$3,"L*",응답입력!$AH28:$HD28,"&lt;9")&gt;=5,SUMIFS(응답입력!$AH28:$HD28,응답입력!$AH$4:$HD$4,"TR",응답입력!$AH$3:$HD$3,"L*",응답입력!$AH28:$HD28,"&lt;9")/COUNTIFS(응답입력!$AH$4:$HD$4,"TR",응답입력!$AH$3:$HD$3,"L*",응답입력!$AH28:$HD28,"&lt;9"),"")</f>
        <v/>
      </c>
      <c r="D27" s="35" t="str">
        <f aca="false">IF(COUNTIFS(응답입력!$AH$4:$HD$4,"EV",응답입력!$AH$3:$HD$3,"L*",응답입력!$AH28:$HD28,"&lt;9")&gt;=5,SUMIFS(응답입력!$AH28:$HD28,응답입력!$AH$4:$HD$4,"EV",응답입력!$AH$3:$HD$3,"L*",응답입력!$AH28:$HD28,"&lt;9")/COUNTIFS(응답입력!$AH$4:$HD$4,"EV",응답입력!$AH$3:$HD$3,"L*",응답입력!$AH28:$HD28,"&lt;9"),"")</f>
        <v/>
      </c>
      <c r="E27" s="35" t="str">
        <f aca="false">IF(COUNTIFS(응답입력!$AH$4:$HD$4,"AC",응답입력!$AH$3:$HD$3,"L*",응답입력!$AH28:$HD28,"&lt;9")&gt;=5,SUMIFS(응답입력!$AH28:$HD28,응답입력!$AH$4:$HD$4,"AC",응답입력!$AH$3:$HD$3,"L*",응답입력!$AH28:$HD28,"&lt;9")/COUNTIFS(응답입력!$AH$4:$HD$4,"AC",응답입력!$AH$3:$HD$3,"L*",응답입력!$AH28:$HD28,"&lt;9"),"")</f>
        <v/>
      </c>
      <c r="F27" s="35" t="str">
        <f aca="false">IF(COUNTIFS(응답입력!$AH$4:$HD$4,"TM",응답입력!$AH$3:$HD$3,"L*",응답입력!$AH28:$HD28,"&lt;9")&gt;=5,SUMIFS(응답입력!$AH28:$HD28,응답입력!$AH$4:$HD$4,"TM",응답입력!$AH$3:$HD$3,"L*",응답입력!$AH28:$HD28,"&lt;9")/COUNTIFS(응답입력!$AH$4:$HD$4,"TM",응답입력!$AH$3:$HD$3,"L*",응답입력!$AH28:$HD28,"&lt;9"),"")</f>
        <v/>
      </c>
      <c r="G27" s="35" t="str">
        <f aca="false">IF(COUNTIFS(응답입력!$AH$4:$HD$4,"FC",응답입력!$AH$3:$HD$3,"L*",응답입력!$AH28:$HD28,"&lt;9")&gt;=2,SUMIFS(응답입력!$AH28:$HD28,응답입력!$AH$4:$HD$4,"FC",응답입력!$AH$3:$HD$3,"L*",응답입력!$AH28:$HD28,"&lt;9")/COUNTIFS(응답입력!$AH$4:$HD$4,"FC",응답입력!$AH$3:$HD$3,"L*",응답입력!$AH28:$HD28,"&lt;9"),"")</f>
        <v/>
      </c>
      <c r="H27" s="41" t="str">
        <f aca="false">IFERROR(AVERAGE(B27:G27),"")</f>
        <v/>
      </c>
    </row>
    <row r="28" customFormat="false" ht="15" hidden="false" customHeight="false" outlineLevel="0" collapsed="false">
      <c r="A28" s="27" t="str">
        <f aca="false">IF(응답입력!A29="","",응답입력!A29)</f>
        <v/>
      </c>
      <c r="B28" s="35" t="str">
        <f aca="false">IF(COUNTIFS(응답입력!$AH$4:$HD$4,"CO",응답입력!$AH$3:$HD$3,"L*",응답입력!$AH29:$HD29,"&lt;9")&gt;=5,SUMIFS(응답입력!$AH29:$HD29,응답입력!$AH$4:$HD$4,"CO",응답입력!$AH$3:$HD$3,"L*",응답입력!$AH29:$HD29,"&lt;9")/COUNTIFS(응답입력!$AH$4:$HD$4,"CO",응답입력!$AH$3:$HD$3,"L*",응답입력!$AH29:$HD29,"&lt;9"),"")</f>
        <v/>
      </c>
      <c r="C28" s="35" t="str">
        <f aca="false">IF(COUNTIFS(응답입력!$AH$4:$HD$4,"TR",응답입력!$AH$3:$HD$3,"L*",응답입력!$AH29:$HD29,"&lt;9")&gt;=5,SUMIFS(응답입력!$AH29:$HD29,응답입력!$AH$4:$HD$4,"TR",응답입력!$AH$3:$HD$3,"L*",응답입력!$AH29:$HD29,"&lt;9")/COUNTIFS(응답입력!$AH$4:$HD$4,"TR",응답입력!$AH$3:$HD$3,"L*",응답입력!$AH29:$HD29,"&lt;9"),"")</f>
        <v/>
      </c>
      <c r="D28" s="35" t="str">
        <f aca="false">IF(COUNTIFS(응답입력!$AH$4:$HD$4,"EV",응답입력!$AH$3:$HD$3,"L*",응답입력!$AH29:$HD29,"&lt;9")&gt;=5,SUMIFS(응답입력!$AH29:$HD29,응답입력!$AH$4:$HD$4,"EV",응답입력!$AH$3:$HD$3,"L*",응답입력!$AH29:$HD29,"&lt;9")/COUNTIFS(응답입력!$AH$4:$HD$4,"EV",응답입력!$AH$3:$HD$3,"L*",응답입력!$AH29:$HD29,"&lt;9"),"")</f>
        <v/>
      </c>
      <c r="E28" s="35" t="str">
        <f aca="false">IF(COUNTIFS(응답입력!$AH$4:$HD$4,"AC",응답입력!$AH$3:$HD$3,"L*",응답입력!$AH29:$HD29,"&lt;9")&gt;=5,SUMIFS(응답입력!$AH29:$HD29,응답입력!$AH$4:$HD$4,"AC",응답입력!$AH$3:$HD$3,"L*",응답입력!$AH29:$HD29,"&lt;9")/COUNTIFS(응답입력!$AH$4:$HD$4,"AC",응답입력!$AH$3:$HD$3,"L*",응답입력!$AH29:$HD29,"&lt;9"),"")</f>
        <v/>
      </c>
      <c r="F28" s="35" t="str">
        <f aca="false">IF(COUNTIFS(응답입력!$AH$4:$HD$4,"TM",응답입력!$AH$3:$HD$3,"L*",응답입력!$AH29:$HD29,"&lt;9")&gt;=5,SUMIFS(응답입력!$AH29:$HD29,응답입력!$AH$4:$HD$4,"TM",응답입력!$AH$3:$HD$3,"L*",응답입력!$AH29:$HD29,"&lt;9")/COUNTIFS(응답입력!$AH$4:$HD$4,"TM",응답입력!$AH$3:$HD$3,"L*",응답입력!$AH29:$HD29,"&lt;9"),"")</f>
        <v/>
      </c>
      <c r="G28" s="35" t="str">
        <f aca="false">IF(COUNTIFS(응답입력!$AH$4:$HD$4,"FC",응답입력!$AH$3:$HD$3,"L*",응답입력!$AH29:$HD29,"&lt;9")&gt;=2,SUMIFS(응답입력!$AH29:$HD29,응답입력!$AH$4:$HD$4,"FC",응답입력!$AH$3:$HD$3,"L*",응답입력!$AH29:$HD29,"&lt;9")/COUNTIFS(응답입력!$AH$4:$HD$4,"FC",응답입력!$AH$3:$HD$3,"L*",응답입력!$AH29:$HD29,"&lt;9"),"")</f>
        <v/>
      </c>
      <c r="H28" s="41" t="str">
        <f aca="false">IFERROR(AVERAGE(B28:G28),"")</f>
        <v/>
      </c>
    </row>
    <row r="29" customFormat="false" ht="15" hidden="false" customHeight="false" outlineLevel="0" collapsed="false">
      <c r="A29" s="27" t="str">
        <f aca="false">IF(응답입력!A30="","",응답입력!A30)</f>
        <v/>
      </c>
      <c r="B29" s="35" t="str">
        <f aca="false">IF(COUNTIFS(응답입력!$AH$4:$HD$4,"CO",응답입력!$AH$3:$HD$3,"L*",응답입력!$AH30:$HD30,"&lt;9")&gt;=5,SUMIFS(응답입력!$AH30:$HD30,응답입력!$AH$4:$HD$4,"CO",응답입력!$AH$3:$HD$3,"L*",응답입력!$AH30:$HD30,"&lt;9")/COUNTIFS(응답입력!$AH$4:$HD$4,"CO",응답입력!$AH$3:$HD$3,"L*",응답입력!$AH30:$HD30,"&lt;9"),"")</f>
        <v/>
      </c>
      <c r="C29" s="35" t="str">
        <f aca="false">IF(COUNTIFS(응답입력!$AH$4:$HD$4,"TR",응답입력!$AH$3:$HD$3,"L*",응답입력!$AH30:$HD30,"&lt;9")&gt;=5,SUMIFS(응답입력!$AH30:$HD30,응답입력!$AH$4:$HD$4,"TR",응답입력!$AH$3:$HD$3,"L*",응답입력!$AH30:$HD30,"&lt;9")/COUNTIFS(응답입력!$AH$4:$HD$4,"TR",응답입력!$AH$3:$HD$3,"L*",응답입력!$AH30:$HD30,"&lt;9"),"")</f>
        <v/>
      </c>
      <c r="D29" s="35" t="str">
        <f aca="false">IF(COUNTIFS(응답입력!$AH$4:$HD$4,"EV",응답입력!$AH$3:$HD$3,"L*",응답입력!$AH30:$HD30,"&lt;9")&gt;=5,SUMIFS(응답입력!$AH30:$HD30,응답입력!$AH$4:$HD$4,"EV",응답입력!$AH$3:$HD$3,"L*",응답입력!$AH30:$HD30,"&lt;9")/COUNTIFS(응답입력!$AH$4:$HD$4,"EV",응답입력!$AH$3:$HD$3,"L*",응답입력!$AH30:$HD30,"&lt;9"),"")</f>
        <v/>
      </c>
      <c r="E29" s="35" t="str">
        <f aca="false">IF(COUNTIFS(응답입력!$AH$4:$HD$4,"AC",응답입력!$AH$3:$HD$3,"L*",응답입력!$AH30:$HD30,"&lt;9")&gt;=5,SUMIFS(응답입력!$AH30:$HD30,응답입력!$AH$4:$HD$4,"AC",응답입력!$AH$3:$HD$3,"L*",응답입력!$AH30:$HD30,"&lt;9")/COUNTIFS(응답입력!$AH$4:$HD$4,"AC",응답입력!$AH$3:$HD$3,"L*",응답입력!$AH30:$HD30,"&lt;9"),"")</f>
        <v/>
      </c>
      <c r="F29" s="35" t="str">
        <f aca="false">IF(COUNTIFS(응답입력!$AH$4:$HD$4,"TM",응답입력!$AH$3:$HD$3,"L*",응답입력!$AH30:$HD30,"&lt;9")&gt;=5,SUMIFS(응답입력!$AH30:$HD30,응답입력!$AH$4:$HD$4,"TM",응답입력!$AH$3:$HD$3,"L*",응답입력!$AH30:$HD30,"&lt;9")/COUNTIFS(응답입력!$AH$4:$HD$4,"TM",응답입력!$AH$3:$HD$3,"L*",응답입력!$AH30:$HD30,"&lt;9"),"")</f>
        <v/>
      </c>
      <c r="G29" s="35" t="str">
        <f aca="false">IF(COUNTIFS(응답입력!$AH$4:$HD$4,"FC",응답입력!$AH$3:$HD$3,"L*",응답입력!$AH30:$HD30,"&lt;9")&gt;=2,SUMIFS(응답입력!$AH30:$HD30,응답입력!$AH$4:$HD$4,"FC",응답입력!$AH$3:$HD$3,"L*",응답입력!$AH30:$HD30,"&lt;9")/COUNTIFS(응답입력!$AH$4:$HD$4,"FC",응답입력!$AH$3:$HD$3,"L*",응답입력!$AH30:$HD30,"&lt;9"),"")</f>
        <v/>
      </c>
      <c r="H29" s="41" t="str">
        <f aca="false">IFERROR(AVERAGE(B29:G29),"")</f>
        <v/>
      </c>
    </row>
    <row r="30" customFormat="false" ht="15" hidden="false" customHeight="false" outlineLevel="0" collapsed="false">
      <c r="A30" s="27" t="str">
        <f aca="false">IF(응답입력!A31="","",응답입력!A31)</f>
        <v/>
      </c>
      <c r="B30" s="35" t="str">
        <f aca="false">IF(COUNTIFS(응답입력!$AH$4:$HD$4,"CO",응답입력!$AH$3:$HD$3,"L*",응답입력!$AH31:$HD31,"&lt;9")&gt;=5,SUMIFS(응답입력!$AH31:$HD31,응답입력!$AH$4:$HD$4,"CO",응답입력!$AH$3:$HD$3,"L*",응답입력!$AH31:$HD31,"&lt;9")/COUNTIFS(응답입력!$AH$4:$HD$4,"CO",응답입력!$AH$3:$HD$3,"L*",응답입력!$AH31:$HD31,"&lt;9"),"")</f>
        <v/>
      </c>
      <c r="C30" s="35" t="str">
        <f aca="false">IF(COUNTIFS(응답입력!$AH$4:$HD$4,"TR",응답입력!$AH$3:$HD$3,"L*",응답입력!$AH31:$HD31,"&lt;9")&gt;=5,SUMIFS(응답입력!$AH31:$HD31,응답입력!$AH$4:$HD$4,"TR",응답입력!$AH$3:$HD$3,"L*",응답입력!$AH31:$HD31,"&lt;9")/COUNTIFS(응답입력!$AH$4:$HD$4,"TR",응답입력!$AH$3:$HD$3,"L*",응답입력!$AH31:$HD31,"&lt;9"),"")</f>
        <v/>
      </c>
      <c r="D30" s="35" t="str">
        <f aca="false">IF(COUNTIFS(응답입력!$AH$4:$HD$4,"EV",응답입력!$AH$3:$HD$3,"L*",응답입력!$AH31:$HD31,"&lt;9")&gt;=5,SUMIFS(응답입력!$AH31:$HD31,응답입력!$AH$4:$HD$4,"EV",응답입력!$AH$3:$HD$3,"L*",응답입력!$AH31:$HD31,"&lt;9")/COUNTIFS(응답입력!$AH$4:$HD$4,"EV",응답입력!$AH$3:$HD$3,"L*",응답입력!$AH31:$HD31,"&lt;9"),"")</f>
        <v/>
      </c>
      <c r="E30" s="35" t="str">
        <f aca="false">IF(COUNTIFS(응답입력!$AH$4:$HD$4,"AC",응답입력!$AH$3:$HD$3,"L*",응답입력!$AH31:$HD31,"&lt;9")&gt;=5,SUMIFS(응답입력!$AH31:$HD31,응답입력!$AH$4:$HD$4,"AC",응답입력!$AH$3:$HD$3,"L*",응답입력!$AH31:$HD31,"&lt;9")/COUNTIFS(응답입력!$AH$4:$HD$4,"AC",응답입력!$AH$3:$HD$3,"L*",응답입력!$AH31:$HD31,"&lt;9"),"")</f>
        <v/>
      </c>
      <c r="F30" s="35" t="str">
        <f aca="false">IF(COUNTIFS(응답입력!$AH$4:$HD$4,"TM",응답입력!$AH$3:$HD$3,"L*",응답입력!$AH31:$HD31,"&lt;9")&gt;=5,SUMIFS(응답입력!$AH31:$HD31,응답입력!$AH$4:$HD$4,"TM",응답입력!$AH$3:$HD$3,"L*",응답입력!$AH31:$HD31,"&lt;9")/COUNTIFS(응답입력!$AH$4:$HD$4,"TM",응답입력!$AH$3:$HD$3,"L*",응답입력!$AH31:$HD31,"&lt;9"),"")</f>
        <v/>
      </c>
      <c r="G30" s="35" t="str">
        <f aca="false">IF(COUNTIFS(응답입력!$AH$4:$HD$4,"FC",응답입력!$AH$3:$HD$3,"L*",응답입력!$AH31:$HD31,"&lt;9")&gt;=2,SUMIFS(응답입력!$AH31:$HD31,응답입력!$AH$4:$HD$4,"FC",응답입력!$AH$3:$HD$3,"L*",응답입력!$AH31:$HD31,"&lt;9")/COUNTIFS(응답입력!$AH$4:$HD$4,"FC",응답입력!$AH$3:$HD$3,"L*",응답입력!$AH31:$HD31,"&lt;9"),"")</f>
        <v/>
      </c>
      <c r="H30" s="41" t="str">
        <f aca="false">IFERROR(AVERAGE(B30:G30),"")</f>
        <v/>
      </c>
    </row>
    <row r="31" customFormat="false" ht="15" hidden="false" customHeight="false" outlineLevel="0" collapsed="false">
      <c r="A31" s="27" t="str">
        <f aca="false">IF(응답입력!A32="","",응답입력!A32)</f>
        <v/>
      </c>
      <c r="B31" s="35" t="str">
        <f aca="false">IF(COUNTIFS(응답입력!$AH$4:$HD$4,"CO",응답입력!$AH$3:$HD$3,"L*",응답입력!$AH32:$HD32,"&lt;9")&gt;=5,SUMIFS(응답입력!$AH32:$HD32,응답입력!$AH$4:$HD$4,"CO",응답입력!$AH$3:$HD$3,"L*",응답입력!$AH32:$HD32,"&lt;9")/COUNTIFS(응답입력!$AH$4:$HD$4,"CO",응답입력!$AH$3:$HD$3,"L*",응답입력!$AH32:$HD32,"&lt;9"),"")</f>
        <v/>
      </c>
      <c r="C31" s="35" t="str">
        <f aca="false">IF(COUNTIFS(응답입력!$AH$4:$HD$4,"TR",응답입력!$AH$3:$HD$3,"L*",응답입력!$AH32:$HD32,"&lt;9")&gt;=5,SUMIFS(응답입력!$AH32:$HD32,응답입력!$AH$4:$HD$4,"TR",응답입력!$AH$3:$HD$3,"L*",응답입력!$AH32:$HD32,"&lt;9")/COUNTIFS(응답입력!$AH$4:$HD$4,"TR",응답입력!$AH$3:$HD$3,"L*",응답입력!$AH32:$HD32,"&lt;9"),"")</f>
        <v/>
      </c>
      <c r="D31" s="35" t="str">
        <f aca="false">IF(COUNTIFS(응답입력!$AH$4:$HD$4,"EV",응답입력!$AH$3:$HD$3,"L*",응답입력!$AH32:$HD32,"&lt;9")&gt;=5,SUMIFS(응답입력!$AH32:$HD32,응답입력!$AH$4:$HD$4,"EV",응답입력!$AH$3:$HD$3,"L*",응답입력!$AH32:$HD32,"&lt;9")/COUNTIFS(응답입력!$AH$4:$HD$4,"EV",응답입력!$AH$3:$HD$3,"L*",응답입력!$AH32:$HD32,"&lt;9"),"")</f>
        <v/>
      </c>
      <c r="E31" s="35" t="str">
        <f aca="false">IF(COUNTIFS(응답입력!$AH$4:$HD$4,"AC",응답입력!$AH$3:$HD$3,"L*",응답입력!$AH32:$HD32,"&lt;9")&gt;=5,SUMIFS(응답입력!$AH32:$HD32,응답입력!$AH$4:$HD$4,"AC",응답입력!$AH$3:$HD$3,"L*",응답입력!$AH32:$HD32,"&lt;9")/COUNTIFS(응답입력!$AH$4:$HD$4,"AC",응답입력!$AH$3:$HD$3,"L*",응답입력!$AH32:$HD32,"&lt;9"),"")</f>
        <v/>
      </c>
      <c r="F31" s="35" t="str">
        <f aca="false">IF(COUNTIFS(응답입력!$AH$4:$HD$4,"TM",응답입력!$AH$3:$HD$3,"L*",응답입력!$AH32:$HD32,"&lt;9")&gt;=5,SUMIFS(응답입력!$AH32:$HD32,응답입력!$AH$4:$HD$4,"TM",응답입력!$AH$3:$HD$3,"L*",응답입력!$AH32:$HD32,"&lt;9")/COUNTIFS(응답입력!$AH$4:$HD$4,"TM",응답입력!$AH$3:$HD$3,"L*",응답입력!$AH32:$HD32,"&lt;9"),"")</f>
        <v/>
      </c>
      <c r="G31" s="35" t="str">
        <f aca="false">IF(COUNTIFS(응답입력!$AH$4:$HD$4,"FC",응답입력!$AH$3:$HD$3,"L*",응답입력!$AH32:$HD32,"&lt;9")&gt;=2,SUMIFS(응답입력!$AH32:$HD32,응답입력!$AH$4:$HD$4,"FC",응답입력!$AH$3:$HD$3,"L*",응답입력!$AH32:$HD32,"&lt;9")/COUNTIFS(응답입력!$AH$4:$HD$4,"FC",응답입력!$AH$3:$HD$3,"L*",응답입력!$AH32:$HD32,"&lt;9"),"")</f>
        <v/>
      </c>
      <c r="H31" s="41" t="str">
        <f aca="false">IFERROR(AVERAGE(B31:G31),"")</f>
        <v/>
      </c>
    </row>
    <row r="32" customFormat="false" ht="15" hidden="false" customHeight="false" outlineLevel="0" collapsed="false">
      <c r="A32" s="27" t="str">
        <f aca="false">IF(응답입력!A33="","",응답입력!A33)</f>
        <v/>
      </c>
      <c r="B32" s="35" t="str">
        <f aca="false">IF(COUNTIFS(응답입력!$AH$4:$HD$4,"CO",응답입력!$AH$3:$HD$3,"L*",응답입력!$AH33:$HD33,"&lt;9")&gt;=5,SUMIFS(응답입력!$AH33:$HD33,응답입력!$AH$4:$HD$4,"CO",응답입력!$AH$3:$HD$3,"L*",응답입력!$AH33:$HD33,"&lt;9")/COUNTIFS(응답입력!$AH$4:$HD$4,"CO",응답입력!$AH$3:$HD$3,"L*",응답입력!$AH33:$HD33,"&lt;9"),"")</f>
        <v/>
      </c>
      <c r="C32" s="35" t="str">
        <f aca="false">IF(COUNTIFS(응답입력!$AH$4:$HD$4,"TR",응답입력!$AH$3:$HD$3,"L*",응답입력!$AH33:$HD33,"&lt;9")&gt;=5,SUMIFS(응답입력!$AH33:$HD33,응답입력!$AH$4:$HD$4,"TR",응답입력!$AH$3:$HD$3,"L*",응답입력!$AH33:$HD33,"&lt;9")/COUNTIFS(응답입력!$AH$4:$HD$4,"TR",응답입력!$AH$3:$HD$3,"L*",응답입력!$AH33:$HD33,"&lt;9"),"")</f>
        <v/>
      </c>
      <c r="D32" s="35" t="str">
        <f aca="false">IF(COUNTIFS(응답입력!$AH$4:$HD$4,"EV",응답입력!$AH$3:$HD$3,"L*",응답입력!$AH33:$HD33,"&lt;9")&gt;=5,SUMIFS(응답입력!$AH33:$HD33,응답입력!$AH$4:$HD$4,"EV",응답입력!$AH$3:$HD$3,"L*",응답입력!$AH33:$HD33,"&lt;9")/COUNTIFS(응답입력!$AH$4:$HD$4,"EV",응답입력!$AH$3:$HD$3,"L*",응답입력!$AH33:$HD33,"&lt;9"),"")</f>
        <v/>
      </c>
      <c r="E32" s="35" t="str">
        <f aca="false">IF(COUNTIFS(응답입력!$AH$4:$HD$4,"AC",응답입력!$AH$3:$HD$3,"L*",응답입력!$AH33:$HD33,"&lt;9")&gt;=5,SUMIFS(응답입력!$AH33:$HD33,응답입력!$AH$4:$HD$4,"AC",응답입력!$AH$3:$HD$3,"L*",응답입력!$AH33:$HD33,"&lt;9")/COUNTIFS(응답입력!$AH$4:$HD$4,"AC",응답입력!$AH$3:$HD$3,"L*",응답입력!$AH33:$HD33,"&lt;9"),"")</f>
        <v/>
      </c>
      <c r="F32" s="35" t="str">
        <f aca="false">IF(COUNTIFS(응답입력!$AH$4:$HD$4,"TM",응답입력!$AH$3:$HD$3,"L*",응답입력!$AH33:$HD33,"&lt;9")&gt;=5,SUMIFS(응답입력!$AH33:$HD33,응답입력!$AH$4:$HD$4,"TM",응답입력!$AH$3:$HD$3,"L*",응답입력!$AH33:$HD33,"&lt;9")/COUNTIFS(응답입력!$AH$4:$HD$4,"TM",응답입력!$AH$3:$HD$3,"L*",응답입력!$AH33:$HD33,"&lt;9"),"")</f>
        <v/>
      </c>
      <c r="G32" s="35" t="str">
        <f aca="false">IF(COUNTIFS(응답입력!$AH$4:$HD$4,"FC",응답입력!$AH$3:$HD$3,"L*",응답입력!$AH33:$HD33,"&lt;9")&gt;=2,SUMIFS(응답입력!$AH33:$HD33,응답입력!$AH$4:$HD$4,"FC",응답입력!$AH$3:$HD$3,"L*",응답입력!$AH33:$HD33,"&lt;9")/COUNTIFS(응답입력!$AH$4:$HD$4,"FC",응답입력!$AH$3:$HD$3,"L*",응답입력!$AH33:$HD33,"&lt;9"),"")</f>
        <v/>
      </c>
      <c r="H32" s="41" t="str">
        <f aca="false">IFERROR(AVERAGE(B32:G32),"")</f>
        <v/>
      </c>
    </row>
    <row r="33" customFormat="false" ht="15" hidden="false" customHeight="false" outlineLevel="0" collapsed="false">
      <c r="A33" s="27" t="str">
        <f aca="false">IF(응답입력!A34="","",응답입력!A34)</f>
        <v/>
      </c>
      <c r="B33" s="35" t="str">
        <f aca="false">IF(COUNTIFS(응답입력!$AH$4:$HD$4,"CO",응답입력!$AH$3:$HD$3,"L*",응답입력!$AH34:$HD34,"&lt;9")&gt;=5,SUMIFS(응답입력!$AH34:$HD34,응답입력!$AH$4:$HD$4,"CO",응답입력!$AH$3:$HD$3,"L*",응답입력!$AH34:$HD34,"&lt;9")/COUNTIFS(응답입력!$AH$4:$HD$4,"CO",응답입력!$AH$3:$HD$3,"L*",응답입력!$AH34:$HD34,"&lt;9"),"")</f>
        <v/>
      </c>
      <c r="C33" s="35" t="str">
        <f aca="false">IF(COUNTIFS(응답입력!$AH$4:$HD$4,"TR",응답입력!$AH$3:$HD$3,"L*",응답입력!$AH34:$HD34,"&lt;9")&gt;=5,SUMIFS(응답입력!$AH34:$HD34,응답입력!$AH$4:$HD$4,"TR",응답입력!$AH$3:$HD$3,"L*",응답입력!$AH34:$HD34,"&lt;9")/COUNTIFS(응답입력!$AH$4:$HD$4,"TR",응답입력!$AH$3:$HD$3,"L*",응답입력!$AH34:$HD34,"&lt;9"),"")</f>
        <v/>
      </c>
      <c r="D33" s="35" t="str">
        <f aca="false">IF(COUNTIFS(응답입력!$AH$4:$HD$4,"EV",응답입력!$AH$3:$HD$3,"L*",응답입력!$AH34:$HD34,"&lt;9")&gt;=5,SUMIFS(응답입력!$AH34:$HD34,응답입력!$AH$4:$HD$4,"EV",응답입력!$AH$3:$HD$3,"L*",응답입력!$AH34:$HD34,"&lt;9")/COUNTIFS(응답입력!$AH$4:$HD$4,"EV",응답입력!$AH$3:$HD$3,"L*",응답입력!$AH34:$HD34,"&lt;9"),"")</f>
        <v/>
      </c>
      <c r="E33" s="35" t="str">
        <f aca="false">IF(COUNTIFS(응답입력!$AH$4:$HD$4,"AC",응답입력!$AH$3:$HD$3,"L*",응답입력!$AH34:$HD34,"&lt;9")&gt;=5,SUMIFS(응답입력!$AH34:$HD34,응답입력!$AH$4:$HD$4,"AC",응답입력!$AH$3:$HD$3,"L*",응답입력!$AH34:$HD34,"&lt;9")/COUNTIFS(응답입력!$AH$4:$HD$4,"AC",응답입력!$AH$3:$HD$3,"L*",응답입력!$AH34:$HD34,"&lt;9"),"")</f>
        <v/>
      </c>
      <c r="F33" s="35" t="str">
        <f aca="false">IF(COUNTIFS(응답입력!$AH$4:$HD$4,"TM",응답입력!$AH$3:$HD$3,"L*",응답입력!$AH34:$HD34,"&lt;9")&gt;=5,SUMIFS(응답입력!$AH34:$HD34,응답입력!$AH$4:$HD$4,"TM",응답입력!$AH$3:$HD$3,"L*",응답입력!$AH34:$HD34,"&lt;9")/COUNTIFS(응답입력!$AH$4:$HD$4,"TM",응답입력!$AH$3:$HD$3,"L*",응답입력!$AH34:$HD34,"&lt;9"),"")</f>
        <v/>
      </c>
      <c r="G33" s="35" t="str">
        <f aca="false">IF(COUNTIFS(응답입력!$AH$4:$HD$4,"FC",응답입력!$AH$3:$HD$3,"L*",응답입력!$AH34:$HD34,"&lt;9")&gt;=2,SUMIFS(응답입력!$AH34:$HD34,응답입력!$AH$4:$HD$4,"FC",응답입력!$AH$3:$HD$3,"L*",응답입력!$AH34:$HD34,"&lt;9")/COUNTIFS(응답입력!$AH$4:$HD$4,"FC",응답입력!$AH$3:$HD$3,"L*",응답입력!$AH34:$HD34,"&lt;9"),"")</f>
        <v/>
      </c>
      <c r="H33" s="41" t="str">
        <f aca="false">IFERROR(AVERAGE(B33:G33),"")</f>
        <v/>
      </c>
    </row>
    <row r="34" customFormat="false" ht="15" hidden="false" customHeight="false" outlineLevel="0" collapsed="false">
      <c r="A34" s="27" t="str">
        <f aca="false">IF(응답입력!A35="","",응답입력!A35)</f>
        <v/>
      </c>
      <c r="B34" s="35" t="str">
        <f aca="false">IF(COUNTIFS(응답입력!$AH$4:$HD$4,"CO",응답입력!$AH$3:$HD$3,"L*",응답입력!$AH35:$HD35,"&lt;9")&gt;=5,SUMIFS(응답입력!$AH35:$HD35,응답입력!$AH$4:$HD$4,"CO",응답입력!$AH$3:$HD$3,"L*",응답입력!$AH35:$HD35,"&lt;9")/COUNTIFS(응답입력!$AH$4:$HD$4,"CO",응답입력!$AH$3:$HD$3,"L*",응답입력!$AH35:$HD35,"&lt;9"),"")</f>
        <v/>
      </c>
      <c r="C34" s="35" t="str">
        <f aca="false">IF(COUNTIFS(응답입력!$AH$4:$HD$4,"TR",응답입력!$AH$3:$HD$3,"L*",응답입력!$AH35:$HD35,"&lt;9")&gt;=5,SUMIFS(응답입력!$AH35:$HD35,응답입력!$AH$4:$HD$4,"TR",응답입력!$AH$3:$HD$3,"L*",응답입력!$AH35:$HD35,"&lt;9")/COUNTIFS(응답입력!$AH$4:$HD$4,"TR",응답입력!$AH$3:$HD$3,"L*",응답입력!$AH35:$HD35,"&lt;9"),"")</f>
        <v/>
      </c>
      <c r="D34" s="35" t="str">
        <f aca="false">IF(COUNTIFS(응답입력!$AH$4:$HD$4,"EV",응답입력!$AH$3:$HD$3,"L*",응답입력!$AH35:$HD35,"&lt;9")&gt;=5,SUMIFS(응답입력!$AH35:$HD35,응답입력!$AH$4:$HD$4,"EV",응답입력!$AH$3:$HD$3,"L*",응답입력!$AH35:$HD35,"&lt;9")/COUNTIFS(응답입력!$AH$4:$HD$4,"EV",응답입력!$AH$3:$HD$3,"L*",응답입력!$AH35:$HD35,"&lt;9"),"")</f>
        <v/>
      </c>
      <c r="E34" s="35" t="str">
        <f aca="false">IF(COUNTIFS(응답입력!$AH$4:$HD$4,"AC",응답입력!$AH$3:$HD$3,"L*",응답입력!$AH35:$HD35,"&lt;9")&gt;=5,SUMIFS(응답입력!$AH35:$HD35,응답입력!$AH$4:$HD$4,"AC",응답입력!$AH$3:$HD$3,"L*",응답입력!$AH35:$HD35,"&lt;9")/COUNTIFS(응답입력!$AH$4:$HD$4,"AC",응답입력!$AH$3:$HD$3,"L*",응답입력!$AH35:$HD35,"&lt;9"),"")</f>
        <v/>
      </c>
      <c r="F34" s="35" t="str">
        <f aca="false">IF(COUNTIFS(응답입력!$AH$4:$HD$4,"TM",응답입력!$AH$3:$HD$3,"L*",응답입력!$AH35:$HD35,"&lt;9")&gt;=5,SUMIFS(응답입력!$AH35:$HD35,응답입력!$AH$4:$HD$4,"TM",응답입력!$AH$3:$HD$3,"L*",응답입력!$AH35:$HD35,"&lt;9")/COUNTIFS(응답입력!$AH$4:$HD$4,"TM",응답입력!$AH$3:$HD$3,"L*",응답입력!$AH35:$HD35,"&lt;9"),"")</f>
        <v/>
      </c>
      <c r="G34" s="35" t="str">
        <f aca="false">IF(COUNTIFS(응답입력!$AH$4:$HD$4,"FC",응답입력!$AH$3:$HD$3,"L*",응답입력!$AH35:$HD35,"&lt;9")&gt;=2,SUMIFS(응답입력!$AH35:$HD35,응답입력!$AH$4:$HD$4,"FC",응답입력!$AH$3:$HD$3,"L*",응답입력!$AH35:$HD35,"&lt;9")/COUNTIFS(응답입력!$AH$4:$HD$4,"FC",응답입력!$AH$3:$HD$3,"L*",응답입력!$AH35:$HD35,"&lt;9"),"")</f>
        <v/>
      </c>
      <c r="H34" s="41" t="str">
        <f aca="false">IFERROR(AVERAGE(B34:G34),"")</f>
        <v/>
      </c>
    </row>
    <row r="35" customFormat="false" ht="15" hidden="false" customHeight="false" outlineLevel="0" collapsed="false">
      <c r="A35" s="27" t="str">
        <f aca="false">IF(응답입력!A36="","",응답입력!A36)</f>
        <v/>
      </c>
      <c r="B35" s="35" t="str">
        <f aca="false">IF(COUNTIFS(응답입력!$AH$4:$HD$4,"CO",응답입력!$AH$3:$HD$3,"L*",응답입력!$AH36:$HD36,"&lt;9")&gt;=5,SUMIFS(응답입력!$AH36:$HD36,응답입력!$AH$4:$HD$4,"CO",응답입력!$AH$3:$HD$3,"L*",응답입력!$AH36:$HD36,"&lt;9")/COUNTIFS(응답입력!$AH$4:$HD$4,"CO",응답입력!$AH$3:$HD$3,"L*",응답입력!$AH36:$HD36,"&lt;9"),"")</f>
        <v/>
      </c>
      <c r="C35" s="35" t="str">
        <f aca="false">IF(COUNTIFS(응답입력!$AH$4:$HD$4,"TR",응답입력!$AH$3:$HD$3,"L*",응답입력!$AH36:$HD36,"&lt;9")&gt;=5,SUMIFS(응답입력!$AH36:$HD36,응답입력!$AH$4:$HD$4,"TR",응답입력!$AH$3:$HD$3,"L*",응답입력!$AH36:$HD36,"&lt;9")/COUNTIFS(응답입력!$AH$4:$HD$4,"TR",응답입력!$AH$3:$HD$3,"L*",응답입력!$AH36:$HD36,"&lt;9"),"")</f>
        <v/>
      </c>
      <c r="D35" s="35" t="str">
        <f aca="false">IF(COUNTIFS(응답입력!$AH$4:$HD$4,"EV",응답입력!$AH$3:$HD$3,"L*",응답입력!$AH36:$HD36,"&lt;9")&gt;=5,SUMIFS(응답입력!$AH36:$HD36,응답입력!$AH$4:$HD$4,"EV",응답입력!$AH$3:$HD$3,"L*",응답입력!$AH36:$HD36,"&lt;9")/COUNTIFS(응답입력!$AH$4:$HD$4,"EV",응답입력!$AH$3:$HD$3,"L*",응답입력!$AH36:$HD36,"&lt;9"),"")</f>
        <v/>
      </c>
      <c r="E35" s="35" t="str">
        <f aca="false">IF(COUNTIFS(응답입력!$AH$4:$HD$4,"AC",응답입력!$AH$3:$HD$3,"L*",응답입력!$AH36:$HD36,"&lt;9")&gt;=5,SUMIFS(응답입력!$AH36:$HD36,응답입력!$AH$4:$HD$4,"AC",응답입력!$AH$3:$HD$3,"L*",응답입력!$AH36:$HD36,"&lt;9")/COUNTIFS(응답입력!$AH$4:$HD$4,"AC",응답입력!$AH$3:$HD$3,"L*",응답입력!$AH36:$HD36,"&lt;9"),"")</f>
        <v/>
      </c>
      <c r="F35" s="35" t="str">
        <f aca="false">IF(COUNTIFS(응답입력!$AH$4:$HD$4,"TM",응답입력!$AH$3:$HD$3,"L*",응답입력!$AH36:$HD36,"&lt;9")&gt;=5,SUMIFS(응답입력!$AH36:$HD36,응답입력!$AH$4:$HD$4,"TM",응답입력!$AH$3:$HD$3,"L*",응답입력!$AH36:$HD36,"&lt;9")/COUNTIFS(응답입력!$AH$4:$HD$4,"TM",응답입력!$AH$3:$HD$3,"L*",응답입력!$AH36:$HD36,"&lt;9"),"")</f>
        <v/>
      </c>
      <c r="G35" s="35" t="str">
        <f aca="false">IF(COUNTIFS(응답입력!$AH$4:$HD$4,"FC",응답입력!$AH$3:$HD$3,"L*",응답입력!$AH36:$HD36,"&lt;9")&gt;=2,SUMIFS(응답입력!$AH36:$HD36,응답입력!$AH$4:$HD$4,"FC",응답입력!$AH$3:$HD$3,"L*",응답입력!$AH36:$HD36,"&lt;9")/COUNTIFS(응답입력!$AH$4:$HD$4,"FC",응답입력!$AH$3:$HD$3,"L*",응답입력!$AH36:$HD36,"&lt;9"),"")</f>
        <v/>
      </c>
      <c r="H35" s="41" t="str">
        <f aca="false">IFERROR(AVERAGE(B35:G35),"")</f>
        <v/>
      </c>
    </row>
    <row r="36" customFormat="false" ht="15" hidden="false" customHeight="false" outlineLevel="0" collapsed="false">
      <c r="A36" s="27" t="str">
        <f aca="false">IF(응답입력!A37="","",응답입력!A37)</f>
        <v/>
      </c>
      <c r="B36" s="35" t="str">
        <f aca="false">IF(COUNTIFS(응답입력!$AH$4:$HD$4,"CO",응답입력!$AH$3:$HD$3,"L*",응답입력!$AH37:$HD37,"&lt;9")&gt;=5,SUMIFS(응답입력!$AH37:$HD37,응답입력!$AH$4:$HD$4,"CO",응답입력!$AH$3:$HD$3,"L*",응답입력!$AH37:$HD37,"&lt;9")/COUNTIFS(응답입력!$AH$4:$HD$4,"CO",응답입력!$AH$3:$HD$3,"L*",응답입력!$AH37:$HD37,"&lt;9"),"")</f>
        <v/>
      </c>
      <c r="C36" s="35" t="str">
        <f aca="false">IF(COUNTIFS(응답입력!$AH$4:$HD$4,"TR",응답입력!$AH$3:$HD$3,"L*",응답입력!$AH37:$HD37,"&lt;9")&gt;=5,SUMIFS(응답입력!$AH37:$HD37,응답입력!$AH$4:$HD$4,"TR",응답입력!$AH$3:$HD$3,"L*",응답입력!$AH37:$HD37,"&lt;9")/COUNTIFS(응답입력!$AH$4:$HD$4,"TR",응답입력!$AH$3:$HD$3,"L*",응답입력!$AH37:$HD37,"&lt;9"),"")</f>
        <v/>
      </c>
      <c r="D36" s="35" t="str">
        <f aca="false">IF(COUNTIFS(응답입력!$AH$4:$HD$4,"EV",응답입력!$AH$3:$HD$3,"L*",응답입력!$AH37:$HD37,"&lt;9")&gt;=5,SUMIFS(응답입력!$AH37:$HD37,응답입력!$AH$4:$HD$4,"EV",응답입력!$AH$3:$HD$3,"L*",응답입력!$AH37:$HD37,"&lt;9")/COUNTIFS(응답입력!$AH$4:$HD$4,"EV",응답입력!$AH$3:$HD$3,"L*",응답입력!$AH37:$HD37,"&lt;9"),"")</f>
        <v/>
      </c>
      <c r="E36" s="35" t="str">
        <f aca="false">IF(COUNTIFS(응답입력!$AH$4:$HD$4,"AC",응답입력!$AH$3:$HD$3,"L*",응답입력!$AH37:$HD37,"&lt;9")&gt;=5,SUMIFS(응답입력!$AH37:$HD37,응답입력!$AH$4:$HD$4,"AC",응답입력!$AH$3:$HD$3,"L*",응답입력!$AH37:$HD37,"&lt;9")/COUNTIFS(응답입력!$AH$4:$HD$4,"AC",응답입력!$AH$3:$HD$3,"L*",응답입력!$AH37:$HD37,"&lt;9"),"")</f>
        <v/>
      </c>
      <c r="F36" s="35" t="str">
        <f aca="false">IF(COUNTIFS(응답입력!$AH$4:$HD$4,"TM",응답입력!$AH$3:$HD$3,"L*",응답입력!$AH37:$HD37,"&lt;9")&gt;=5,SUMIFS(응답입력!$AH37:$HD37,응답입력!$AH$4:$HD$4,"TM",응답입력!$AH$3:$HD$3,"L*",응답입력!$AH37:$HD37,"&lt;9")/COUNTIFS(응답입력!$AH$4:$HD$4,"TM",응답입력!$AH$3:$HD$3,"L*",응답입력!$AH37:$HD37,"&lt;9"),"")</f>
        <v/>
      </c>
      <c r="G36" s="35" t="str">
        <f aca="false">IF(COUNTIFS(응답입력!$AH$4:$HD$4,"FC",응답입력!$AH$3:$HD$3,"L*",응답입력!$AH37:$HD37,"&lt;9")&gt;=2,SUMIFS(응답입력!$AH37:$HD37,응답입력!$AH$4:$HD$4,"FC",응답입력!$AH$3:$HD$3,"L*",응답입력!$AH37:$HD37,"&lt;9")/COUNTIFS(응답입력!$AH$4:$HD$4,"FC",응답입력!$AH$3:$HD$3,"L*",응답입력!$AH37:$HD37,"&lt;9"),"")</f>
        <v/>
      </c>
      <c r="H36" s="41" t="str">
        <f aca="false">IFERROR(AVERAGE(B36:G36),"")</f>
        <v/>
      </c>
    </row>
    <row r="37" customFormat="false" ht="15" hidden="false" customHeight="false" outlineLevel="0" collapsed="false">
      <c r="A37" s="27" t="str">
        <f aca="false">IF(응답입력!A38="","",응답입력!A38)</f>
        <v/>
      </c>
      <c r="B37" s="35" t="str">
        <f aca="false">IF(COUNTIFS(응답입력!$AH$4:$HD$4,"CO",응답입력!$AH$3:$HD$3,"L*",응답입력!$AH38:$HD38,"&lt;9")&gt;=5,SUMIFS(응답입력!$AH38:$HD38,응답입력!$AH$4:$HD$4,"CO",응답입력!$AH$3:$HD$3,"L*",응답입력!$AH38:$HD38,"&lt;9")/COUNTIFS(응답입력!$AH$4:$HD$4,"CO",응답입력!$AH$3:$HD$3,"L*",응답입력!$AH38:$HD38,"&lt;9"),"")</f>
        <v/>
      </c>
      <c r="C37" s="35" t="str">
        <f aca="false">IF(COUNTIFS(응답입력!$AH$4:$HD$4,"TR",응답입력!$AH$3:$HD$3,"L*",응답입력!$AH38:$HD38,"&lt;9")&gt;=5,SUMIFS(응답입력!$AH38:$HD38,응답입력!$AH$4:$HD$4,"TR",응답입력!$AH$3:$HD$3,"L*",응답입력!$AH38:$HD38,"&lt;9")/COUNTIFS(응답입력!$AH$4:$HD$4,"TR",응답입력!$AH$3:$HD$3,"L*",응답입력!$AH38:$HD38,"&lt;9"),"")</f>
        <v/>
      </c>
      <c r="D37" s="35" t="str">
        <f aca="false">IF(COUNTIFS(응답입력!$AH$4:$HD$4,"EV",응답입력!$AH$3:$HD$3,"L*",응답입력!$AH38:$HD38,"&lt;9")&gt;=5,SUMIFS(응답입력!$AH38:$HD38,응답입력!$AH$4:$HD$4,"EV",응답입력!$AH$3:$HD$3,"L*",응답입력!$AH38:$HD38,"&lt;9")/COUNTIFS(응답입력!$AH$4:$HD$4,"EV",응답입력!$AH$3:$HD$3,"L*",응답입력!$AH38:$HD38,"&lt;9"),"")</f>
        <v/>
      </c>
      <c r="E37" s="35" t="str">
        <f aca="false">IF(COUNTIFS(응답입력!$AH$4:$HD$4,"AC",응답입력!$AH$3:$HD$3,"L*",응답입력!$AH38:$HD38,"&lt;9")&gt;=5,SUMIFS(응답입력!$AH38:$HD38,응답입력!$AH$4:$HD$4,"AC",응답입력!$AH$3:$HD$3,"L*",응답입력!$AH38:$HD38,"&lt;9")/COUNTIFS(응답입력!$AH$4:$HD$4,"AC",응답입력!$AH$3:$HD$3,"L*",응답입력!$AH38:$HD38,"&lt;9"),"")</f>
        <v/>
      </c>
      <c r="F37" s="35" t="str">
        <f aca="false">IF(COUNTIFS(응답입력!$AH$4:$HD$4,"TM",응답입력!$AH$3:$HD$3,"L*",응답입력!$AH38:$HD38,"&lt;9")&gt;=5,SUMIFS(응답입력!$AH38:$HD38,응답입력!$AH$4:$HD$4,"TM",응답입력!$AH$3:$HD$3,"L*",응답입력!$AH38:$HD38,"&lt;9")/COUNTIFS(응답입력!$AH$4:$HD$4,"TM",응답입력!$AH$3:$HD$3,"L*",응답입력!$AH38:$HD38,"&lt;9"),"")</f>
        <v/>
      </c>
      <c r="G37" s="35" t="str">
        <f aca="false">IF(COUNTIFS(응답입력!$AH$4:$HD$4,"FC",응답입력!$AH$3:$HD$3,"L*",응답입력!$AH38:$HD38,"&lt;9")&gt;=2,SUMIFS(응답입력!$AH38:$HD38,응답입력!$AH$4:$HD$4,"FC",응답입력!$AH$3:$HD$3,"L*",응답입력!$AH38:$HD38,"&lt;9")/COUNTIFS(응답입력!$AH$4:$HD$4,"FC",응답입력!$AH$3:$HD$3,"L*",응답입력!$AH38:$HD38,"&lt;9"),"")</f>
        <v/>
      </c>
      <c r="H37" s="41" t="str">
        <f aca="false">IFERROR(AVERAGE(B37:G37),"")</f>
        <v/>
      </c>
    </row>
    <row r="38" customFormat="false" ht="15" hidden="false" customHeight="false" outlineLevel="0" collapsed="false">
      <c r="A38" s="27" t="str">
        <f aca="false">IF(응답입력!A39="","",응답입력!A39)</f>
        <v/>
      </c>
      <c r="B38" s="35" t="str">
        <f aca="false">IF(COUNTIFS(응답입력!$AH$4:$HD$4,"CO",응답입력!$AH$3:$HD$3,"L*",응답입력!$AH39:$HD39,"&lt;9")&gt;=5,SUMIFS(응답입력!$AH39:$HD39,응답입력!$AH$4:$HD$4,"CO",응답입력!$AH$3:$HD$3,"L*",응답입력!$AH39:$HD39,"&lt;9")/COUNTIFS(응답입력!$AH$4:$HD$4,"CO",응답입력!$AH$3:$HD$3,"L*",응답입력!$AH39:$HD39,"&lt;9"),"")</f>
        <v/>
      </c>
      <c r="C38" s="35" t="str">
        <f aca="false">IF(COUNTIFS(응답입력!$AH$4:$HD$4,"TR",응답입력!$AH$3:$HD$3,"L*",응답입력!$AH39:$HD39,"&lt;9")&gt;=5,SUMIFS(응답입력!$AH39:$HD39,응답입력!$AH$4:$HD$4,"TR",응답입력!$AH$3:$HD$3,"L*",응답입력!$AH39:$HD39,"&lt;9")/COUNTIFS(응답입력!$AH$4:$HD$4,"TR",응답입력!$AH$3:$HD$3,"L*",응답입력!$AH39:$HD39,"&lt;9"),"")</f>
        <v/>
      </c>
      <c r="D38" s="35" t="str">
        <f aca="false">IF(COUNTIFS(응답입력!$AH$4:$HD$4,"EV",응답입력!$AH$3:$HD$3,"L*",응답입력!$AH39:$HD39,"&lt;9")&gt;=5,SUMIFS(응답입력!$AH39:$HD39,응답입력!$AH$4:$HD$4,"EV",응답입력!$AH$3:$HD$3,"L*",응답입력!$AH39:$HD39,"&lt;9")/COUNTIFS(응답입력!$AH$4:$HD$4,"EV",응답입력!$AH$3:$HD$3,"L*",응답입력!$AH39:$HD39,"&lt;9"),"")</f>
        <v/>
      </c>
      <c r="E38" s="35" t="str">
        <f aca="false">IF(COUNTIFS(응답입력!$AH$4:$HD$4,"AC",응답입력!$AH$3:$HD$3,"L*",응답입력!$AH39:$HD39,"&lt;9")&gt;=5,SUMIFS(응답입력!$AH39:$HD39,응답입력!$AH$4:$HD$4,"AC",응답입력!$AH$3:$HD$3,"L*",응답입력!$AH39:$HD39,"&lt;9")/COUNTIFS(응답입력!$AH$4:$HD$4,"AC",응답입력!$AH$3:$HD$3,"L*",응답입력!$AH39:$HD39,"&lt;9"),"")</f>
        <v/>
      </c>
      <c r="F38" s="35" t="str">
        <f aca="false">IF(COUNTIFS(응답입력!$AH$4:$HD$4,"TM",응답입력!$AH$3:$HD$3,"L*",응답입력!$AH39:$HD39,"&lt;9")&gt;=5,SUMIFS(응답입력!$AH39:$HD39,응답입력!$AH$4:$HD$4,"TM",응답입력!$AH$3:$HD$3,"L*",응답입력!$AH39:$HD39,"&lt;9")/COUNTIFS(응답입력!$AH$4:$HD$4,"TM",응답입력!$AH$3:$HD$3,"L*",응답입력!$AH39:$HD39,"&lt;9"),"")</f>
        <v/>
      </c>
      <c r="G38" s="35" t="str">
        <f aca="false">IF(COUNTIFS(응답입력!$AH$4:$HD$4,"FC",응답입력!$AH$3:$HD$3,"L*",응답입력!$AH39:$HD39,"&lt;9")&gt;=2,SUMIFS(응답입력!$AH39:$HD39,응답입력!$AH$4:$HD$4,"FC",응답입력!$AH$3:$HD$3,"L*",응답입력!$AH39:$HD39,"&lt;9")/COUNTIFS(응답입력!$AH$4:$HD$4,"FC",응답입력!$AH$3:$HD$3,"L*",응답입력!$AH39:$HD39,"&lt;9"),"")</f>
        <v/>
      </c>
      <c r="H38" s="41" t="str">
        <f aca="false">IFERROR(AVERAGE(B38:G38),"")</f>
        <v/>
      </c>
    </row>
    <row r="39" customFormat="false" ht="15" hidden="false" customHeight="false" outlineLevel="0" collapsed="false">
      <c r="A39" s="27" t="str">
        <f aca="false">IF(응답입력!A40="","",응답입력!A40)</f>
        <v/>
      </c>
      <c r="B39" s="35" t="str">
        <f aca="false">IF(COUNTIFS(응답입력!$AH$4:$HD$4,"CO",응답입력!$AH$3:$HD$3,"L*",응답입력!$AH40:$HD40,"&lt;9")&gt;=5,SUMIFS(응답입력!$AH40:$HD40,응답입력!$AH$4:$HD$4,"CO",응답입력!$AH$3:$HD$3,"L*",응답입력!$AH40:$HD40,"&lt;9")/COUNTIFS(응답입력!$AH$4:$HD$4,"CO",응답입력!$AH$3:$HD$3,"L*",응답입력!$AH40:$HD40,"&lt;9"),"")</f>
        <v/>
      </c>
      <c r="C39" s="35" t="str">
        <f aca="false">IF(COUNTIFS(응답입력!$AH$4:$HD$4,"TR",응답입력!$AH$3:$HD$3,"L*",응답입력!$AH40:$HD40,"&lt;9")&gt;=5,SUMIFS(응답입력!$AH40:$HD40,응답입력!$AH$4:$HD$4,"TR",응답입력!$AH$3:$HD$3,"L*",응답입력!$AH40:$HD40,"&lt;9")/COUNTIFS(응답입력!$AH$4:$HD$4,"TR",응답입력!$AH$3:$HD$3,"L*",응답입력!$AH40:$HD40,"&lt;9"),"")</f>
        <v/>
      </c>
      <c r="D39" s="35" t="str">
        <f aca="false">IF(COUNTIFS(응답입력!$AH$4:$HD$4,"EV",응답입력!$AH$3:$HD$3,"L*",응답입력!$AH40:$HD40,"&lt;9")&gt;=5,SUMIFS(응답입력!$AH40:$HD40,응답입력!$AH$4:$HD$4,"EV",응답입력!$AH$3:$HD$3,"L*",응답입력!$AH40:$HD40,"&lt;9")/COUNTIFS(응답입력!$AH$4:$HD$4,"EV",응답입력!$AH$3:$HD$3,"L*",응답입력!$AH40:$HD40,"&lt;9"),"")</f>
        <v/>
      </c>
      <c r="E39" s="35" t="str">
        <f aca="false">IF(COUNTIFS(응답입력!$AH$4:$HD$4,"AC",응답입력!$AH$3:$HD$3,"L*",응답입력!$AH40:$HD40,"&lt;9")&gt;=5,SUMIFS(응답입력!$AH40:$HD40,응답입력!$AH$4:$HD$4,"AC",응답입력!$AH$3:$HD$3,"L*",응답입력!$AH40:$HD40,"&lt;9")/COUNTIFS(응답입력!$AH$4:$HD$4,"AC",응답입력!$AH$3:$HD$3,"L*",응답입력!$AH40:$HD40,"&lt;9"),"")</f>
        <v/>
      </c>
      <c r="F39" s="35" t="str">
        <f aca="false">IF(COUNTIFS(응답입력!$AH$4:$HD$4,"TM",응답입력!$AH$3:$HD$3,"L*",응답입력!$AH40:$HD40,"&lt;9")&gt;=5,SUMIFS(응답입력!$AH40:$HD40,응답입력!$AH$4:$HD$4,"TM",응답입력!$AH$3:$HD$3,"L*",응답입력!$AH40:$HD40,"&lt;9")/COUNTIFS(응답입력!$AH$4:$HD$4,"TM",응답입력!$AH$3:$HD$3,"L*",응답입력!$AH40:$HD40,"&lt;9"),"")</f>
        <v/>
      </c>
      <c r="G39" s="35" t="str">
        <f aca="false">IF(COUNTIFS(응답입력!$AH$4:$HD$4,"FC",응답입력!$AH$3:$HD$3,"L*",응답입력!$AH40:$HD40,"&lt;9")&gt;=2,SUMIFS(응답입력!$AH40:$HD40,응답입력!$AH$4:$HD$4,"FC",응답입력!$AH$3:$HD$3,"L*",응답입력!$AH40:$HD40,"&lt;9")/COUNTIFS(응답입력!$AH$4:$HD$4,"FC",응답입력!$AH$3:$HD$3,"L*",응답입력!$AH40:$HD40,"&lt;9"),"")</f>
        <v/>
      </c>
      <c r="H39" s="41" t="str">
        <f aca="false">IFERROR(AVERAGE(B39:G39),"")</f>
        <v/>
      </c>
    </row>
    <row r="40" customFormat="false" ht="15" hidden="false" customHeight="false" outlineLevel="0" collapsed="false">
      <c r="A40" s="27" t="str">
        <f aca="false">IF(응답입력!A41="","",응답입력!A41)</f>
        <v/>
      </c>
      <c r="B40" s="35" t="str">
        <f aca="false">IF(COUNTIFS(응답입력!$AH$4:$HD$4,"CO",응답입력!$AH$3:$HD$3,"L*",응답입력!$AH41:$HD41,"&lt;9")&gt;=5,SUMIFS(응답입력!$AH41:$HD41,응답입력!$AH$4:$HD$4,"CO",응답입력!$AH$3:$HD$3,"L*",응답입력!$AH41:$HD41,"&lt;9")/COUNTIFS(응답입력!$AH$4:$HD$4,"CO",응답입력!$AH$3:$HD$3,"L*",응답입력!$AH41:$HD41,"&lt;9"),"")</f>
        <v/>
      </c>
      <c r="C40" s="35" t="str">
        <f aca="false">IF(COUNTIFS(응답입력!$AH$4:$HD$4,"TR",응답입력!$AH$3:$HD$3,"L*",응답입력!$AH41:$HD41,"&lt;9")&gt;=5,SUMIFS(응답입력!$AH41:$HD41,응답입력!$AH$4:$HD$4,"TR",응답입력!$AH$3:$HD$3,"L*",응답입력!$AH41:$HD41,"&lt;9")/COUNTIFS(응답입력!$AH$4:$HD$4,"TR",응답입력!$AH$3:$HD$3,"L*",응답입력!$AH41:$HD41,"&lt;9"),"")</f>
        <v/>
      </c>
      <c r="D40" s="35" t="str">
        <f aca="false">IF(COUNTIFS(응답입력!$AH$4:$HD$4,"EV",응답입력!$AH$3:$HD$3,"L*",응답입력!$AH41:$HD41,"&lt;9")&gt;=5,SUMIFS(응답입력!$AH41:$HD41,응답입력!$AH$4:$HD$4,"EV",응답입력!$AH$3:$HD$3,"L*",응답입력!$AH41:$HD41,"&lt;9")/COUNTIFS(응답입력!$AH$4:$HD$4,"EV",응답입력!$AH$3:$HD$3,"L*",응답입력!$AH41:$HD41,"&lt;9"),"")</f>
        <v/>
      </c>
      <c r="E40" s="35" t="str">
        <f aca="false">IF(COUNTIFS(응답입력!$AH$4:$HD$4,"AC",응답입력!$AH$3:$HD$3,"L*",응답입력!$AH41:$HD41,"&lt;9")&gt;=5,SUMIFS(응답입력!$AH41:$HD41,응답입력!$AH$4:$HD$4,"AC",응답입력!$AH$3:$HD$3,"L*",응답입력!$AH41:$HD41,"&lt;9")/COUNTIFS(응답입력!$AH$4:$HD$4,"AC",응답입력!$AH$3:$HD$3,"L*",응답입력!$AH41:$HD41,"&lt;9"),"")</f>
        <v/>
      </c>
      <c r="F40" s="35" t="str">
        <f aca="false">IF(COUNTIFS(응답입력!$AH$4:$HD$4,"TM",응답입력!$AH$3:$HD$3,"L*",응답입력!$AH41:$HD41,"&lt;9")&gt;=5,SUMIFS(응답입력!$AH41:$HD41,응답입력!$AH$4:$HD$4,"TM",응답입력!$AH$3:$HD$3,"L*",응답입력!$AH41:$HD41,"&lt;9")/COUNTIFS(응답입력!$AH$4:$HD$4,"TM",응답입력!$AH$3:$HD$3,"L*",응답입력!$AH41:$HD41,"&lt;9"),"")</f>
        <v/>
      </c>
      <c r="G40" s="35" t="str">
        <f aca="false">IF(COUNTIFS(응답입력!$AH$4:$HD$4,"FC",응답입력!$AH$3:$HD$3,"L*",응답입력!$AH41:$HD41,"&lt;9")&gt;=2,SUMIFS(응답입력!$AH41:$HD41,응답입력!$AH$4:$HD$4,"FC",응답입력!$AH$3:$HD$3,"L*",응답입력!$AH41:$HD41,"&lt;9")/COUNTIFS(응답입력!$AH$4:$HD$4,"FC",응답입력!$AH$3:$HD$3,"L*",응답입력!$AH41:$HD41,"&lt;9"),"")</f>
        <v/>
      </c>
      <c r="H40" s="41" t="str">
        <f aca="false">IFERROR(AVERAGE(B40:G40),"")</f>
        <v/>
      </c>
    </row>
    <row r="41" customFormat="false" ht="15" hidden="false" customHeight="false" outlineLevel="0" collapsed="false">
      <c r="A41" s="27" t="str">
        <f aca="false">IF(응답입력!A42="","",응답입력!A42)</f>
        <v/>
      </c>
      <c r="B41" s="35" t="str">
        <f aca="false">IF(COUNTIFS(응답입력!$AH$4:$HD$4,"CO",응답입력!$AH$3:$HD$3,"L*",응답입력!$AH42:$HD42,"&lt;9")&gt;=5,SUMIFS(응답입력!$AH42:$HD42,응답입력!$AH$4:$HD$4,"CO",응답입력!$AH$3:$HD$3,"L*",응답입력!$AH42:$HD42,"&lt;9")/COUNTIFS(응답입력!$AH$4:$HD$4,"CO",응답입력!$AH$3:$HD$3,"L*",응답입력!$AH42:$HD42,"&lt;9"),"")</f>
        <v/>
      </c>
      <c r="C41" s="35" t="str">
        <f aca="false">IF(COUNTIFS(응답입력!$AH$4:$HD$4,"TR",응답입력!$AH$3:$HD$3,"L*",응답입력!$AH42:$HD42,"&lt;9")&gt;=5,SUMIFS(응답입력!$AH42:$HD42,응답입력!$AH$4:$HD$4,"TR",응답입력!$AH$3:$HD$3,"L*",응답입력!$AH42:$HD42,"&lt;9")/COUNTIFS(응답입력!$AH$4:$HD$4,"TR",응답입력!$AH$3:$HD$3,"L*",응답입력!$AH42:$HD42,"&lt;9"),"")</f>
        <v/>
      </c>
      <c r="D41" s="35" t="str">
        <f aca="false">IF(COUNTIFS(응답입력!$AH$4:$HD$4,"EV",응답입력!$AH$3:$HD$3,"L*",응답입력!$AH42:$HD42,"&lt;9")&gt;=5,SUMIFS(응답입력!$AH42:$HD42,응답입력!$AH$4:$HD$4,"EV",응답입력!$AH$3:$HD$3,"L*",응답입력!$AH42:$HD42,"&lt;9")/COUNTIFS(응답입력!$AH$4:$HD$4,"EV",응답입력!$AH$3:$HD$3,"L*",응답입력!$AH42:$HD42,"&lt;9"),"")</f>
        <v/>
      </c>
      <c r="E41" s="35" t="str">
        <f aca="false">IF(COUNTIFS(응답입력!$AH$4:$HD$4,"AC",응답입력!$AH$3:$HD$3,"L*",응답입력!$AH42:$HD42,"&lt;9")&gt;=5,SUMIFS(응답입력!$AH42:$HD42,응답입력!$AH$4:$HD$4,"AC",응답입력!$AH$3:$HD$3,"L*",응답입력!$AH42:$HD42,"&lt;9")/COUNTIFS(응답입력!$AH$4:$HD$4,"AC",응답입력!$AH$3:$HD$3,"L*",응답입력!$AH42:$HD42,"&lt;9"),"")</f>
        <v/>
      </c>
      <c r="F41" s="35" t="str">
        <f aca="false">IF(COUNTIFS(응답입력!$AH$4:$HD$4,"TM",응답입력!$AH$3:$HD$3,"L*",응답입력!$AH42:$HD42,"&lt;9")&gt;=5,SUMIFS(응답입력!$AH42:$HD42,응답입력!$AH$4:$HD$4,"TM",응답입력!$AH$3:$HD$3,"L*",응답입력!$AH42:$HD42,"&lt;9")/COUNTIFS(응답입력!$AH$4:$HD$4,"TM",응답입력!$AH$3:$HD$3,"L*",응답입력!$AH42:$HD42,"&lt;9"),"")</f>
        <v/>
      </c>
      <c r="G41" s="35" t="str">
        <f aca="false">IF(COUNTIFS(응답입력!$AH$4:$HD$4,"FC",응답입력!$AH$3:$HD$3,"L*",응답입력!$AH42:$HD42,"&lt;9")&gt;=2,SUMIFS(응답입력!$AH42:$HD42,응답입력!$AH$4:$HD$4,"FC",응답입력!$AH$3:$HD$3,"L*",응답입력!$AH42:$HD42,"&lt;9")/COUNTIFS(응답입력!$AH$4:$HD$4,"FC",응답입력!$AH$3:$HD$3,"L*",응답입력!$AH42:$HD42,"&lt;9"),"")</f>
        <v/>
      </c>
      <c r="H41" s="41" t="str">
        <f aca="false">IFERROR(AVERAGE(B41:G41),"")</f>
        <v/>
      </c>
    </row>
    <row r="42" customFormat="false" ht="15" hidden="false" customHeight="false" outlineLevel="0" collapsed="false">
      <c r="A42" s="27" t="str">
        <f aca="false">IF(응답입력!A43="","",응답입력!A43)</f>
        <v/>
      </c>
      <c r="B42" s="35" t="str">
        <f aca="false">IF(COUNTIFS(응답입력!$AH$4:$HD$4,"CO",응답입력!$AH$3:$HD$3,"L*",응답입력!$AH43:$HD43,"&lt;9")&gt;=5,SUMIFS(응답입력!$AH43:$HD43,응답입력!$AH$4:$HD$4,"CO",응답입력!$AH$3:$HD$3,"L*",응답입력!$AH43:$HD43,"&lt;9")/COUNTIFS(응답입력!$AH$4:$HD$4,"CO",응답입력!$AH$3:$HD$3,"L*",응답입력!$AH43:$HD43,"&lt;9"),"")</f>
        <v/>
      </c>
      <c r="C42" s="35" t="str">
        <f aca="false">IF(COUNTIFS(응답입력!$AH$4:$HD$4,"TR",응답입력!$AH$3:$HD$3,"L*",응답입력!$AH43:$HD43,"&lt;9")&gt;=5,SUMIFS(응답입력!$AH43:$HD43,응답입력!$AH$4:$HD$4,"TR",응답입력!$AH$3:$HD$3,"L*",응답입력!$AH43:$HD43,"&lt;9")/COUNTIFS(응답입력!$AH$4:$HD$4,"TR",응답입력!$AH$3:$HD$3,"L*",응답입력!$AH43:$HD43,"&lt;9"),"")</f>
        <v/>
      </c>
      <c r="D42" s="35" t="str">
        <f aca="false">IF(COUNTIFS(응답입력!$AH$4:$HD$4,"EV",응답입력!$AH$3:$HD$3,"L*",응답입력!$AH43:$HD43,"&lt;9")&gt;=5,SUMIFS(응답입력!$AH43:$HD43,응답입력!$AH$4:$HD$4,"EV",응답입력!$AH$3:$HD$3,"L*",응답입력!$AH43:$HD43,"&lt;9")/COUNTIFS(응답입력!$AH$4:$HD$4,"EV",응답입력!$AH$3:$HD$3,"L*",응답입력!$AH43:$HD43,"&lt;9"),"")</f>
        <v/>
      </c>
      <c r="E42" s="35" t="str">
        <f aca="false">IF(COUNTIFS(응답입력!$AH$4:$HD$4,"AC",응답입력!$AH$3:$HD$3,"L*",응답입력!$AH43:$HD43,"&lt;9")&gt;=5,SUMIFS(응답입력!$AH43:$HD43,응답입력!$AH$4:$HD$4,"AC",응답입력!$AH$3:$HD$3,"L*",응답입력!$AH43:$HD43,"&lt;9")/COUNTIFS(응답입력!$AH$4:$HD$4,"AC",응답입력!$AH$3:$HD$3,"L*",응답입력!$AH43:$HD43,"&lt;9"),"")</f>
        <v/>
      </c>
      <c r="F42" s="35" t="str">
        <f aca="false">IF(COUNTIFS(응답입력!$AH$4:$HD$4,"TM",응답입력!$AH$3:$HD$3,"L*",응답입력!$AH43:$HD43,"&lt;9")&gt;=5,SUMIFS(응답입력!$AH43:$HD43,응답입력!$AH$4:$HD$4,"TM",응답입력!$AH$3:$HD$3,"L*",응답입력!$AH43:$HD43,"&lt;9")/COUNTIFS(응답입력!$AH$4:$HD$4,"TM",응답입력!$AH$3:$HD$3,"L*",응답입력!$AH43:$HD43,"&lt;9"),"")</f>
        <v/>
      </c>
      <c r="G42" s="35" t="str">
        <f aca="false">IF(COUNTIFS(응답입력!$AH$4:$HD$4,"FC",응답입력!$AH$3:$HD$3,"L*",응답입력!$AH43:$HD43,"&lt;9")&gt;=2,SUMIFS(응답입력!$AH43:$HD43,응답입력!$AH$4:$HD$4,"FC",응답입력!$AH$3:$HD$3,"L*",응답입력!$AH43:$HD43,"&lt;9")/COUNTIFS(응답입력!$AH$4:$HD$4,"FC",응답입력!$AH$3:$HD$3,"L*",응답입력!$AH43:$HD43,"&lt;9"),"")</f>
        <v/>
      </c>
      <c r="H42" s="41" t="str">
        <f aca="false">IFERROR(AVERAGE(B42:G42),"")</f>
        <v/>
      </c>
    </row>
    <row r="43" customFormat="false" ht="15" hidden="false" customHeight="false" outlineLevel="0" collapsed="false">
      <c r="A43" s="27" t="str">
        <f aca="false">IF(응답입력!A44="","",응답입력!A44)</f>
        <v/>
      </c>
      <c r="B43" s="35" t="str">
        <f aca="false">IF(COUNTIFS(응답입력!$AH$4:$HD$4,"CO",응답입력!$AH$3:$HD$3,"L*",응답입력!$AH44:$HD44,"&lt;9")&gt;=5,SUMIFS(응답입력!$AH44:$HD44,응답입력!$AH$4:$HD$4,"CO",응답입력!$AH$3:$HD$3,"L*",응답입력!$AH44:$HD44,"&lt;9")/COUNTIFS(응답입력!$AH$4:$HD$4,"CO",응답입력!$AH$3:$HD$3,"L*",응답입력!$AH44:$HD44,"&lt;9"),"")</f>
        <v/>
      </c>
      <c r="C43" s="35" t="str">
        <f aca="false">IF(COUNTIFS(응답입력!$AH$4:$HD$4,"TR",응답입력!$AH$3:$HD$3,"L*",응답입력!$AH44:$HD44,"&lt;9")&gt;=5,SUMIFS(응답입력!$AH44:$HD44,응답입력!$AH$4:$HD$4,"TR",응답입력!$AH$3:$HD$3,"L*",응답입력!$AH44:$HD44,"&lt;9")/COUNTIFS(응답입력!$AH$4:$HD$4,"TR",응답입력!$AH$3:$HD$3,"L*",응답입력!$AH44:$HD44,"&lt;9"),"")</f>
        <v/>
      </c>
      <c r="D43" s="35" t="str">
        <f aca="false">IF(COUNTIFS(응답입력!$AH$4:$HD$4,"EV",응답입력!$AH$3:$HD$3,"L*",응답입력!$AH44:$HD44,"&lt;9")&gt;=5,SUMIFS(응답입력!$AH44:$HD44,응답입력!$AH$4:$HD$4,"EV",응답입력!$AH$3:$HD$3,"L*",응답입력!$AH44:$HD44,"&lt;9")/COUNTIFS(응답입력!$AH$4:$HD$4,"EV",응답입력!$AH$3:$HD$3,"L*",응답입력!$AH44:$HD44,"&lt;9"),"")</f>
        <v/>
      </c>
      <c r="E43" s="35" t="str">
        <f aca="false">IF(COUNTIFS(응답입력!$AH$4:$HD$4,"AC",응답입력!$AH$3:$HD$3,"L*",응답입력!$AH44:$HD44,"&lt;9")&gt;=5,SUMIFS(응답입력!$AH44:$HD44,응답입력!$AH$4:$HD$4,"AC",응답입력!$AH$3:$HD$3,"L*",응답입력!$AH44:$HD44,"&lt;9")/COUNTIFS(응답입력!$AH$4:$HD$4,"AC",응답입력!$AH$3:$HD$3,"L*",응답입력!$AH44:$HD44,"&lt;9"),"")</f>
        <v/>
      </c>
      <c r="F43" s="35" t="str">
        <f aca="false">IF(COUNTIFS(응답입력!$AH$4:$HD$4,"TM",응답입력!$AH$3:$HD$3,"L*",응답입력!$AH44:$HD44,"&lt;9")&gt;=5,SUMIFS(응답입력!$AH44:$HD44,응답입력!$AH$4:$HD$4,"TM",응답입력!$AH$3:$HD$3,"L*",응답입력!$AH44:$HD44,"&lt;9")/COUNTIFS(응답입력!$AH$4:$HD$4,"TM",응답입력!$AH$3:$HD$3,"L*",응답입력!$AH44:$HD44,"&lt;9"),"")</f>
        <v/>
      </c>
      <c r="G43" s="35" t="str">
        <f aca="false">IF(COUNTIFS(응답입력!$AH$4:$HD$4,"FC",응답입력!$AH$3:$HD$3,"L*",응답입력!$AH44:$HD44,"&lt;9")&gt;=2,SUMIFS(응답입력!$AH44:$HD44,응답입력!$AH$4:$HD$4,"FC",응답입력!$AH$3:$HD$3,"L*",응답입력!$AH44:$HD44,"&lt;9")/COUNTIFS(응답입력!$AH$4:$HD$4,"FC",응답입력!$AH$3:$HD$3,"L*",응답입력!$AH44:$HD44,"&lt;9"),"")</f>
        <v/>
      </c>
      <c r="H43" s="41" t="str">
        <f aca="false">IFERROR(AVERAGE(B43:G43),"")</f>
        <v/>
      </c>
    </row>
    <row r="44" customFormat="false" ht="15" hidden="false" customHeight="false" outlineLevel="0" collapsed="false">
      <c r="A44" s="27" t="str">
        <f aca="false">IF(응답입력!A45="","",응답입력!A45)</f>
        <v/>
      </c>
      <c r="B44" s="35" t="str">
        <f aca="false">IF(COUNTIFS(응답입력!$AH$4:$HD$4,"CO",응답입력!$AH$3:$HD$3,"L*",응답입력!$AH45:$HD45,"&lt;9")&gt;=5,SUMIFS(응답입력!$AH45:$HD45,응답입력!$AH$4:$HD$4,"CO",응답입력!$AH$3:$HD$3,"L*",응답입력!$AH45:$HD45,"&lt;9")/COUNTIFS(응답입력!$AH$4:$HD$4,"CO",응답입력!$AH$3:$HD$3,"L*",응답입력!$AH45:$HD45,"&lt;9"),"")</f>
        <v/>
      </c>
      <c r="C44" s="35" t="str">
        <f aca="false">IF(COUNTIFS(응답입력!$AH$4:$HD$4,"TR",응답입력!$AH$3:$HD$3,"L*",응답입력!$AH45:$HD45,"&lt;9")&gt;=5,SUMIFS(응답입력!$AH45:$HD45,응답입력!$AH$4:$HD$4,"TR",응답입력!$AH$3:$HD$3,"L*",응답입력!$AH45:$HD45,"&lt;9")/COUNTIFS(응답입력!$AH$4:$HD$4,"TR",응답입력!$AH$3:$HD$3,"L*",응답입력!$AH45:$HD45,"&lt;9"),"")</f>
        <v/>
      </c>
      <c r="D44" s="35" t="str">
        <f aca="false">IF(COUNTIFS(응답입력!$AH$4:$HD$4,"EV",응답입력!$AH$3:$HD$3,"L*",응답입력!$AH45:$HD45,"&lt;9")&gt;=5,SUMIFS(응답입력!$AH45:$HD45,응답입력!$AH$4:$HD$4,"EV",응답입력!$AH$3:$HD$3,"L*",응답입력!$AH45:$HD45,"&lt;9")/COUNTIFS(응답입력!$AH$4:$HD$4,"EV",응답입력!$AH$3:$HD$3,"L*",응답입력!$AH45:$HD45,"&lt;9"),"")</f>
        <v/>
      </c>
      <c r="E44" s="35" t="str">
        <f aca="false">IF(COUNTIFS(응답입력!$AH$4:$HD$4,"AC",응답입력!$AH$3:$HD$3,"L*",응답입력!$AH45:$HD45,"&lt;9")&gt;=5,SUMIFS(응답입력!$AH45:$HD45,응답입력!$AH$4:$HD$4,"AC",응답입력!$AH$3:$HD$3,"L*",응답입력!$AH45:$HD45,"&lt;9")/COUNTIFS(응답입력!$AH$4:$HD$4,"AC",응답입력!$AH$3:$HD$3,"L*",응답입력!$AH45:$HD45,"&lt;9"),"")</f>
        <v/>
      </c>
      <c r="F44" s="35" t="str">
        <f aca="false">IF(COUNTIFS(응답입력!$AH$4:$HD$4,"TM",응답입력!$AH$3:$HD$3,"L*",응답입력!$AH45:$HD45,"&lt;9")&gt;=5,SUMIFS(응답입력!$AH45:$HD45,응답입력!$AH$4:$HD$4,"TM",응답입력!$AH$3:$HD$3,"L*",응답입력!$AH45:$HD45,"&lt;9")/COUNTIFS(응답입력!$AH$4:$HD$4,"TM",응답입력!$AH$3:$HD$3,"L*",응답입력!$AH45:$HD45,"&lt;9"),"")</f>
        <v/>
      </c>
      <c r="G44" s="35" t="str">
        <f aca="false">IF(COUNTIFS(응답입력!$AH$4:$HD$4,"FC",응답입력!$AH$3:$HD$3,"L*",응답입력!$AH45:$HD45,"&lt;9")&gt;=2,SUMIFS(응답입력!$AH45:$HD45,응답입력!$AH$4:$HD$4,"FC",응답입력!$AH$3:$HD$3,"L*",응답입력!$AH45:$HD45,"&lt;9")/COUNTIFS(응답입력!$AH$4:$HD$4,"FC",응답입력!$AH$3:$HD$3,"L*",응답입력!$AH45:$HD45,"&lt;9"),"")</f>
        <v/>
      </c>
      <c r="H44" s="41" t="str">
        <f aca="false">IFERROR(AVERAGE(B44:G44),"")</f>
        <v/>
      </c>
    </row>
    <row r="45" customFormat="false" ht="15" hidden="false" customHeight="false" outlineLevel="0" collapsed="false">
      <c r="A45" s="27" t="str">
        <f aca="false">IF(응답입력!A46="","",응답입력!A46)</f>
        <v/>
      </c>
      <c r="B45" s="35" t="str">
        <f aca="false">IF(COUNTIFS(응답입력!$AH$4:$HD$4,"CO",응답입력!$AH$3:$HD$3,"L*",응답입력!$AH46:$HD46,"&lt;9")&gt;=5,SUMIFS(응답입력!$AH46:$HD46,응답입력!$AH$4:$HD$4,"CO",응답입력!$AH$3:$HD$3,"L*",응답입력!$AH46:$HD46,"&lt;9")/COUNTIFS(응답입력!$AH$4:$HD$4,"CO",응답입력!$AH$3:$HD$3,"L*",응답입력!$AH46:$HD46,"&lt;9"),"")</f>
        <v/>
      </c>
      <c r="C45" s="35" t="str">
        <f aca="false">IF(COUNTIFS(응답입력!$AH$4:$HD$4,"TR",응답입력!$AH$3:$HD$3,"L*",응답입력!$AH46:$HD46,"&lt;9")&gt;=5,SUMIFS(응답입력!$AH46:$HD46,응답입력!$AH$4:$HD$4,"TR",응답입력!$AH$3:$HD$3,"L*",응답입력!$AH46:$HD46,"&lt;9")/COUNTIFS(응답입력!$AH$4:$HD$4,"TR",응답입력!$AH$3:$HD$3,"L*",응답입력!$AH46:$HD46,"&lt;9"),"")</f>
        <v/>
      </c>
      <c r="D45" s="35" t="str">
        <f aca="false">IF(COUNTIFS(응답입력!$AH$4:$HD$4,"EV",응답입력!$AH$3:$HD$3,"L*",응답입력!$AH46:$HD46,"&lt;9")&gt;=5,SUMIFS(응답입력!$AH46:$HD46,응답입력!$AH$4:$HD$4,"EV",응답입력!$AH$3:$HD$3,"L*",응답입력!$AH46:$HD46,"&lt;9")/COUNTIFS(응답입력!$AH$4:$HD$4,"EV",응답입력!$AH$3:$HD$3,"L*",응답입력!$AH46:$HD46,"&lt;9"),"")</f>
        <v/>
      </c>
      <c r="E45" s="35" t="str">
        <f aca="false">IF(COUNTIFS(응답입력!$AH$4:$HD$4,"AC",응답입력!$AH$3:$HD$3,"L*",응답입력!$AH46:$HD46,"&lt;9")&gt;=5,SUMIFS(응답입력!$AH46:$HD46,응답입력!$AH$4:$HD$4,"AC",응답입력!$AH$3:$HD$3,"L*",응답입력!$AH46:$HD46,"&lt;9")/COUNTIFS(응답입력!$AH$4:$HD$4,"AC",응답입력!$AH$3:$HD$3,"L*",응답입력!$AH46:$HD46,"&lt;9"),"")</f>
        <v/>
      </c>
      <c r="F45" s="35" t="str">
        <f aca="false">IF(COUNTIFS(응답입력!$AH$4:$HD$4,"TM",응답입력!$AH$3:$HD$3,"L*",응답입력!$AH46:$HD46,"&lt;9")&gt;=5,SUMIFS(응답입력!$AH46:$HD46,응답입력!$AH$4:$HD$4,"TM",응답입력!$AH$3:$HD$3,"L*",응답입력!$AH46:$HD46,"&lt;9")/COUNTIFS(응답입력!$AH$4:$HD$4,"TM",응답입력!$AH$3:$HD$3,"L*",응답입력!$AH46:$HD46,"&lt;9"),"")</f>
        <v/>
      </c>
      <c r="G45" s="35" t="str">
        <f aca="false">IF(COUNTIFS(응답입력!$AH$4:$HD$4,"FC",응답입력!$AH$3:$HD$3,"L*",응답입력!$AH46:$HD46,"&lt;9")&gt;=2,SUMIFS(응답입력!$AH46:$HD46,응답입력!$AH$4:$HD$4,"FC",응답입력!$AH$3:$HD$3,"L*",응답입력!$AH46:$HD46,"&lt;9")/COUNTIFS(응답입력!$AH$4:$HD$4,"FC",응답입력!$AH$3:$HD$3,"L*",응답입력!$AH46:$HD46,"&lt;9"),"")</f>
        <v/>
      </c>
      <c r="H45" s="41" t="str">
        <f aca="false">IFERROR(AVERAGE(B45:G45),"")</f>
        <v/>
      </c>
    </row>
    <row r="46" customFormat="false" ht="15" hidden="false" customHeight="false" outlineLevel="0" collapsed="false">
      <c r="A46" s="27" t="str">
        <f aca="false">IF(응답입력!A47="","",응답입력!A47)</f>
        <v/>
      </c>
      <c r="B46" s="35" t="str">
        <f aca="false">IF(COUNTIFS(응답입력!$AH$4:$HD$4,"CO",응답입력!$AH$3:$HD$3,"L*",응답입력!$AH47:$HD47,"&lt;9")&gt;=5,SUMIFS(응답입력!$AH47:$HD47,응답입력!$AH$4:$HD$4,"CO",응답입력!$AH$3:$HD$3,"L*",응답입력!$AH47:$HD47,"&lt;9")/COUNTIFS(응답입력!$AH$4:$HD$4,"CO",응답입력!$AH$3:$HD$3,"L*",응답입력!$AH47:$HD47,"&lt;9"),"")</f>
        <v/>
      </c>
      <c r="C46" s="35" t="str">
        <f aca="false">IF(COUNTIFS(응답입력!$AH$4:$HD$4,"TR",응답입력!$AH$3:$HD$3,"L*",응답입력!$AH47:$HD47,"&lt;9")&gt;=5,SUMIFS(응답입력!$AH47:$HD47,응답입력!$AH$4:$HD$4,"TR",응답입력!$AH$3:$HD$3,"L*",응답입력!$AH47:$HD47,"&lt;9")/COUNTIFS(응답입력!$AH$4:$HD$4,"TR",응답입력!$AH$3:$HD$3,"L*",응답입력!$AH47:$HD47,"&lt;9"),"")</f>
        <v/>
      </c>
      <c r="D46" s="35" t="str">
        <f aca="false">IF(COUNTIFS(응답입력!$AH$4:$HD$4,"EV",응답입력!$AH$3:$HD$3,"L*",응답입력!$AH47:$HD47,"&lt;9")&gt;=5,SUMIFS(응답입력!$AH47:$HD47,응답입력!$AH$4:$HD$4,"EV",응답입력!$AH$3:$HD$3,"L*",응답입력!$AH47:$HD47,"&lt;9")/COUNTIFS(응답입력!$AH$4:$HD$4,"EV",응답입력!$AH$3:$HD$3,"L*",응답입력!$AH47:$HD47,"&lt;9"),"")</f>
        <v/>
      </c>
      <c r="E46" s="35" t="str">
        <f aca="false">IF(COUNTIFS(응답입력!$AH$4:$HD$4,"AC",응답입력!$AH$3:$HD$3,"L*",응답입력!$AH47:$HD47,"&lt;9")&gt;=5,SUMIFS(응답입력!$AH47:$HD47,응답입력!$AH$4:$HD$4,"AC",응답입력!$AH$3:$HD$3,"L*",응답입력!$AH47:$HD47,"&lt;9")/COUNTIFS(응답입력!$AH$4:$HD$4,"AC",응답입력!$AH$3:$HD$3,"L*",응답입력!$AH47:$HD47,"&lt;9"),"")</f>
        <v/>
      </c>
      <c r="F46" s="35" t="str">
        <f aca="false">IF(COUNTIFS(응답입력!$AH$4:$HD$4,"TM",응답입력!$AH$3:$HD$3,"L*",응답입력!$AH47:$HD47,"&lt;9")&gt;=5,SUMIFS(응답입력!$AH47:$HD47,응답입력!$AH$4:$HD$4,"TM",응답입력!$AH$3:$HD$3,"L*",응답입력!$AH47:$HD47,"&lt;9")/COUNTIFS(응답입력!$AH$4:$HD$4,"TM",응답입력!$AH$3:$HD$3,"L*",응답입력!$AH47:$HD47,"&lt;9"),"")</f>
        <v/>
      </c>
      <c r="G46" s="35" t="str">
        <f aca="false">IF(COUNTIFS(응답입력!$AH$4:$HD$4,"FC",응답입력!$AH$3:$HD$3,"L*",응답입력!$AH47:$HD47,"&lt;9")&gt;=2,SUMIFS(응답입력!$AH47:$HD47,응답입력!$AH$4:$HD$4,"FC",응답입력!$AH$3:$HD$3,"L*",응답입력!$AH47:$HD47,"&lt;9")/COUNTIFS(응답입력!$AH$4:$HD$4,"FC",응답입력!$AH$3:$HD$3,"L*",응답입력!$AH47:$HD47,"&lt;9"),"")</f>
        <v/>
      </c>
      <c r="H46" s="41" t="str">
        <f aca="false">IFERROR(AVERAGE(B46:G46),"")</f>
        <v/>
      </c>
    </row>
    <row r="47" customFormat="false" ht="15" hidden="false" customHeight="false" outlineLevel="0" collapsed="false">
      <c r="A47" s="27" t="str">
        <f aca="false">IF(응답입력!A48="","",응답입력!A48)</f>
        <v/>
      </c>
      <c r="B47" s="35" t="str">
        <f aca="false">IF(COUNTIFS(응답입력!$AH$4:$HD$4,"CO",응답입력!$AH$3:$HD$3,"L*",응답입력!$AH48:$HD48,"&lt;9")&gt;=5,SUMIFS(응답입력!$AH48:$HD48,응답입력!$AH$4:$HD$4,"CO",응답입력!$AH$3:$HD$3,"L*",응답입력!$AH48:$HD48,"&lt;9")/COUNTIFS(응답입력!$AH$4:$HD$4,"CO",응답입력!$AH$3:$HD$3,"L*",응답입력!$AH48:$HD48,"&lt;9"),"")</f>
        <v/>
      </c>
      <c r="C47" s="35" t="str">
        <f aca="false">IF(COUNTIFS(응답입력!$AH$4:$HD$4,"TR",응답입력!$AH$3:$HD$3,"L*",응답입력!$AH48:$HD48,"&lt;9")&gt;=5,SUMIFS(응답입력!$AH48:$HD48,응답입력!$AH$4:$HD$4,"TR",응답입력!$AH$3:$HD$3,"L*",응답입력!$AH48:$HD48,"&lt;9")/COUNTIFS(응답입력!$AH$4:$HD$4,"TR",응답입력!$AH$3:$HD$3,"L*",응답입력!$AH48:$HD48,"&lt;9"),"")</f>
        <v/>
      </c>
      <c r="D47" s="35" t="str">
        <f aca="false">IF(COUNTIFS(응답입력!$AH$4:$HD$4,"EV",응답입력!$AH$3:$HD$3,"L*",응답입력!$AH48:$HD48,"&lt;9")&gt;=5,SUMIFS(응답입력!$AH48:$HD48,응답입력!$AH$4:$HD$4,"EV",응답입력!$AH$3:$HD$3,"L*",응답입력!$AH48:$HD48,"&lt;9")/COUNTIFS(응답입력!$AH$4:$HD$4,"EV",응답입력!$AH$3:$HD$3,"L*",응답입력!$AH48:$HD48,"&lt;9"),"")</f>
        <v/>
      </c>
      <c r="E47" s="35" t="str">
        <f aca="false">IF(COUNTIFS(응답입력!$AH$4:$HD$4,"AC",응답입력!$AH$3:$HD$3,"L*",응답입력!$AH48:$HD48,"&lt;9")&gt;=5,SUMIFS(응답입력!$AH48:$HD48,응답입력!$AH$4:$HD$4,"AC",응답입력!$AH$3:$HD$3,"L*",응답입력!$AH48:$HD48,"&lt;9")/COUNTIFS(응답입력!$AH$4:$HD$4,"AC",응답입력!$AH$3:$HD$3,"L*",응답입력!$AH48:$HD48,"&lt;9"),"")</f>
        <v/>
      </c>
      <c r="F47" s="35" t="str">
        <f aca="false">IF(COUNTIFS(응답입력!$AH$4:$HD$4,"TM",응답입력!$AH$3:$HD$3,"L*",응답입력!$AH48:$HD48,"&lt;9")&gt;=5,SUMIFS(응답입력!$AH48:$HD48,응답입력!$AH$4:$HD$4,"TM",응답입력!$AH$3:$HD$3,"L*",응답입력!$AH48:$HD48,"&lt;9")/COUNTIFS(응답입력!$AH$4:$HD$4,"TM",응답입력!$AH$3:$HD$3,"L*",응답입력!$AH48:$HD48,"&lt;9"),"")</f>
        <v/>
      </c>
      <c r="G47" s="35" t="str">
        <f aca="false">IF(COUNTIFS(응답입력!$AH$4:$HD$4,"FC",응답입력!$AH$3:$HD$3,"L*",응답입력!$AH48:$HD48,"&lt;9")&gt;=2,SUMIFS(응답입력!$AH48:$HD48,응답입력!$AH$4:$HD$4,"FC",응답입력!$AH$3:$HD$3,"L*",응답입력!$AH48:$HD48,"&lt;9")/COUNTIFS(응답입력!$AH$4:$HD$4,"FC",응답입력!$AH$3:$HD$3,"L*",응답입력!$AH48:$HD48,"&lt;9"),"")</f>
        <v/>
      </c>
      <c r="H47" s="41" t="str">
        <f aca="false">IFERROR(AVERAGE(B47:G47),"")</f>
        <v/>
      </c>
    </row>
    <row r="48" customFormat="false" ht="15" hidden="false" customHeight="false" outlineLevel="0" collapsed="false">
      <c r="A48" s="27" t="str">
        <f aca="false">IF(응답입력!A49="","",응답입력!A49)</f>
        <v/>
      </c>
      <c r="B48" s="35" t="str">
        <f aca="false">IF(COUNTIFS(응답입력!$AH$4:$HD$4,"CO",응답입력!$AH$3:$HD$3,"L*",응답입력!$AH49:$HD49,"&lt;9")&gt;=5,SUMIFS(응답입력!$AH49:$HD49,응답입력!$AH$4:$HD$4,"CO",응답입력!$AH$3:$HD$3,"L*",응답입력!$AH49:$HD49,"&lt;9")/COUNTIFS(응답입력!$AH$4:$HD$4,"CO",응답입력!$AH$3:$HD$3,"L*",응답입력!$AH49:$HD49,"&lt;9"),"")</f>
        <v/>
      </c>
      <c r="C48" s="35" t="str">
        <f aca="false">IF(COUNTIFS(응답입력!$AH$4:$HD$4,"TR",응답입력!$AH$3:$HD$3,"L*",응답입력!$AH49:$HD49,"&lt;9")&gt;=5,SUMIFS(응답입력!$AH49:$HD49,응답입력!$AH$4:$HD$4,"TR",응답입력!$AH$3:$HD$3,"L*",응답입력!$AH49:$HD49,"&lt;9")/COUNTIFS(응답입력!$AH$4:$HD$4,"TR",응답입력!$AH$3:$HD$3,"L*",응답입력!$AH49:$HD49,"&lt;9"),"")</f>
        <v/>
      </c>
      <c r="D48" s="35" t="str">
        <f aca="false">IF(COUNTIFS(응답입력!$AH$4:$HD$4,"EV",응답입력!$AH$3:$HD$3,"L*",응답입력!$AH49:$HD49,"&lt;9")&gt;=5,SUMIFS(응답입력!$AH49:$HD49,응답입력!$AH$4:$HD$4,"EV",응답입력!$AH$3:$HD$3,"L*",응답입력!$AH49:$HD49,"&lt;9")/COUNTIFS(응답입력!$AH$4:$HD$4,"EV",응답입력!$AH$3:$HD$3,"L*",응답입력!$AH49:$HD49,"&lt;9"),"")</f>
        <v/>
      </c>
      <c r="E48" s="35" t="str">
        <f aca="false">IF(COUNTIFS(응답입력!$AH$4:$HD$4,"AC",응답입력!$AH$3:$HD$3,"L*",응답입력!$AH49:$HD49,"&lt;9")&gt;=5,SUMIFS(응답입력!$AH49:$HD49,응답입력!$AH$4:$HD$4,"AC",응답입력!$AH$3:$HD$3,"L*",응답입력!$AH49:$HD49,"&lt;9")/COUNTIFS(응답입력!$AH$4:$HD$4,"AC",응답입력!$AH$3:$HD$3,"L*",응답입력!$AH49:$HD49,"&lt;9"),"")</f>
        <v/>
      </c>
      <c r="F48" s="35" t="str">
        <f aca="false">IF(COUNTIFS(응답입력!$AH$4:$HD$4,"TM",응답입력!$AH$3:$HD$3,"L*",응답입력!$AH49:$HD49,"&lt;9")&gt;=5,SUMIFS(응답입력!$AH49:$HD49,응답입력!$AH$4:$HD$4,"TM",응답입력!$AH$3:$HD$3,"L*",응답입력!$AH49:$HD49,"&lt;9")/COUNTIFS(응답입력!$AH$4:$HD$4,"TM",응답입력!$AH$3:$HD$3,"L*",응답입력!$AH49:$HD49,"&lt;9"),"")</f>
        <v/>
      </c>
      <c r="G48" s="35" t="str">
        <f aca="false">IF(COUNTIFS(응답입력!$AH$4:$HD$4,"FC",응답입력!$AH$3:$HD$3,"L*",응답입력!$AH49:$HD49,"&lt;9")&gt;=2,SUMIFS(응답입력!$AH49:$HD49,응답입력!$AH$4:$HD$4,"FC",응답입력!$AH$3:$HD$3,"L*",응답입력!$AH49:$HD49,"&lt;9")/COUNTIFS(응답입력!$AH$4:$HD$4,"FC",응답입력!$AH$3:$HD$3,"L*",응답입력!$AH49:$HD49,"&lt;9"),"")</f>
        <v/>
      </c>
      <c r="H48" s="41" t="str">
        <f aca="false">IFERROR(AVERAGE(B48:G48),"")</f>
        <v/>
      </c>
    </row>
    <row r="49" customFormat="false" ht="15" hidden="false" customHeight="false" outlineLevel="0" collapsed="false">
      <c r="A49" s="27" t="str">
        <f aca="false">IF(응답입력!A50="","",응답입력!A50)</f>
        <v/>
      </c>
      <c r="B49" s="35" t="str">
        <f aca="false">IF(COUNTIFS(응답입력!$AH$4:$HD$4,"CO",응답입력!$AH$3:$HD$3,"L*",응답입력!$AH50:$HD50,"&lt;9")&gt;=5,SUMIFS(응답입력!$AH50:$HD50,응답입력!$AH$4:$HD$4,"CO",응답입력!$AH$3:$HD$3,"L*",응답입력!$AH50:$HD50,"&lt;9")/COUNTIFS(응답입력!$AH$4:$HD$4,"CO",응답입력!$AH$3:$HD$3,"L*",응답입력!$AH50:$HD50,"&lt;9"),"")</f>
        <v/>
      </c>
      <c r="C49" s="35" t="str">
        <f aca="false">IF(COUNTIFS(응답입력!$AH$4:$HD$4,"TR",응답입력!$AH$3:$HD$3,"L*",응답입력!$AH50:$HD50,"&lt;9")&gt;=5,SUMIFS(응답입력!$AH50:$HD50,응답입력!$AH$4:$HD$4,"TR",응답입력!$AH$3:$HD$3,"L*",응답입력!$AH50:$HD50,"&lt;9")/COUNTIFS(응답입력!$AH$4:$HD$4,"TR",응답입력!$AH$3:$HD$3,"L*",응답입력!$AH50:$HD50,"&lt;9"),"")</f>
        <v/>
      </c>
      <c r="D49" s="35" t="str">
        <f aca="false">IF(COUNTIFS(응답입력!$AH$4:$HD$4,"EV",응답입력!$AH$3:$HD$3,"L*",응답입력!$AH50:$HD50,"&lt;9")&gt;=5,SUMIFS(응답입력!$AH50:$HD50,응답입력!$AH$4:$HD$4,"EV",응답입력!$AH$3:$HD$3,"L*",응답입력!$AH50:$HD50,"&lt;9")/COUNTIFS(응답입력!$AH$4:$HD$4,"EV",응답입력!$AH$3:$HD$3,"L*",응답입력!$AH50:$HD50,"&lt;9"),"")</f>
        <v/>
      </c>
      <c r="E49" s="35" t="str">
        <f aca="false">IF(COUNTIFS(응답입력!$AH$4:$HD$4,"AC",응답입력!$AH$3:$HD$3,"L*",응답입력!$AH50:$HD50,"&lt;9")&gt;=5,SUMIFS(응답입력!$AH50:$HD50,응답입력!$AH$4:$HD$4,"AC",응답입력!$AH$3:$HD$3,"L*",응답입력!$AH50:$HD50,"&lt;9")/COUNTIFS(응답입력!$AH$4:$HD$4,"AC",응답입력!$AH$3:$HD$3,"L*",응답입력!$AH50:$HD50,"&lt;9"),"")</f>
        <v/>
      </c>
      <c r="F49" s="35" t="str">
        <f aca="false">IF(COUNTIFS(응답입력!$AH$4:$HD$4,"TM",응답입력!$AH$3:$HD$3,"L*",응답입력!$AH50:$HD50,"&lt;9")&gt;=5,SUMIFS(응답입력!$AH50:$HD50,응답입력!$AH$4:$HD$4,"TM",응답입력!$AH$3:$HD$3,"L*",응답입력!$AH50:$HD50,"&lt;9")/COUNTIFS(응답입력!$AH$4:$HD$4,"TM",응답입력!$AH$3:$HD$3,"L*",응답입력!$AH50:$HD50,"&lt;9"),"")</f>
        <v/>
      </c>
      <c r="G49" s="35" t="str">
        <f aca="false">IF(COUNTIFS(응답입력!$AH$4:$HD$4,"FC",응답입력!$AH$3:$HD$3,"L*",응답입력!$AH50:$HD50,"&lt;9")&gt;=2,SUMIFS(응답입력!$AH50:$HD50,응답입력!$AH$4:$HD$4,"FC",응답입력!$AH$3:$HD$3,"L*",응답입력!$AH50:$HD50,"&lt;9")/COUNTIFS(응답입력!$AH$4:$HD$4,"FC",응답입력!$AH$3:$HD$3,"L*",응답입력!$AH50:$HD50,"&lt;9"),"")</f>
        <v/>
      </c>
      <c r="H49" s="41" t="str">
        <f aca="false">IFERROR(AVERAGE(B49:G49),"")</f>
        <v/>
      </c>
    </row>
    <row r="50" customFormat="false" ht="15" hidden="false" customHeight="false" outlineLevel="0" collapsed="false">
      <c r="A50" s="27" t="str">
        <f aca="false">IF(응답입력!A51="","",응답입력!A51)</f>
        <v/>
      </c>
      <c r="B50" s="35" t="str">
        <f aca="false">IF(COUNTIFS(응답입력!$AH$4:$HD$4,"CO",응답입력!$AH$3:$HD$3,"L*",응답입력!$AH51:$HD51,"&lt;9")&gt;=5,SUMIFS(응답입력!$AH51:$HD51,응답입력!$AH$4:$HD$4,"CO",응답입력!$AH$3:$HD$3,"L*",응답입력!$AH51:$HD51,"&lt;9")/COUNTIFS(응답입력!$AH$4:$HD$4,"CO",응답입력!$AH$3:$HD$3,"L*",응답입력!$AH51:$HD51,"&lt;9"),"")</f>
        <v/>
      </c>
      <c r="C50" s="35" t="str">
        <f aca="false">IF(COUNTIFS(응답입력!$AH$4:$HD$4,"TR",응답입력!$AH$3:$HD$3,"L*",응답입력!$AH51:$HD51,"&lt;9")&gt;=5,SUMIFS(응답입력!$AH51:$HD51,응답입력!$AH$4:$HD$4,"TR",응답입력!$AH$3:$HD$3,"L*",응답입력!$AH51:$HD51,"&lt;9")/COUNTIFS(응답입력!$AH$4:$HD$4,"TR",응답입력!$AH$3:$HD$3,"L*",응답입력!$AH51:$HD51,"&lt;9"),"")</f>
        <v/>
      </c>
      <c r="D50" s="35" t="str">
        <f aca="false">IF(COUNTIFS(응답입력!$AH$4:$HD$4,"EV",응답입력!$AH$3:$HD$3,"L*",응답입력!$AH51:$HD51,"&lt;9")&gt;=5,SUMIFS(응답입력!$AH51:$HD51,응답입력!$AH$4:$HD$4,"EV",응답입력!$AH$3:$HD$3,"L*",응답입력!$AH51:$HD51,"&lt;9")/COUNTIFS(응답입력!$AH$4:$HD$4,"EV",응답입력!$AH$3:$HD$3,"L*",응답입력!$AH51:$HD51,"&lt;9"),"")</f>
        <v/>
      </c>
      <c r="E50" s="35" t="str">
        <f aca="false">IF(COUNTIFS(응답입력!$AH$4:$HD$4,"AC",응답입력!$AH$3:$HD$3,"L*",응답입력!$AH51:$HD51,"&lt;9")&gt;=5,SUMIFS(응답입력!$AH51:$HD51,응답입력!$AH$4:$HD$4,"AC",응답입력!$AH$3:$HD$3,"L*",응답입력!$AH51:$HD51,"&lt;9")/COUNTIFS(응답입력!$AH$4:$HD$4,"AC",응답입력!$AH$3:$HD$3,"L*",응답입력!$AH51:$HD51,"&lt;9"),"")</f>
        <v/>
      </c>
      <c r="F50" s="35" t="str">
        <f aca="false">IF(COUNTIFS(응답입력!$AH$4:$HD$4,"TM",응답입력!$AH$3:$HD$3,"L*",응답입력!$AH51:$HD51,"&lt;9")&gt;=5,SUMIFS(응답입력!$AH51:$HD51,응답입력!$AH$4:$HD$4,"TM",응답입력!$AH$3:$HD$3,"L*",응답입력!$AH51:$HD51,"&lt;9")/COUNTIFS(응답입력!$AH$4:$HD$4,"TM",응답입력!$AH$3:$HD$3,"L*",응답입력!$AH51:$HD51,"&lt;9"),"")</f>
        <v/>
      </c>
      <c r="G50" s="35" t="str">
        <f aca="false">IF(COUNTIFS(응답입력!$AH$4:$HD$4,"FC",응답입력!$AH$3:$HD$3,"L*",응답입력!$AH51:$HD51,"&lt;9")&gt;=2,SUMIFS(응답입력!$AH51:$HD51,응답입력!$AH$4:$HD$4,"FC",응답입력!$AH$3:$HD$3,"L*",응답입력!$AH51:$HD51,"&lt;9")/COUNTIFS(응답입력!$AH$4:$HD$4,"FC",응답입력!$AH$3:$HD$3,"L*",응답입력!$AH51:$HD51,"&lt;9"),"")</f>
        <v/>
      </c>
      <c r="H50" s="41" t="str">
        <f aca="false">IFERROR(AVERAGE(B50:G50),"")</f>
        <v/>
      </c>
    </row>
    <row r="51" customFormat="false" ht="15" hidden="false" customHeight="false" outlineLevel="0" collapsed="false">
      <c r="A51" s="27" t="str">
        <f aca="false">IF(응답입력!A52="","",응답입력!A52)</f>
        <v/>
      </c>
      <c r="B51" s="35" t="str">
        <f aca="false">IF(COUNTIFS(응답입력!$AH$4:$HD$4,"CO",응답입력!$AH$3:$HD$3,"L*",응답입력!$AH52:$HD52,"&lt;9")&gt;=5,SUMIFS(응답입력!$AH52:$HD52,응답입력!$AH$4:$HD$4,"CO",응답입력!$AH$3:$HD$3,"L*",응답입력!$AH52:$HD52,"&lt;9")/COUNTIFS(응답입력!$AH$4:$HD$4,"CO",응답입력!$AH$3:$HD$3,"L*",응답입력!$AH52:$HD52,"&lt;9"),"")</f>
        <v/>
      </c>
      <c r="C51" s="35" t="str">
        <f aca="false">IF(COUNTIFS(응답입력!$AH$4:$HD$4,"TR",응답입력!$AH$3:$HD$3,"L*",응답입력!$AH52:$HD52,"&lt;9")&gt;=5,SUMIFS(응답입력!$AH52:$HD52,응답입력!$AH$4:$HD$4,"TR",응답입력!$AH$3:$HD$3,"L*",응답입력!$AH52:$HD52,"&lt;9")/COUNTIFS(응답입력!$AH$4:$HD$4,"TR",응답입력!$AH$3:$HD$3,"L*",응답입력!$AH52:$HD52,"&lt;9"),"")</f>
        <v/>
      </c>
      <c r="D51" s="35" t="str">
        <f aca="false">IF(COUNTIFS(응답입력!$AH$4:$HD$4,"EV",응답입력!$AH$3:$HD$3,"L*",응답입력!$AH52:$HD52,"&lt;9")&gt;=5,SUMIFS(응답입력!$AH52:$HD52,응답입력!$AH$4:$HD$4,"EV",응답입력!$AH$3:$HD$3,"L*",응답입력!$AH52:$HD52,"&lt;9")/COUNTIFS(응답입력!$AH$4:$HD$4,"EV",응답입력!$AH$3:$HD$3,"L*",응답입력!$AH52:$HD52,"&lt;9"),"")</f>
        <v/>
      </c>
      <c r="E51" s="35" t="str">
        <f aca="false">IF(COUNTIFS(응답입력!$AH$4:$HD$4,"AC",응답입력!$AH$3:$HD$3,"L*",응답입력!$AH52:$HD52,"&lt;9")&gt;=5,SUMIFS(응답입력!$AH52:$HD52,응답입력!$AH$4:$HD$4,"AC",응답입력!$AH$3:$HD$3,"L*",응답입력!$AH52:$HD52,"&lt;9")/COUNTIFS(응답입력!$AH$4:$HD$4,"AC",응답입력!$AH$3:$HD$3,"L*",응답입력!$AH52:$HD52,"&lt;9"),"")</f>
        <v/>
      </c>
      <c r="F51" s="35" t="str">
        <f aca="false">IF(COUNTIFS(응답입력!$AH$4:$HD$4,"TM",응답입력!$AH$3:$HD$3,"L*",응답입력!$AH52:$HD52,"&lt;9")&gt;=5,SUMIFS(응답입력!$AH52:$HD52,응답입력!$AH$4:$HD$4,"TM",응답입력!$AH$3:$HD$3,"L*",응답입력!$AH52:$HD52,"&lt;9")/COUNTIFS(응답입력!$AH$4:$HD$4,"TM",응답입력!$AH$3:$HD$3,"L*",응답입력!$AH52:$HD52,"&lt;9"),"")</f>
        <v/>
      </c>
      <c r="G51" s="35" t="str">
        <f aca="false">IF(COUNTIFS(응답입력!$AH$4:$HD$4,"FC",응답입력!$AH$3:$HD$3,"L*",응답입력!$AH52:$HD52,"&lt;9")&gt;=2,SUMIFS(응답입력!$AH52:$HD52,응답입력!$AH$4:$HD$4,"FC",응답입력!$AH$3:$HD$3,"L*",응답입력!$AH52:$HD52,"&lt;9")/COUNTIFS(응답입력!$AH$4:$HD$4,"FC",응답입력!$AH$3:$HD$3,"L*",응답입력!$AH52:$HD52,"&lt;9"),"")</f>
        <v/>
      </c>
      <c r="H51" s="41" t="str">
        <f aca="false">IFERROR(AVERAGE(B51:G51),"")</f>
        <v/>
      </c>
    </row>
    <row r="52" customFormat="false" ht="15" hidden="false" customHeight="false" outlineLevel="0" collapsed="false">
      <c r="A52" s="27" t="str">
        <f aca="false">IF(응답입력!A53="","",응답입력!A53)</f>
        <v/>
      </c>
      <c r="B52" s="35" t="str">
        <f aca="false">IF(COUNTIFS(응답입력!$AH$4:$HD$4,"CO",응답입력!$AH$3:$HD$3,"L*",응답입력!$AH53:$HD53,"&lt;9")&gt;=5,SUMIFS(응답입력!$AH53:$HD53,응답입력!$AH$4:$HD$4,"CO",응답입력!$AH$3:$HD$3,"L*",응답입력!$AH53:$HD53,"&lt;9")/COUNTIFS(응답입력!$AH$4:$HD$4,"CO",응답입력!$AH$3:$HD$3,"L*",응답입력!$AH53:$HD53,"&lt;9"),"")</f>
        <v/>
      </c>
      <c r="C52" s="35" t="str">
        <f aca="false">IF(COUNTIFS(응답입력!$AH$4:$HD$4,"TR",응답입력!$AH$3:$HD$3,"L*",응답입력!$AH53:$HD53,"&lt;9")&gt;=5,SUMIFS(응답입력!$AH53:$HD53,응답입력!$AH$4:$HD$4,"TR",응답입력!$AH$3:$HD$3,"L*",응답입력!$AH53:$HD53,"&lt;9")/COUNTIFS(응답입력!$AH$4:$HD$4,"TR",응답입력!$AH$3:$HD$3,"L*",응답입력!$AH53:$HD53,"&lt;9"),"")</f>
        <v/>
      </c>
      <c r="D52" s="35" t="str">
        <f aca="false">IF(COUNTIFS(응답입력!$AH$4:$HD$4,"EV",응답입력!$AH$3:$HD$3,"L*",응답입력!$AH53:$HD53,"&lt;9")&gt;=5,SUMIFS(응답입력!$AH53:$HD53,응답입력!$AH$4:$HD$4,"EV",응답입력!$AH$3:$HD$3,"L*",응답입력!$AH53:$HD53,"&lt;9")/COUNTIFS(응답입력!$AH$4:$HD$4,"EV",응답입력!$AH$3:$HD$3,"L*",응답입력!$AH53:$HD53,"&lt;9"),"")</f>
        <v/>
      </c>
      <c r="E52" s="35" t="str">
        <f aca="false">IF(COUNTIFS(응답입력!$AH$4:$HD$4,"AC",응답입력!$AH$3:$HD$3,"L*",응답입력!$AH53:$HD53,"&lt;9")&gt;=5,SUMIFS(응답입력!$AH53:$HD53,응답입력!$AH$4:$HD$4,"AC",응답입력!$AH$3:$HD$3,"L*",응답입력!$AH53:$HD53,"&lt;9")/COUNTIFS(응답입력!$AH$4:$HD$4,"AC",응답입력!$AH$3:$HD$3,"L*",응답입력!$AH53:$HD53,"&lt;9"),"")</f>
        <v/>
      </c>
      <c r="F52" s="35" t="str">
        <f aca="false">IF(COUNTIFS(응답입력!$AH$4:$HD$4,"TM",응답입력!$AH$3:$HD$3,"L*",응답입력!$AH53:$HD53,"&lt;9")&gt;=5,SUMIFS(응답입력!$AH53:$HD53,응답입력!$AH$4:$HD$4,"TM",응답입력!$AH$3:$HD$3,"L*",응답입력!$AH53:$HD53,"&lt;9")/COUNTIFS(응답입력!$AH$4:$HD$4,"TM",응답입력!$AH$3:$HD$3,"L*",응답입력!$AH53:$HD53,"&lt;9"),"")</f>
        <v/>
      </c>
      <c r="G52" s="35" t="str">
        <f aca="false">IF(COUNTIFS(응답입력!$AH$4:$HD$4,"FC",응답입력!$AH$3:$HD$3,"L*",응답입력!$AH53:$HD53,"&lt;9")&gt;=2,SUMIFS(응답입력!$AH53:$HD53,응답입력!$AH$4:$HD$4,"FC",응답입력!$AH$3:$HD$3,"L*",응답입력!$AH53:$HD53,"&lt;9")/COUNTIFS(응답입력!$AH$4:$HD$4,"FC",응답입력!$AH$3:$HD$3,"L*",응답입력!$AH53:$HD53,"&lt;9"),"")</f>
        <v/>
      </c>
      <c r="H52" s="41" t="str">
        <f aca="false">IFERROR(AVERAGE(B52:G52),"")</f>
        <v/>
      </c>
    </row>
    <row r="53" customFormat="false" ht="15" hidden="false" customHeight="false" outlineLevel="0" collapsed="false">
      <c r="A53" s="27" t="str">
        <f aca="false">IF(응답입력!A54="","",응답입력!A54)</f>
        <v/>
      </c>
      <c r="B53" s="35" t="str">
        <f aca="false">IF(COUNTIFS(응답입력!$AH$4:$HD$4,"CO",응답입력!$AH$3:$HD$3,"L*",응답입력!$AH54:$HD54,"&lt;9")&gt;=5,SUMIFS(응답입력!$AH54:$HD54,응답입력!$AH$4:$HD$4,"CO",응답입력!$AH$3:$HD$3,"L*",응답입력!$AH54:$HD54,"&lt;9")/COUNTIFS(응답입력!$AH$4:$HD$4,"CO",응답입력!$AH$3:$HD$3,"L*",응답입력!$AH54:$HD54,"&lt;9"),"")</f>
        <v/>
      </c>
      <c r="C53" s="35" t="str">
        <f aca="false">IF(COUNTIFS(응답입력!$AH$4:$HD$4,"TR",응답입력!$AH$3:$HD$3,"L*",응답입력!$AH54:$HD54,"&lt;9")&gt;=5,SUMIFS(응답입력!$AH54:$HD54,응답입력!$AH$4:$HD$4,"TR",응답입력!$AH$3:$HD$3,"L*",응답입력!$AH54:$HD54,"&lt;9")/COUNTIFS(응답입력!$AH$4:$HD$4,"TR",응답입력!$AH$3:$HD$3,"L*",응답입력!$AH54:$HD54,"&lt;9"),"")</f>
        <v/>
      </c>
      <c r="D53" s="35" t="str">
        <f aca="false">IF(COUNTIFS(응답입력!$AH$4:$HD$4,"EV",응답입력!$AH$3:$HD$3,"L*",응답입력!$AH54:$HD54,"&lt;9")&gt;=5,SUMIFS(응답입력!$AH54:$HD54,응답입력!$AH$4:$HD$4,"EV",응답입력!$AH$3:$HD$3,"L*",응답입력!$AH54:$HD54,"&lt;9")/COUNTIFS(응답입력!$AH$4:$HD$4,"EV",응답입력!$AH$3:$HD$3,"L*",응답입력!$AH54:$HD54,"&lt;9"),"")</f>
        <v/>
      </c>
      <c r="E53" s="35" t="str">
        <f aca="false">IF(COUNTIFS(응답입력!$AH$4:$HD$4,"AC",응답입력!$AH$3:$HD$3,"L*",응답입력!$AH54:$HD54,"&lt;9")&gt;=5,SUMIFS(응답입력!$AH54:$HD54,응답입력!$AH$4:$HD$4,"AC",응답입력!$AH$3:$HD$3,"L*",응답입력!$AH54:$HD54,"&lt;9")/COUNTIFS(응답입력!$AH$4:$HD$4,"AC",응답입력!$AH$3:$HD$3,"L*",응답입력!$AH54:$HD54,"&lt;9"),"")</f>
        <v/>
      </c>
      <c r="F53" s="35" t="str">
        <f aca="false">IF(COUNTIFS(응답입력!$AH$4:$HD$4,"TM",응답입력!$AH$3:$HD$3,"L*",응답입력!$AH54:$HD54,"&lt;9")&gt;=5,SUMIFS(응답입력!$AH54:$HD54,응답입력!$AH$4:$HD$4,"TM",응답입력!$AH$3:$HD$3,"L*",응답입력!$AH54:$HD54,"&lt;9")/COUNTIFS(응답입력!$AH$4:$HD$4,"TM",응답입력!$AH$3:$HD$3,"L*",응답입력!$AH54:$HD54,"&lt;9"),"")</f>
        <v/>
      </c>
      <c r="G53" s="35" t="str">
        <f aca="false">IF(COUNTIFS(응답입력!$AH$4:$HD$4,"FC",응답입력!$AH$3:$HD$3,"L*",응답입력!$AH54:$HD54,"&lt;9")&gt;=2,SUMIFS(응답입력!$AH54:$HD54,응답입력!$AH$4:$HD$4,"FC",응답입력!$AH$3:$HD$3,"L*",응답입력!$AH54:$HD54,"&lt;9")/COUNTIFS(응답입력!$AH$4:$HD$4,"FC",응답입력!$AH$3:$HD$3,"L*",응답입력!$AH54:$HD54,"&lt;9"),"")</f>
        <v/>
      </c>
      <c r="H53" s="41" t="str">
        <f aca="false">IFERROR(AVERAGE(B53:G53),"")</f>
        <v/>
      </c>
    </row>
    <row r="54" customFormat="false" ht="15" hidden="false" customHeight="false" outlineLevel="0" collapsed="false">
      <c r="A54" s="27" t="str">
        <f aca="false">IF(응답입력!A55="","",응답입력!A55)</f>
        <v/>
      </c>
      <c r="B54" s="35" t="str">
        <f aca="false">IF(COUNTIFS(응답입력!$AH$4:$HD$4,"CO",응답입력!$AH$3:$HD$3,"L*",응답입력!$AH55:$HD55,"&lt;9")&gt;=5,SUMIFS(응답입력!$AH55:$HD55,응답입력!$AH$4:$HD$4,"CO",응답입력!$AH$3:$HD$3,"L*",응답입력!$AH55:$HD55,"&lt;9")/COUNTIFS(응답입력!$AH$4:$HD$4,"CO",응답입력!$AH$3:$HD$3,"L*",응답입력!$AH55:$HD55,"&lt;9"),"")</f>
        <v/>
      </c>
      <c r="C54" s="35" t="str">
        <f aca="false">IF(COUNTIFS(응답입력!$AH$4:$HD$4,"TR",응답입력!$AH$3:$HD$3,"L*",응답입력!$AH55:$HD55,"&lt;9")&gt;=5,SUMIFS(응답입력!$AH55:$HD55,응답입력!$AH$4:$HD$4,"TR",응답입력!$AH$3:$HD$3,"L*",응답입력!$AH55:$HD55,"&lt;9")/COUNTIFS(응답입력!$AH$4:$HD$4,"TR",응답입력!$AH$3:$HD$3,"L*",응답입력!$AH55:$HD55,"&lt;9"),"")</f>
        <v/>
      </c>
      <c r="D54" s="35" t="str">
        <f aca="false">IF(COUNTIFS(응답입력!$AH$4:$HD$4,"EV",응답입력!$AH$3:$HD$3,"L*",응답입력!$AH55:$HD55,"&lt;9")&gt;=5,SUMIFS(응답입력!$AH55:$HD55,응답입력!$AH$4:$HD$4,"EV",응답입력!$AH$3:$HD$3,"L*",응답입력!$AH55:$HD55,"&lt;9")/COUNTIFS(응답입력!$AH$4:$HD$4,"EV",응답입력!$AH$3:$HD$3,"L*",응답입력!$AH55:$HD55,"&lt;9"),"")</f>
        <v/>
      </c>
      <c r="E54" s="35" t="str">
        <f aca="false">IF(COUNTIFS(응답입력!$AH$4:$HD$4,"AC",응답입력!$AH$3:$HD$3,"L*",응답입력!$AH55:$HD55,"&lt;9")&gt;=5,SUMIFS(응답입력!$AH55:$HD55,응답입력!$AH$4:$HD$4,"AC",응답입력!$AH$3:$HD$3,"L*",응답입력!$AH55:$HD55,"&lt;9")/COUNTIFS(응답입력!$AH$4:$HD$4,"AC",응답입력!$AH$3:$HD$3,"L*",응답입력!$AH55:$HD55,"&lt;9"),"")</f>
        <v/>
      </c>
      <c r="F54" s="35" t="str">
        <f aca="false">IF(COUNTIFS(응답입력!$AH$4:$HD$4,"TM",응답입력!$AH$3:$HD$3,"L*",응답입력!$AH55:$HD55,"&lt;9")&gt;=5,SUMIFS(응답입력!$AH55:$HD55,응답입력!$AH$4:$HD$4,"TM",응답입력!$AH$3:$HD$3,"L*",응답입력!$AH55:$HD55,"&lt;9")/COUNTIFS(응답입력!$AH$4:$HD$4,"TM",응답입력!$AH$3:$HD$3,"L*",응답입력!$AH55:$HD55,"&lt;9"),"")</f>
        <v/>
      </c>
      <c r="G54" s="35" t="str">
        <f aca="false">IF(COUNTIFS(응답입력!$AH$4:$HD$4,"FC",응답입력!$AH$3:$HD$3,"L*",응답입력!$AH55:$HD55,"&lt;9")&gt;=2,SUMIFS(응답입력!$AH55:$HD55,응답입력!$AH$4:$HD$4,"FC",응답입력!$AH$3:$HD$3,"L*",응답입력!$AH55:$HD55,"&lt;9")/COUNTIFS(응답입력!$AH$4:$HD$4,"FC",응답입력!$AH$3:$HD$3,"L*",응답입력!$AH55:$HD55,"&lt;9"),"")</f>
        <v/>
      </c>
      <c r="H54" s="41" t="str">
        <f aca="false">IFERROR(AVERAGE(B54:G54),"")</f>
        <v/>
      </c>
    </row>
    <row r="55" customFormat="false" ht="15" hidden="false" customHeight="false" outlineLevel="0" collapsed="false">
      <c r="A55" s="27" t="str">
        <f aca="false">IF(응답입력!A56="","",응답입력!A56)</f>
        <v/>
      </c>
      <c r="B55" s="35" t="str">
        <f aca="false">IF(COUNTIFS(응답입력!$AH$4:$HD$4,"CO",응답입력!$AH$3:$HD$3,"L*",응답입력!$AH56:$HD56,"&lt;9")&gt;=5,SUMIFS(응답입력!$AH56:$HD56,응답입력!$AH$4:$HD$4,"CO",응답입력!$AH$3:$HD$3,"L*",응답입력!$AH56:$HD56,"&lt;9")/COUNTIFS(응답입력!$AH$4:$HD$4,"CO",응답입력!$AH$3:$HD$3,"L*",응답입력!$AH56:$HD56,"&lt;9"),"")</f>
        <v/>
      </c>
      <c r="C55" s="35" t="str">
        <f aca="false">IF(COUNTIFS(응답입력!$AH$4:$HD$4,"TR",응답입력!$AH$3:$HD$3,"L*",응답입력!$AH56:$HD56,"&lt;9")&gt;=5,SUMIFS(응답입력!$AH56:$HD56,응답입력!$AH$4:$HD$4,"TR",응답입력!$AH$3:$HD$3,"L*",응답입력!$AH56:$HD56,"&lt;9")/COUNTIFS(응답입력!$AH$4:$HD$4,"TR",응답입력!$AH$3:$HD$3,"L*",응답입력!$AH56:$HD56,"&lt;9"),"")</f>
        <v/>
      </c>
      <c r="D55" s="35" t="str">
        <f aca="false">IF(COUNTIFS(응답입력!$AH$4:$HD$4,"EV",응답입력!$AH$3:$HD$3,"L*",응답입력!$AH56:$HD56,"&lt;9")&gt;=5,SUMIFS(응답입력!$AH56:$HD56,응답입력!$AH$4:$HD$4,"EV",응답입력!$AH$3:$HD$3,"L*",응답입력!$AH56:$HD56,"&lt;9")/COUNTIFS(응답입력!$AH$4:$HD$4,"EV",응답입력!$AH$3:$HD$3,"L*",응답입력!$AH56:$HD56,"&lt;9"),"")</f>
        <v/>
      </c>
      <c r="E55" s="35" t="str">
        <f aca="false">IF(COUNTIFS(응답입력!$AH$4:$HD$4,"AC",응답입력!$AH$3:$HD$3,"L*",응답입력!$AH56:$HD56,"&lt;9")&gt;=5,SUMIFS(응답입력!$AH56:$HD56,응답입력!$AH$4:$HD$4,"AC",응답입력!$AH$3:$HD$3,"L*",응답입력!$AH56:$HD56,"&lt;9")/COUNTIFS(응답입력!$AH$4:$HD$4,"AC",응답입력!$AH$3:$HD$3,"L*",응답입력!$AH56:$HD56,"&lt;9"),"")</f>
        <v/>
      </c>
      <c r="F55" s="35" t="str">
        <f aca="false">IF(COUNTIFS(응답입력!$AH$4:$HD$4,"TM",응답입력!$AH$3:$HD$3,"L*",응답입력!$AH56:$HD56,"&lt;9")&gt;=5,SUMIFS(응답입력!$AH56:$HD56,응답입력!$AH$4:$HD$4,"TM",응답입력!$AH$3:$HD$3,"L*",응답입력!$AH56:$HD56,"&lt;9")/COUNTIFS(응답입력!$AH$4:$HD$4,"TM",응답입력!$AH$3:$HD$3,"L*",응답입력!$AH56:$HD56,"&lt;9"),"")</f>
        <v/>
      </c>
      <c r="G55" s="35" t="str">
        <f aca="false">IF(COUNTIFS(응답입력!$AH$4:$HD$4,"FC",응답입력!$AH$3:$HD$3,"L*",응답입력!$AH56:$HD56,"&lt;9")&gt;=2,SUMIFS(응답입력!$AH56:$HD56,응답입력!$AH$4:$HD$4,"FC",응답입력!$AH$3:$HD$3,"L*",응답입력!$AH56:$HD56,"&lt;9")/COUNTIFS(응답입력!$AH$4:$HD$4,"FC",응답입력!$AH$3:$HD$3,"L*",응답입력!$AH56:$HD56,"&lt;9"),"")</f>
        <v/>
      </c>
      <c r="H55" s="41" t="str">
        <f aca="false">IFERROR(AVERAGE(B55:G55),"")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22"/>
    <col collapsed="false" customWidth="true" hidden="false" outlineLevel="0" max="4" min="4" style="0" width="9"/>
    <col collapsed="false" customWidth="true" hidden="false" outlineLevel="0" max="5" min="5" style="0" width="16"/>
    <col collapsed="false" customWidth="true" hidden="false" outlineLevel="0" max="11" min="6" style="0" width="10"/>
    <col collapsed="false" customWidth="true" hidden="false" outlineLevel="0" max="12" min="12" style="0" width="11"/>
    <col collapsed="false" customWidth="true" hidden="false" outlineLevel="0" max="13" min="13" style="0" width="9"/>
    <col collapsed="false" customWidth="true" hidden="false" outlineLevel="0" max="14" min="14" style="0" width="16"/>
  </cols>
  <sheetData>
    <row r="1" customFormat="false" ht="19.4" hidden="false" customHeight="false" outlineLevel="0" collapsed="false">
      <c r="A1" s="7" t="s">
        <v>1813</v>
      </c>
    </row>
    <row r="4" customFormat="false" ht="15" hidden="false" customHeight="false" outlineLevel="0" collapsed="false">
      <c r="A4" s="8" t="s">
        <v>26</v>
      </c>
      <c r="B4" s="9" t="s">
        <v>637</v>
      </c>
      <c r="C4" s="9" t="s">
        <v>636</v>
      </c>
      <c r="D4" s="9" t="s">
        <v>8</v>
      </c>
      <c r="E4" s="9" t="s">
        <v>70</v>
      </c>
      <c r="F4" s="9" t="s">
        <v>75</v>
      </c>
      <c r="G4" s="9" t="s">
        <v>81</v>
      </c>
      <c r="H4" s="9" t="s">
        <v>85</v>
      </c>
      <c r="I4" s="9" t="s">
        <v>90</v>
      </c>
      <c r="J4" s="9" t="s">
        <v>95</v>
      </c>
      <c r="K4" s="9" t="s">
        <v>100</v>
      </c>
      <c r="L4" s="9" t="s">
        <v>1814</v>
      </c>
      <c r="M4" s="9" t="s">
        <v>1815</v>
      </c>
      <c r="N4" s="9" t="s">
        <v>1816</v>
      </c>
    </row>
    <row r="5" customFormat="false" ht="15" hidden="false" customHeight="false" outlineLevel="0" collapsed="false">
      <c r="A5" s="4" t="s">
        <v>653</v>
      </c>
      <c r="B5" s="4" t="s">
        <v>828</v>
      </c>
      <c r="C5" s="6" t="s">
        <v>654</v>
      </c>
      <c r="D5" s="15" t="s">
        <v>659</v>
      </c>
      <c r="E5" s="6" t="s">
        <v>1070</v>
      </c>
      <c r="F5" s="35" t="str">
        <f aca="false">IFERROR(AVERAGEIF(응답입력!$AH$7:$AH$56,"&lt;9"),"")</f>
        <v/>
      </c>
      <c r="G5" s="35" t="str">
        <f aca="false">IFERROR(AVERAGEIF(응답입력!$AI$7:$AI$56,"&lt;9"),"")</f>
        <v/>
      </c>
      <c r="H5" s="35" t="str">
        <f aca="false">IFERROR(AVERAGEIF(응답입력!$AJ$7:$AJ$56,"&lt;9"),"")</f>
        <v/>
      </c>
      <c r="I5" s="35" t="str">
        <f aca="false">IFERROR(AVERAGEIF(응답입력!$AK$7:$AK$56,"&lt;9"),"")</f>
        <v/>
      </c>
      <c r="J5" s="35" t="str">
        <f aca="false">IFERROR(AVERAGEIF(응답입력!$AL$7:$AL$56,"&lt;9"),"")</f>
        <v/>
      </c>
      <c r="K5" s="42" t="s">
        <v>988</v>
      </c>
      <c r="L5" s="41" t="str">
        <f aca="false">IFERROR(AVERAGE(F5:K5),"")</f>
        <v/>
      </c>
      <c r="M5" s="27" t="n">
        <f aca="false">COUNTIF(응답입력!$AH$7:$AH$56,"&lt;9")+COUNTIF(응답입력!$AI$7:$AI$56,"&lt;9")+COUNTIF(응답입력!$AJ$7:$AJ$56,"&lt;9")+COUNTIF(응답입력!$AK$7:$AK$56,"&lt;9")+COUNTIF(응답입력!$AL$7:$AL$56,"&lt;9")</f>
        <v>0</v>
      </c>
      <c r="N5" s="27" t="str">
        <f aca="false">IF(L5="","",INDEX($F$4:$K$4,MATCH(MIN(F5:K5),F5:K5,0)))</f>
        <v/>
      </c>
    </row>
    <row r="6" customFormat="false" ht="15" hidden="false" customHeight="false" outlineLevel="0" collapsed="false">
      <c r="A6" s="4" t="s">
        <v>665</v>
      </c>
      <c r="B6" s="4" t="s">
        <v>829</v>
      </c>
      <c r="C6" s="6" t="s">
        <v>654</v>
      </c>
      <c r="D6" s="15" t="s">
        <v>659</v>
      </c>
      <c r="E6" s="6" t="s">
        <v>1070</v>
      </c>
      <c r="F6" s="35" t="str">
        <f aca="false">IFERROR(AVERAGEIF(응답입력!$AM$7:$AM$56,"&lt;9"),"")</f>
        <v/>
      </c>
      <c r="G6" s="35" t="str">
        <f aca="false">IFERROR(AVERAGEIF(응답입력!$AN$7:$AN$56,"&lt;9"),"")</f>
        <v/>
      </c>
      <c r="H6" s="35" t="str">
        <f aca="false">IFERROR(AVERAGEIF(응답입력!$AO$7:$AO$56,"&lt;9"),"")</f>
        <v/>
      </c>
      <c r="I6" s="35" t="str">
        <f aca="false">IFERROR(AVERAGEIF(응답입력!$AP$7:$AP$56,"&lt;9"),"")</f>
        <v/>
      </c>
      <c r="J6" s="35" t="str">
        <f aca="false">IFERROR(AVERAGEIF(응답입력!$AQ$7:$AQ$56,"&lt;9"),"")</f>
        <v/>
      </c>
      <c r="K6" s="42" t="s">
        <v>988</v>
      </c>
      <c r="L6" s="41" t="str">
        <f aca="false">IFERROR(AVERAGE(F6:K6),"")</f>
        <v/>
      </c>
      <c r="M6" s="27" t="n">
        <f aca="false">COUNTIF(응답입력!$AM$7:$AM$56,"&lt;9")+COUNTIF(응답입력!$AN$7:$AN$56,"&lt;9")+COUNTIF(응답입력!$AO$7:$AO$56,"&lt;9")+COUNTIF(응답입력!$AP$7:$AP$56,"&lt;9")+COUNTIF(응답입력!$AQ$7:$AQ$56,"&lt;9")</f>
        <v>0</v>
      </c>
      <c r="N6" s="27" t="str">
        <f aca="false">IF(L6="","",INDEX($F$4:$K$4,MATCH(MIN(F6:K6),F6:K6,0)))</f>
        <v/>
      </c>
    </row>
    <row r="7" customFormat="false" ht="15" hidden="false" customHeight="false" outlineLevel="0" collapsed="false">
      <c r="A7" s="4" t="s">
        <v>373</v>
      </c>
      <c r="B7" s="4" t="s">
        <v>830</v>
      </c>
      <c r="C7" s="6" t="s">
        <v>654</v>
      </c>
      <c r="D7" s="15" t="s">
        <v>659</v>
      </c>
      <c r="E7" s="6" t="s">
        <v>876</v>
      </c>
      <c r="F7" s="35" t="str">
        <f aca="false">IFERROR(AVERAGEIF(응답입력!$AR$7:$AR$56,"&lt;9"),"")</f>
        <v/>
      </c>
      <c r="G7" s="35" t="str">
        <f aca="false">IFERROR(AVERAGEIF(응답입력!$AS$7:$AS$56,"&lt;9"),"")</f>
        <v/>
      </c>
      <c r="H7" s="35" t="str">
        <f aca="false">IFERROR(AVERAGEIF(응답입력!$AT$7:$AT$56,"&lt;9"),"")</f>
        <v/>
      </c>
      <c r="I7" s="35" t="str">
        <f aca="false">IFERROR(AVERAGEIF(응답입력!$AU$7:$AU$56,"&lt;9"),"")</f>
        <v/>
      </c>
      <c r="J7" s="35" t="str">
        <f aca="false">IFERROR(AVERAGEIF(응답입력!$AV$7:$AV$56,"&lt;9"),"")</f>
        <v/>
      </c>
      <c r="K7" s="42" t="s">
        <v>988</v>
      </c>
      <c r="L7" s="41" t="str">
        <f aca="false">IFERROR(AVERAGE(F7:K7),"")</f>
        <v/>
      </c>
      <c r="M7" s="27" t="n">
        <f aca="false">COUNTIF(응답입력!$AR$7:$AR$56,"&lt;9")+COUNTIF(응답입력!$AS$7:$AS$56,"&lt;9")+COUNTIF(응답입력!$AT$7:$AT$56,"&lt;9")+COUNTIF(응답입력!$AU$7:$AU$56,"&lt;9")+COUNTIF(응답입력!$AV$7:$AV$56,"&lt;9")</f>
        <v>0</v>
      </c>
      <c r="N7" s="27" t="str">
        <f aca="false">IF(L7="","",INDEX($F$4:$K$4,MATCH(MIN(F7:K7),F7:K7,0)))</f>
        <v/>
      </c>
    </row>
    <row r="8" customFormat="false" ht="15" hidden="false" customHeight="false" outlineLevel="0" collapsed="false">
      <c r="A8" s="4" t="s">
        <v>675</v>
      </c>
      <c r="B8" s="4" t="s">
        <v>831</v>
      </c>
      <c r="C8" s="6" t="s">
        <v>654</v>
      </c>
      <c r="D8" s="15" t="s">
        <v>659</v>
      </c>
      <c r="E8" s="6" t="s">
        <v>1070</v>
      </c>
      <c r="F8" s="35" t="str">
        <f aca="false">IFERROR(AVERAGEIF(응답입력!$AW$7:$AW$56,"&lt;9"),"")</f>
        <v/>
      </c>
      <c r="G8" s="35" t="str">
        <f aca="false">IFERROR(AVERAGEIF(응답입력!$AX$7:$AX$56,"&lt;9"),"")</f>
        <v/>
      </c>
      <c r="H8" s="35" t="str">
        <f aca="false">IFERROR(AVERAGEIF(응답입력!$AY$7:$AY$56,"&lt;9"),"")</f>
        <v/>
      </c>
      <c r="I8" s="35" t="str">
        <f aca="false">IFERROR(AVERAGEIF(응답입력!$AZ$7:$AZ$56,"&lt;9"),"")</f>
        <v/>
      </c>
      <c r="J8" s="35" t="str">
        <f aca="false">IFERROR(AVERAGEIF(응답입력!$BA$7:$BA$56,"&lt;9"),"")</f>
        <v/>
      </c>
      <c r="K8" s="42" t="s">
        <v>988</v>
      </c>
      <c r="L8" s="41" t="str">
        <f aca="false">IFERROR(AVERAGE(F8:K8),"")</f>
        <v/>
      </c>
      <c r="M8" s="27" t="n">
        <f aca="false">COUNTIF(응답입력!$AW$7:$AW$56,"&lt;9")+COUNTIF(응답입력!$AX$7:$AX$56,"&lt;9")+COUNTIF(응답입력!$AY$7:$AY$56,"&lt;9")+COUNTIF(응답입력!$AZ$7:$AZ$56,"&lt;9")+COUNTIF(응답입력!$BA$7:$BA$56,"&lt;9")</f>
        <v>0</v>
      </c>
      <c r="N8" s="27" t="str">
        <f aca="false">IF(L8="","",INDEX($F$4:$K$4,MATCH(MIN(F8:K8),F8:K8,0)))</f>
        <v/>
      </c>
    </row>
    <row r="9" customFormat="false" ht="15" hidden="false" customHeight="false" outlineLevel="0" collapsed="false">
      <c r="A9" s="4" t="s">
        <v>680</v>
      </c>
      <c r="B9" s="4" t="s">
        <v>832</v>
      </c>
      <c r="C9" s="6" t="s">
        <v>654</v>
      </c>
      <c r="D9" s="15" t="s">
        <v>659</v>
      </c>
      <c r="E9" s="6" t="s">
        <v>1070</v>
      </c>
      <c r="F9" s="35" t="str">
        <f aca="false">IFERROR(AVERAGEIF(응답입력!$BB$7:$BB$56,"&lt;9"),"")</f>
        <v/>
      </c>
      <c r="G9" s="35" t="str">
        <f aca="false">IFERROR(AVERAGEIF(응답입력!$BC$7:$BC$56,"&lt;9"),"")</f>
        <v/>
      </c>
      <c r="H9" s="35" t="str">
        <f aca="false">IFERROR(AVERAGEIF(응답입력!$BD$7:$BD$56,"&lt;9"),"")</f>
        <v/>
      </c>
      <c r="I9" s="35" t="str">
        <f aca="false">IFERROR(AVERAGEIF(응답입력!$BE$7:$BE$56,"&lt;9"),"")</f>
        <v/>
      </c>
      <c r="J9" s="35" t="str">
        <f aca="false">IFERROR(AVERAGEIF(응답입력!$BF$7:$BF$56,"&lt;9"),"")</f>
        <v/>
      </c>
      <c r="K9" s="42" t="s">
        <v>988</v>
      </c>
      <c r="L9" s="41" t="str">
        <f aca="false">IFERROR(AVERAGE(F9:K9),"")</f>
        <v/>
      </c>
      <c r="M9" s="27" t="n">
        <f aca="false">COUNTIF(응답입력!$BB$7:$BB$56,"&lt;9")+COUNTIF(응답입력!$BC$7:$BC$56,"&lt;9")+COUNTIF(응답입력!$BD$7:$BD$56,"&lt;9")+COUNTIF(응답입력!$BE$7:$BE$56,"&lt;9")+COUNTIF(응답입력!$BF$7:$BF$56,"&lt;9")</f>
        <v>0</v>
      </c>
      <c r="N9" s="27" t="str">
        <f aca="false">IF(L9="","",INDEX($F$4:$K$4,MATCH(MIN(F9:K9),F9:K9,0)))</f>
        <v/>
      </c>
    </row>
    <row r="10" customFormat="false" ht="15" hidden="false" customHeight="false" outlineLevel="0" collapsed="false">
      <c r="A10" s="4" t="s">
        <v>381</v>
      </c>
      <c r="B10" s="4" t="s">
        <v>833</v>
      </c>
      <c r="C10" s="6" t="s">
        <v>685</v>
      </c>
      <c r="D10" s="15" t="s">
        <v>659</v>
      </c>
      <c r="E10" s="6" t="s">
        <v>876</v>
      </c>
      <c r="F10" s="35" t="str">
        <f aca="false">IFERROR(AVERAGEIF(응답입력!$BG$7:$BG$56,"&lt;9"),"")</f>
        <v/>
      </c>
      <c r="G10" s="35" t="str">
        <f aca="false">IFERROR(AVERAGEIF(응답입력!$BH$7:$BH$56,"&lt;9"),"")</f>
        <v/>
      </c>
      <c r="H10" s="35" t="str">
        <f aca="false">IFERROR(AVERAGEIF(응답입력!$BI$7:$BI$56,"&lt;9"),"")</f>
        <v/>
      </c>
      <c r="I10" s="35" t="str">
        <f aca="false">IFERROR(AVERAGEIF(응답입력!$BJ$7:$BJ$56,"&lt;9"),"")</f>
        <v/>
      </c>
      <c r="J10" s="35" t="str">
        <f aca="false">IFERROR(AVERAGEIF(응답입력!$BK$7:$BK$56,"&lt;9"),"")</f>
        <v/>
      </c>
      <c r="K10" s="42" t="s">
        <v>988</v>
      </c>
      <c r="L10" s="41" t="str">
        <f aca="false">IFERROR(AVERAGE(F10:K10),"")</f>
        <v/>
      </c>
      <c r="M10" s="27" t="n">
        <f aca="false">COUNTIF(응답입력!$BG$7:$BG$56,"&lt;9")+COUNTIF(응답입력!$BH$7:$BH$56,"&lt;9")+COUNTIF(응답입력!$BI$7:$BI$56,"&lt;9")+COUNTIF(응답입력!$BJ$7:$BJ$56,"&lt;9")+COUNTIF(응답입력!$BK$7:$BK$56,"&lt;9")</f>
        <v>0</v>
      </c>
      <c r="N10" s="27" t="str">
        <f aca="false">IF(L10="","",INDEX($F$4:$K$4,MATCH(MIN(F10:K10),F10:K10,0)))</f>
        <v/>
      </c>
    </row>
    <row r="11" customFormat="false" ht="15" hidden="false" customHeight="false" outlineLevel="0" collapsed="false">
      <c r="A11" s="4" t="s">
        <v>385</v>
      </c>
      <c r="B11" s="4" t="s">
        <v>834</v>
      </c>
      <c r="C11" s="6" t="s">
        <v>685</v>
      </c>
      <c r="D11" s="15" t="s">
        <v>659</v>
      </c>
      <c r="E11" s="6" t="s">
        <v>1072</v>
      </c>
      <c r="F11" s="35" t="str">
        <f aca="false">IFERROR(AVERAGEIF(응답입력!$BL$7:$BL$56,"&lt;9"),"")</f>
        <v/>
      </c>
      <c r="G11" s="35" t="str">
        <f aca="false">IFERROR(AVERAGEIF(응답입력!$BM$7:$BM$56,"&lt;9"),"")</f>
        <v/>
      </c>
      <c r="H11" s="35" t="str">
        <f aca="false">IFERROR(AVERAGEIF(응답입력!$BN$7:$BN$56,"&lt;9"),"")</f>
        <v/>
      </c>
      <c r="I11" s="35" t="str">
        <f aca="false">IFERROR(AVERAGEIF(응답입력!$BO$7:$BO$56,"&lt;9"),"")</f>
        <v/>
      </c>
      <c r="J11" s="35" t="str">
        <f aca="false">IFERROR(AVERAGEIF(응답입력!$BP$7:$BP$56,"&lt;9"),"")</f>
        <v/>
      </c>
      <c r="K11" s="42" t="s">
        <v>988</v>
      </c>
      <c r="L11" s="41" t="str">
        <f aca="false">IFERROR(AVERAGE(F11:K11),"")</f>
        <v/>
      </c>
      <c r="M11" s="27" t="n">
        <f aca="false">COUNTIF(응답입력!$BL$7:$BL$56,"&lt;9")+COUNTIF(응답입력!$BM$7:$BM$56,"&lt;9")+COUNTIF(응답입력!$BN$7:$BN$56,"&lt;9")+COUNTIF(응답입력!$BO$7:$BO$56,"&lt;9")+COUNTIF(응답입력!$BP$7:$BP$56,"&lt;9")</f>
        <v>0</v>
      </c>
      <c r="N11" s="27" t="str">
        <f aca="false">IF(L11="","",INDEX($F$4:$K$4,MATCH(MIN(F11:K11),F11:K11,0)))</f>
        <v/>
      </c>
    </row>
    <row r="12" customFormat="false" ht="15" hidden="false" customHeight="false" outlineLevel="0" collapsed="false">
      <c r="A12" s="4" t="s">
        <v>389</v>
      </c>
      <c r="B12" s="4" t="s">
        <v>835</v>
      </c>
      <c r="C12" s="6" t="s">
        <v>685</v>
      </c>
      <c r="D12" s="15" t="s">
        <v>659</v>
      </c>
      <c r="E12" s="6" t="s">
        <v>1072</v>
      </c>
      <c r="F12" s="35" t="str">
        <f aca="false">IFERROR(AVERAGEIF(응답입력!$BQ$7:$BQ$56,"&lt;9"),"")</f>
        <v/>
      </c>
      <c r="G12" s="35" t="str">
        <f aca="false">IFERROR(AVERAGEIF(응답입력!$BR$7:$BR$56,"&lt;9"),"")</f>
        <v/>
      </c>
      <c r="H12" s="35" t="str">
        <f aca="false">IFERROR(AVERAGEIF(응답입력!$BS$7:$BS$56,"&lt;9"),"")</f>
        <v/>
      </c>
      <c r="I12" s="35" t="str">
        <f aca="false">IFERROR(AVERAGEIF(응답입력!$BT$7:$BT$56,"&lt;9"),"")</f>
        <v/>
      </c>
      <c r="J12" s="35" t="str">
        <f aca="false">IFERROR(AVERAGEIF(응답입력!$BU$7:$BU$56,"&lt;9"),"")</f>
        <v/>
      </c>
      <c r="K12" s="42" t="s">
        <v>988</v>
      </c>
      <c r="L12" s="41" t="str">
        <f aca="false">IFERROR(AVERAGE(F12:K12),"")</f>
        <v/>
      </c>
      <c r="M12" s="27" t="n">
        <f aca="false">COUNTIF(응답입력!$BQ$7:$BQ$56,"&lt;9")+COUNTIF(응답입력!$BR$7:$BR$56,"&lt;9")+COUNTIF(응답입력!$BS$7:$BS$56,"&lt;9")+COUNTIF(응답입력!$BT$7:$BT$56,"&lt;9")+COUNTIF(응답입력!$BU$7:$BU$56,"&lt;9")</f>
        <v>0</v>
      </c>
      <c r="N12" s="27" t="str">
        <f aca="false">IF(L12="","",INDEX($F$4:$K$4,MATCH(MIN(F12:K12),F12:K12,0)))</f>
        <v/>
      </c>
    </row>
    <row r="13" customFormat="false" ht="15" hidden="false" customHeight="false" outlineLevel="0" collapsed="false">
      <c r="A13" s="4" t="s">
        <v>393</v>
      </c>
      <c r="B13" s="4" t="s">
        <v>836</v>
      </c>
      <c r="C13" s="6" t="s">
        <v>685</v>
      </c>
      <c r="D13" s="15" t="s">
        <v>659</v>
      </c>
      <c r="E13" s="6" t="s">
        <v>1070</v>
      </c>
      <c r="F13" s="35" t="str">
        <f aca="false">IFERROR(AVERAGEIF(응답입력!$BV$7:$BV$56,"&lt;9"),"")</f>
        <v/>
      </c>
      <c r="G13" s="35" t="str">
        <f aca="false">IFERROR(AVERAGEIF(응답입력!$BW$7:$BW$56,"&lt;9"),"")</f>
        <v/>
      </c>
      <c r="H13" s="35" t="str">
        <f aca="false">IFERROR(AVERAGEIF(응답입력!$BX$7:$BX$56,"&lt;9"),"")</f>
        <v/>
      </c>
      <c r="I13" s="35" t="str">
        <f aca="false">IFERROR(AVERAGEIF(응답입력!$BY$7:$BY$56,"&lt;9"),"")</f>
        <v/>
      </c>
      <c r="J13" s="35" t="str">
        <f aca="false">IFERROR(AVERAGEIF(응답입력!$BZ$7:$BZ$56,"&lt;9"),"")</f>
        <v/>
      </c>
      <c r="K13" s="42" t="s">
        <v>988</v>
      </c>
      <c r="L13" s="41" t="str">
        <f aca="false">IFERROR(AVERAGE(F13:K13),"")</f>
        <v/>
      </c>
      <c r="M13" s="27" t="n">
        <f aca="false">COUNTIF(응답입력!$BV$7:$BV$56,"&lt;9")+COUNTIF(응답입력!$BW$7:$BW$56,"&lt;9")+COUNTIF(응답입력!$BX$7:$BX$56,"&lt;9")+COUNTIF(응답입력!$BY$7:$BY$56,"&lt;9")+COUNTIF(응답입력!$BZ$7:$BZ$56,"&lt;9")</f>
        <v>0</v>
      </c>
      <c r="N13" s="27" t="str">
        <f aca="false">IF(L13="","",INDEX($F$4:$K$4,MATCH(MIN(F13:K13),F13:K13,0)))</f>
        <v/>
      </c>
    </row>
    <row r="14" customFormat="false" ht="15" hidden="false" customHeight="false" outlineLevel="0" collapsed="false">
      <c r="A14" s="4" t="s">
        <v>703</v>
      </c>
      <c r="B14" s="4" t="s">
        <v>837</v>
      </c>
      <c r="C14" s="6" t="s">
        <v>685</v>
      </c>
      <c r="D14" s="15" t="s">
        <v>707</v>
      </c>
      <c r="E14" s="6" t="s">
        <v>927</v>
      </c>
      <c r="F14" s="35" t="str">
        <f aca="false">IFERROR(AVERAGEIF(응답입력!$CA$7:$CA$56,"&lt;9"),"")</f>
        <v/>
      </c>
      <c r="G14" s="35" t="str">
        <f aca="false">IFERROR(AVERAGEIF(응답입력!$CB$7:$CB$56,"&lt;9"),"")</f>
        <v/>
      </c>
      <c r="H14" s="35" t="str">
        <f aca="false">IFERROR(AVERAGEIF(응답입력!$CC$7:$CC$56,"&lt;9"),"")</f>
        <v/>
      </c>
      <c r="I14" s="35" t="str">
        <f aca="false">IFERROR(AVERAGEIF(응답입력!$CD$7:$CD$56,"&lt;9"),"")</f>
        <v/>
      </c>
      <c r="J14" s="35" t="str">
        <f aca="false">IFERROR(AVERAGEIF(응답입력!$CE$7:$CE$56,"&lt;9"),"")</f>
        <v/>
      </c>
      <c r="K14" s="42" t="s">
        <v>988</v>
      </c>
      <c r="L14" s="41" t="str">
        <f aca="false">IFERROR(AVERAGE(F14:K14),"")</f>
        <v/>
      </c>
      <c r="M14" s="27" t="n">
        <f aca="false">COUNTIF(응답입력!$CA$7:$CA$56,"&lt;9")+COUNTIF(응답입력!$CB$7:$CB$56,"&lt;9")+COUNTIF(응답입력!$CC$7:$CC$56,"&lt;9")+COUNTIF(응답입력!$CD$7:$CD$56,"&lt;9")+COUNTIF(응답입력!$CE$7:$CE$56,"&lt;9")</f>
        <v>0</v>
      </c>
      <c r="N14" s="27" t="str">
        <f aca="false">IF(L14="","",INDEX($F$4:$K$4,MATCH(MIN(F14:K14),F14:K14,0)))</f>
        <v/>
      </c>
    </row>
    <row r="15" customFormat="false" ht="15" hidden="false" customHeight="false" outlineLevel="0" collapsed="false">
      <c r="A15" s="4" t="s">
        <v>573</v>
      </c>
      <c r="B15" s="4" t="s">
        <v>838</v>
      </c>
      <c r="C15" s="6" t="s">
        <v>685</v>
      </c>
      <c r="D15" s="15" t="s">
        <v>714</v>
      </c>
      <c r="E15" s="6" t="s">
        <v>1070</v>
      </c>
      <c r="F15" s="35" t="str">
        <f aca="false">IFERROR(AVERAGEIF(응답입력!$CF$7:$CF$56,"&lt;9"),"")</f>
        <v/>
      </c>
      <c r="G15" s="35" t="str">
        <f aca="false">IFERROR(AVERAGEIF(응답입력!$CG$7:$CG$56,"&lt;9"),"")</f>
        <v/>
      </c>
      <c r="H15" s="35" t="str">
        <f aca="false">IFERROR(AVERAGEIF(응답입력!$CH$7:$CH$56,"&lt;9"),"")</f>
        <v/>
      </c>
      <c r="I15" s="35" t="str">
        <f aca="false">IFERROR(AVERAGEIF(응답입력!$CI$7:$CI$56,"&lt;9"),"")</f>
        <v/>
      </c>
      <c r="J15" s="35" t="str">
        <f aca="false">IFERROR(AVERAGEIF(응답입력!$CJ$7:$CJ$56,"&lt;9"),"")</f>
        <v/>
      </c>
      <c r="K15" s="42" t="s">
        <v>988</v>
      </c>
      <c r="L15" s="41" t="str">
        <f aca="false">IFERROR(AVERAGE(F15:K15),"")</f>
        <v/>
      </c>
      <c r="M15" s="27" t="n">
        <f aca="false">COUNTIF(응답입력!$CF$7:$CF$56,"&lt;9")+COUNTIF(응답입력!$CG$7:$CG$56,"&lt;9")+COUNTIF(응답입력!$CH$7:$CH$56,"&lt;9")+COUNTIF(응답입력!$CI$7:$CI$56,"&lt;9")+COUNTIF(응답입력!$CJ$7:$CJ$56,"&lt;9")</f>
        <v>0</v>
      </c>
      <c r="N15" s="27" t="str">
        <f aca="false">IF(L15="","",INDEX($F$4:$K$4,MATCH(MIN(F15:K15),F15:K15,0)))</f>
        <v/>
      </c>
    </row>
    <row r="16" customFormat="false" ht="15" hidden="false" customHeight="false" outlineLevel="0" collapsed="false">
      <c r="A16" s="4" t="s">
        <v>402</v>
      </c>
      <c r="B16" s="4" t="s">
        <v>839</v>
      </c>
      <c r="C16" s="6" t="s">
        <v>720</v>
      </c>
      <c r="D16" s="15" t="s">
        <v>707</v>
      </c>
      <c r="E16" s="6" t="s">
        <v>1072</v>
      </c>
      <c r="F16" s="35" t="str">
        <f aca="false">IFERROR(AVERAGEIF(응답입력!$CK$7:$CK$56,"&lt;9"),"")</f>
        <v/>
      </c>
      <c r="G16" s="35" t="str">
        <f aca="false">IFERROR(AVERAGEIF(응답입력!$CL$7:$CL$56,"&lt;9"),"")</f>
        <v/>
      </c>
      <c r="H16" s="35" t="str">
        <f aca="false">IFERROR(AVERAGEIF(응답입력!$CM$7:$CM$56,"&lt;9"),"")</f>
        <v/>
      </c>
      <c r="I16" s="35" t="str">
        <f aca="false">IFERROR(AVERAGEIF(응답입력!$CN$7:$CN$56,"&lt;9"),"")</f>
        <v/>
      </c>
      <c r="J16" s="35" t="str">
        <f aca="false">IFERROR(AVERAGEIF(응답입력!$CO$7:$CO$56,"&lt;9"),"")</f>
        <v/>
      </c>
      <c r="K16" s="42" t="s">
        <v>988</v>
      </c>
      <c r="L16" s="41" t="str">
        <f aca="false">IFERROR(AVERAGE(F16:K16),"")</f>
        <v/>
      </c>
      <c r="M16" s="27" t="n">
        <f aca="false">COUNTIF(응답입력!$CK$7:$CK$56,"&lt;9")+COUNTIF(응답입력!$CL$7:$CL$56,"&lt;9")+COUNTIF(응답입력!$CM$7:$CM$56,"&lt;9")+COUNTIF(응답입력!$CN$7:$CN$56,"&lt;9")+COUNTIF(응답입력!$CO$7:$CO$56,"&lt;9")</f>
        <v>0</v>
      </c>
      <c r="N16" s="27" t="str">
        <f aca="false">IF(L16="","",INDEX($F$4:$K$4,MATCH(MIN(F16:K16),F16:K16,0)))</f>
        <v/>
      </c>
    </row>
    <row r="17" customFormat="false" ht="15" hidden="false" customHeight="false" outlineLevel="0" collapsed="false">
      <c r="A17" s="4" t="s">
        <v>725</v>
      </c>
      <c r="B17" s="4" t="s">
        <v>840</v>
      </c>
      <c r="C17" s="6" t="s">
        <v>720</v>
      </c>
      <c r="D17" s="15" t="s">
        <v>659</v>
      </c>
      <c r="E17" s="6" t="s">
        <v>922</v>
      </c>
      <c r="F17" s="35" t="str">
        <f aca="false">IFERROR(AVERAGEIF(응답입력!$CP$7:$CP$56,"&lt;9"),"")</f>
        <v/>
      </c>
      <c r="G17" s="35" t="str">
        <f aca="false">IFERROR(AVERAGEIF(응답입력!$CQ$7:$CQ$56,"&lt;9"),"")</f>
        <v/>
      </c>
      <c r="H17" s="35" t="str">
        <f aca="false">IFERROR(AVERAGEIF(응답입력!$CR$7:$CR$56,"&lt;9"),"")</f>
        <v/>
      </c>
      <c r="I17" s="35" t="str">
        <f aca="false">IFERROR(AVERAGEIF(응답입력!$CS$7:$CS$56,"&lt;9"),"")</f>
        <v/>
      </c>
      <c r="J17" s="35" t="str">
        <f aca="false">IFERROR(AVERAGEIF(응답입력!$CT$7:$CT$56,"&lt;9"),"")</f>
        <v/>
      </c>
      <c r="K17" s="42" t="s">
        <v>988</v>
      </c>
      <c r="L17" s="41" t="str">
        <f aca="false">IFERROR(AVERAGE(F17:K17),"")</f>
        <v/>
      </c>
      <c r="M17" s="27" t="n">
        <f aca="false">COUNTIF(응답입력!$CP$7:$CP$56,"&lt;9")+COUNTIF(응답입력!$CQ$7:$CQ$56,"&lt;9")+COUNTIF(응답입력!$CR$7:$CR$56,"&lt;9")+COUNTIF(응답입력!$CS$7:$CS$56,"&lt;9")+COUNTIF(응답입력!$CT$7:$CT$56,"&lt;9")</f>
        <v>0</v>
      </c>
      <c r="N17" s="27" t="str">
        <f aca="false">IF(L17="","",INDEX($F$4:$K$4,MATCH(MIN(F17:K17),F17:K17,0)))</f>
        <v/>
      </c>
    </row>
    <row r="18" customFormat="false" ht="15" hidden="false" customHeight="false" outlineLevel="0" collapsed="false">
      <c r="A18" s="4" t="s">
        <v>414</v>
      </c>
      <c r="B18" s="4" t="s">
        <v>841</v>
      </c>
      <c r="C18" s="6" t="s">
        <v>720</v>
      </c>
      <c r="D18" s="15" t="s">
        <v>659</v>
      </c>
      <c r="E18" s="6" t="s">
        <v>922</v>
      </c>
      <c r="F18" s="35" t="str">
        <f aca="false">IFERROR(AVERAGEIF(응답입력!$CU$7:$CU$56,"&lt;9"),"")</f>
        <v/>
      </c>
      <c r="G18" s="35" t="str">
        <f aca="false">IFERROR(AVERAGEIF(응답입력!$CV$7:$CV$56,"&lt;9"),"")</f>
        <v/>
      </c>
      <c r="H18" s="35" t="str">
        <f aca="false">IFERROR(AVERAGEIF(응답입력!$CW$7:$CW$56,"&lt;9"),"")</f>
        <v/>
      </c>
      <c r="I18" s="35" t="str">
        <f aca="false">IFERROR(AVERAGEIF(응답입력!$CX$7:$CX$56,"&lt;9"),"")</f>
        <v/>
      </c>
      <c r="J18" s="35" t="str">
        <f aca="false">IFERROR(AVERAGEIF(응답입력!$CY$7:$CY$56,"&lt;9"),"")</f>
        <v/>
      </c>
      <c r="K18" s="42" t="s">
        <v>988</v>
      </c>
      <c r="L18" s="41" t="str">
        <f aca="false">IFERROR(AVERAGE(F18:K18),"")</f>
        <v/>
      </c>
      <c r="M18" s="27" t="n">
        <f aca="false">COUNTIF(응답입력!$CU$7:$CU$56,"&lt;9")+COUNTIF(응답입력!$CV$7:$CV$56,"&lt;9")+COUNTIF(응답입력!$CW$7:$CW$56,"&lt;9")+COUNTIF(응답입력!$CX$7:$CX$56,"&lt;9")+COUNTIF(응답입력!$CY$7:$CY$56,"&lt;9")</f>
        <v>0</v>
      </c>
      <c r="N18" s="27" t="str">
        <f aca="false">IF(L18="","",INDEX($F$4:$K$4,MATCH(MIN(F18:K18),F18:K18,0)))</f>
        <v/>
      </c>
    </row>
    <row r="19" customFormat="false" ht="15" hidden="false" customHeight="false" outlineLevel="0" collapsed="false">
      <c r="A19" s="4" t="s">
        <v>737</v>
      </c>
      <c r="B19" s="4" t="s">
        <v>842</v>
      </c>
      <c r="C19" s="6" t="s">
        <v>720</v>
      </c>
      <c r="D19" s="15" t="s">
        <v>659</v>
      </c>
      <c r="E19" s="6" t="s">
        <v>1073</v>
      </c>
      <c r="F19" s="35" t="str">
        <f aca="false">IFERROR(AVERAGEIF(응답입력!$CZ$7:$CZ$56,"&lt;9"),"")</f>
        <v/>
      </c>
      <c r="G19" s="35" t="str">
        <f aca="false">IFERROR(AVERAGEIF(응답입력!$DA$7:$DA$56,"&lt;9"),"")</f>
        <v/>
      </c>
      <c r="H19" s="35" t="str">
        <f aca="false">IFERROR(AVERAGEIF(응답입력!$DB$7:$DB$56,"&lt;9"),"")</f>
        <v/>
      </c>
      <c r="I19" s="35" t="str">
        <f aca="false">IFERROR(AVERAGEIF(응답입력!$DC$7:$DC$56,"&lt;9"),"")</f>
        <v/>
      </c>
      <c r="J19" s="35" t="str">
        <f aca="false">IFERROR(AVERAGEIF(응답입력!$DD$7:$DD$56,"&lt;9"),"")</f>
        <v/>
      </c>
      <c r="K19" s="42" t="s">
        <v>988</v>
      </c>
      <c r="L19" s="41" t="str">
        <f aca="false">IFERROR(AVERAGE(F19:K19),"")</f>
        <v/>
      </c>
      <c r="M19" s="27" t="n">
        <f aca="false">COUNTIF(응답입력!$CZ$7:$CZ$56,"&lt;9")+COUNTIF(응답입력!$DA$7:$DA$56,"&lt;9")+COUNTIF(응답입력!$DB$7:$DB$56,"&lt;9")+COUNTIF(응답입력!$DC$7:$DC$56,"&lt;9")+COUNTIF(응답입력!$DD$7:$DD$56,"&lt;9")</f>
        <v>0</v>
      </c>
      <c r="N19" s="27" t="str">
        <f aca="false">IF(L19="","",INDEX($F$4:$K$4,MATCH(MIN(F19:K19),F19:K19,0)))</f>
        <v/>
      </c>
    </row>
    <row r="20" customFormat="false" ht="15" hidden="false" customHeight="false" outlineLevel="0" collapsed="false">
      <c r="A20" s="4" t="s">
        <v>743</v>
      </c>
      <c r="B20" s="4" t="s">
        <v>843</v>
      </c>
      <c r="C20" s="6" t="s">
        <v>720</v>
      </c>
      <c r="D20" s="15" t="s">
        <v>659</v>
      </c>
      <c r="E20" s="6" t="s">
        <v>1074</v>
      </c>
      <c r="F20" s="35" t="str">
        <f aca="false">IFERROR(AVERAGEIF(응답입력!$DE$7:$DE$56,"&lt;9"),"")</f>
        <v/>
      </c>
      <c r="G20" s="35" t="str">
        <f aca="false">IFERROR(AVERAGEIF(응답입력!$DF$7:$DF$56,"&lt;9"),"")</f>
        <v/>
      </c>
      <c r="H20" s="35" t="str">
        <f aca="false">IFERROR(AVERAGEIF(응답입력!$DG$7:$DG$56,"&lt;9"),"")</f>
        <v/>
      </c>
      <c r="I20" s="35" t="str">
        <f aca="false">IFERROR(AVERAGEIF(응답입력!$DH$7:$DH$56,"&lt;9"),"")</f>
        <v/>
      </c>
      <c r="J20" s="35" t="str">
        <f aca="false">IFERROR(AVERAGEIF(응답입력!$DI$7:$DI$56,"&lt;9"),"")</f>
        <v/>
      </c>
      <c r="K20" s="35" t="str">
        <f aca="false">IFERROR(AVERAGEIF(응답입력!$DJ$7:$DJ$56,"&lt;9"),"")</f>
        <v/>
      </c>
      <c r="L20" s="41" t="str">
        <f aca="false">IFERROR(AVERAGE(F20:K20),"")</f>
        <v/>
      </c>
      <c r="M20" s="27" t="n">
        <f aca="false">COUNTIF(응답입력!$DE$7:$DE$56,"&lt;9")+COUNTIF(응답입력!$DF$7:$DF$56,"&lt;9")+COUNTIF(응답입력!$DG$7:$DG$56,"&lt;9")+COUNTIF(응답입력!$DH$7:$DH$56,"&lt;9")+COUNTIF(응답입력!$DI$7:$DI$56,"&lt;9")+COUNTIF(응답입력!$DJ$7:$DJ$56,"&lt;9")</f>
        <v>0</v>
      </c>
      <c r="N20" s="27" t="str">
        <f aca="false">IF(L20="","",INDEX($F$4:$K$4,MATCH(MIN(F20:K20),F20:K20,0)))</f>
        <v/>
      </c>
    </row>
    <row r="21" customFormat="false" ht="15" hidden="false" customHeight="false" outlineLevel="0" collapsed="false">
      <c r="A21" s="4" t="s">
        <v>750</v>
      </c>
      <c r="B21" s="4" t="s">
        <v>844</v>
      </c>
      <c r="C21" s="6" t="s">
        <v>720</v>
      </c>
      <c r="D21" s="15" t="s">
        <v>714</v>
      </c>
      <c r="E21" s="6" t="s">
        <v>1070</v>
      </c>
      <c r="F21" s="35" t="str">
        <f aca="false">IFERROR(AVERAGEIF(응답입력!$DK$7:$DK$56,"&lt;9"),"")</f>
        <v/>
      </c>
      <c r="G21" s="35" t="str">
        <f aca="false">IFERROR(AVERAGEIF(응답입력!$DL$7:$DL$56,"&lt;9"),"")</f>
        <v/>
      </c>
      <c r="H21" s="35" t="str">
        <f aca="false">IFERROR(AVERAGEIF(응답입력!$DM$7:$DM$56,"&lt;9"),"")</f>
        <v/>
      </c>
      <c r="I21" s="35" t="str">
        <f aca="false">IFERROR(AVERAGEIF(응답입력!$DN$7:$DN$56,"&lt;9"),"")</f>
        <v/>
      </c>
      <c r="J21" s="35" t="str">
        <f aca="false">IFERROR(AVERAGEIF(응답입력!$DO$7:$DO$56,"&lt;9"),"")</f>
        <v/>
      </c>
      <c r="K21" s="42" t="s">
        <v>988</v>
      </c>
      <c r="L21" s="41" t="str">
        <f aca="false">IFERROR(AVERAGE(F21:K21),"")</f>
        <v/>
      </c>
      <c r="M21" s="27" t="n">
        <f aca="false">COUNTIF(응답입력!$DK$7:$DK$56,"&lt;9")+COUNTIF(응답입력!$DL$7:$DL$56,"&lt;9")+COUNTIF(응답입력!$DM$7:$DM$56,"&lt;9")+COUNTIF(응답입력!$DN$7:$DN$56,"&lt;9")+COUNTIF(응답입력!$DO$7:$DO$56,"&lt;9")</f>
        <v>0</v>
      </c>
      <c r="N21" s="27" t="str">
        <f aca="false">IF(L21="","",INDEX($F$4:$K$4,MATCH(MIN(F21:K21),F21:K21,0)))</f>
        <v/>
      </c>
    </row>
    <row r="22" customFormat="false" ht="15" hidden="false" customHeight="false" outlineLevel="0" collapsed="false">
      <c r="A22" s="4" t="s">
        <v>758</v>
      </c>
      <c r="B22" s="4" t="s">
        <v>845</v>
      </c>
      <c r="C22" s="6" t="s">
        <v>759</v>
      </c>
      <c r="D22" s="15" t="s">
        <v>659</v>
      </c>
      <c r="E22" s="6" t="s">
        <v>914</v>
      </c>
      <c r="F22" s="35" t="str">
        <f aca="false">IFERROR(AVERAGEIF(응답입력!$DP$7:$DP$56,"&lt;9"),"")</f>
        <v/>
      </c>
      <c r="G22" s="35" t="str">
        <f aca="false">IFERROR(AVERAGEIF(응답입력!$DQ$7:$DQ$56,"&lt;9"),"")</f>
        <v/>
      </c>
      <c r="H22" s="35" t="str">
        <f aca="false">IFERROR(AVERAGEIF(응답입력!$DR$7:$DR$56,"&lt;9"),"")</f>
        <v/>
      </c>
      <c r="I22" s="35" t="str">
        <f aca="false">IFERROR(AVERAGEIF(응답입력!$DS$7:$DS$56,"&lt;9"),"")</f>
        <v/>
      </c>
      <c r="J22" s="35" t="str">
        <f aca="false">IFERROR(AVERAGEIF(응답입력!$DT$7:$DT$56,"&lt;9"),"")</f>
        <v/>
      </c>
      <c r="K22" s="35" t="str">
        <f aca="false">IFERROR(AVERAGEIF(응답입력!$DU$7:$DU$56,"&lt;9"),"")</f>
        <v/>
      </c>
      <c r="L22" s="41" t="str">
        <f aca="false">IFERROR(AVERAGE(F22:K22),"")</f>
        <v/>
      </c>
      <c r="M22" s="27" t="n">
        <f aca="false">COUNTIF(응답입력!$DP$7:$DP$56,"&lt;9")+COUNTIF(응답입력!$DQ$7:$DQ$56,"&lt;9")+COUNTIF(응답입력!$DR$7:$DR$56,"&lt;9")+COUNTIF(응답입력!$DS$7:$DS$56,"&lt;9")+COUNTIF(응답입력!$DT$7:$DT$56,"&lt;9")+COUNTIF(응답입력!$DU$7:$DU$56,"&lt;9")</f>
        <v>0</v>
      </c>
      <c r="N22" s="27" t="str">
        <f aca="false">IF(L22="","",INDEX($F$4:$K$4,MATCH(MIN(F22:K22),F22:K22,0)))</f>
        <v/>
      </c>
    </row>
    <row r="23" customFormat="false" ht="15" hidden="false" customHeight="false" outlineLevel="0" collapsed="false">
      <c r="A23" s="4" t="s">
        <v>766</v>
      </c>
      <c r="B23" s="4" t="s">
        <v>846</v>
      </c>
      <c r="C23" s="6" t="s">
        <v>759</v>
      </c>
      <c r="D23" s="15" t="s">
        <v>659</v>
      </c>
      <c r="E23" s="6" t="s">
        <v>914</v>
      </c>
      <c r="F23" s="35" t="str">
        <f aca="false">IFERROR(AVERAGEIF(응답입력!$DV$7:$DV$56,"&lt;9"),"")</f>
        <v/>
      </c>
      <c r="G23" s="35" t="str">
        <f aca="false">IFERROR(AVERAGEIF(응답입력!$DW$7:$DW$56,"&lt;9"),"")</f>
        <v/>
      </c>
      <c r="H23" s="35" t="str">
        <f aca="false">IFERROR(AVERAGEIF(응답입력!$DX$7:$DX$56,"&lt;9"),"")</f>
        <v/>
      </c>
      <c r="I23" s="35" t="str">
        <f aca="false">IFERROR(AVERAGEIF(응답입력!$DY$7:$DY$56,"&lt;9"),"")</f>
        <v/>
      </c>
      <c r="J23" s="35" t="str">
        <f aca="false">IFERROR(AVERAGEIF(응답입력!$DZ$7:$DZ$56,"&lt;9"),"")</f>
        <v/>
      </c>
      <c r="K23" s="35" t="str">
        <f aca="false">IFERROR(AVERAGEIF(응답입력!$EA$7:$EA$56,"&lt;9"),"")</f>
        <v/>
      </c>
      <c r="L23" s="41" t="str">
        <f aca="false">IFERROR(AVERAGE(F23:K23),"")</f>
        <v/>
      </c>
      <c r="M23" s="27" t="n">
        <f aca="false">COUNTIF(응답입력!$DV$7:$DV$56,"&lt;9")+COUNTIF(응답입력!$DW$7:$DW$56,"&lt;9")+COUNTIF(응답입력!$DX$7:$DX$56,"&lt;9")+COUNTIF(응답입력!$DY$7:$DY$56,"&lt;9")+COUNTIF(응답입력!$DZ$7:$DZ$56,"&lt;9")+COUNTIF(응답입력!$EA$7:$EA$56,"&lt;9")</f>
        <v>0</v>
      </c>
      <c r="N23" s="27" t="str">
        <f aca="false">IF(L23="","",INDEX($F$4:$K$4,MATCH(MIN(F23:K23),F23:K23,0)))</f>
        <v/>
      </c>
    </row>
    <row r="24" customFormat="false" ht="15" hidden="false" customHeight="false" outlineLevel="0" collapsed="false">
      <c r="A24" s="4" t="s">
        <v>770</v>
      </c>
      <c r="B24" s="4" t="s">
        <v>847</v>
      </c>
      <c r="C24" s="6" t="s">
        <v>759</v>
      </c>
      <c r="D24" s="15" t="s">
        <v>659</v>
      </c>
      <c r="E24" s="6" t="s">
        <v>914</v>
      </c>
      <c r="F24" s="35" t="str">
        <f aca="false">IFERROR(AVERAGEIF(응답입력!$EB$7:$EB$56,"&lt;9"),"")</f>
        <v/>
      </c>
      <c r="G24" s="35" t="str">
        <f aca="false">IFERROR(AVERAGEIF(응답입력!$EC$7:$EC$56,"&lt;9"),"")</f>
        <v/>
      </c>
      <c r="H24" s="35" t="str">
        <f aca="false">IFERROR(AVERAGEIF(응답입력!$ED$7:$ED$56,"&lt;9"),"")</f>
        <v/>
      </c>
      <c r="I24" s="35" t="str">
        <f aca="false">IFERROR(AVERAGEIF(응답입력!$EE$7:$EE$56,"&lt;9"),"")</f>
        <v/>
      </c>
      <c r="J24" s="35" t="str">
        <f aca="false">IFERROR(AVERAGEIF(응답입력!$EF$7:$EF$56,"&lt;9"),"")</f>
        <v/>
      </c>
      <c r="K24" s="35" t="str">
        <f aca="false">IFERROR(AVERAGEIF(응답입력!$EG$7:$EG$56,"&lt;9"),"")</f>
        <v/>
      </c>
      <c r="L24" s="41" t="str">
        <f aca="false">IFERROR(AVERAGE(F24:K24),"")</f>
        <v/>
      </c>
      <c r="M24" s="27" t="n">
        <f aca="false">COUNTIF(응답입력!$EB$7:$EB$56,"&lt;9")+COUNTIF(응답입력!$EC$7:$EC$56,"&lt;9")+COUNTIF(응답입력!$ED$7:$ED$56,"&lt;9")+COUNTIF(응답입력!$EE$7:$EE$56,"&lt;9")+COUNTIF(응답입력!$EF$7:$EF$56,"&lt;9")+COUNTIF(응답입력!$EG$7:$EG$56,"&lt;9")</f>
        <v>0</v>
      </c>
      <c r="N24" s="27" t="str">
        <f aca="false">IF(L24="","",INDEX($F$4:$K$4,MATCH(MIN(F24:K24),F24:K24,0)))</f>
        <v/>
      </c>
    </row>
    <row r="25" customFormat="false" ht="15" hidden="false" customHeight="false" outlineLevel="0" collapsed="false">
      <c r="A25" s="4" t="s">
        <v>431</v>
      </c>
      <c r="B25" s="4" t="s">
        <v>848</v>
      </c>
      <c r="C25" s="6" t="s">
        <v>759</v>
      </c>
      <c r="D25" s="15" t="s">
        <v>659</v>
      </c>
      <c r="E25" s="6" t="s">
        <v>898</v>
      </c>
      <c r="F25" s="35" t="str">
        <f aca="false">IFERROR(AVERAGEIF(응답입력!$EH$7:$EH$56,"&lt;9"),"")</f>
        <v/>
      </c>
      <c r="G25" s="35" t="str">
        <f aca="false">IFERROR(AVERAGEIF(응답입력!$EI$7:$EI$56,"&lt;9"),"")</f>
        <v/>
      </c>
      <c r="H25" s="35" t="str">
        <f aca="false">IFERROR(AVERAGEIF(응답입력!$EJ$7:$EJ$56,"&lt;9"),"")</f>
        <v/>
      </c>
      <c r="I25" s="35" t="str">
        <f aca="false">IFERROR(AVERAGEIF(응답입력!$EK$7:$EK$56,"&lt;9"),"")</f>
        <v/>
      </c>
      <c r="J25" s="35" t="str">
        <f aca="false">IFERROR(AVERAGEIF(응답입력!$EL$7:$EL$56,"&lt;9"),"")</f>
        <v/>
      </c>
      <c r="K25" s="42" t="s">
        <v>988</v>
      </c>
      <c r="L25" s="41" t="str">
        <f aca="false">IFERROR(AVERAGE(F25:K25),"")</f>
        <v/>
      </c>
      <c r="M25" s="27" t="n">
        <f aca="false">COUNTIF(응답입력!$EH$7:$EH$56,"&lt;9")+COUNTIF(응답입력!$EI$7:$EI$56,"&lt;9")+COUNTIF(응답입력!$EJ$7:$EJ$56,"&lt;9")+COUNTIF(응답입력!$EK$7:$EK$56,"&lt;9")+COUNTIF(응답입력!$EL$7:$EL$56,"&lt;9")</f>
        <v>0</v>
      </c>
      <c r="N25" s="27" t="str">
        <f aca="false">IF(L25="","",INDEX($F$4:$K$4,MATCH(MIN(F25:K25),F25:K25,0)))</f>
        <v/>
      </c>
    </row>
    <row r="26" customFormat="false" ht="15" hidden="false" customHeight="false" outlineLevel="0" collapsed="false">
      <c r="A26" s="4" t="s">
        <v>440</v>
      </c>
      <c r="B26" s="4" t="s">
        <v>849</v>
      </c>
      <c r="C26" s="6" t="s">
        <v>759</v>
      </c>
      <c r="D26" s="15" t="s">
        <v>659</v>
      </c>
      <c r="E26" s="6" t="s">
        <v>1074</v>
      </c>
      <c r="F26" s="35" t="str">
        <f aca="false">IFERROR(AVERAGEIF(응답입력!$EM$7:$EM$56,"&lt;9"),"")</f>
        <v/>
      </c>
      <c r="G26" s="35" t="str">
        <f aca="false">IFERROR(AVERAGEIF(응답입력!$EN$7:$EN$56,"&lt;9"),"")</f>
        <v/>
      </c>
      <c r="H26" s="35" t="str">
        <f aca="false">IFERROR(AVERAGEIF(응답입력!$EO$7:$EO$56,"&lt;9"),"")</f>
        <v/>
      </c>
      <c r="I26" s="35" t="str">
        <f aca="false">IFERROR(AVERAGEIF(응답입력!$EP$7:$EP$56,"&lt;9"),"")</f>
        <v/>
      </c>
      <c r="J26" s="35" t="str">
        <f aca="false">IFERROR(AVERAGEIF(응답입력!$EQ$7:$EQ$56,"&lt;9"),"")</f>
        <v/>
      </c>
      <c r="K26" s="42" t="s">
        <v>988</v>
      </c>
      <c r="L26" s="41" t="str">
        <f aca="false">IFERROR(AVERAGE(F26:K26),"")</f>
        <v/>
      </c>
      <c r="M26" s="27" t="n">
        <f aca="false">COUNTIF(응답입력!$EM$7:$EM$56,"&lt;9")+COUNTIF(응답입력!$EN$7:$EN$56,"&lt;9")+COUNTIF(응답입력!$EO$7:$EO$56,"&lt;9")+COUNTIF(응답입력!$EP$7:$EP$56,"&lt;9")+COUNTIF(응답입력!$EQ$7:$EQ$56,"&lt;9")</f>
        <v>0</v>
      </c>
      <c r="N26" s="27" t="str">
        <f aca="false">IF(L26="","",INDEX($F$4:$K$4,MATCH(MIN(F26:K26),F26:K26,0)))</f>
        <v/>
      </c>
    </row>
    <row r="27" customFormat="false" ht="15" hidden="false" customHeight="false" outlineLevel="0" collapsed="false">
      <c r="A27" s="4" t="s">
        <v>782</v>
      </c>
      <c r="B27" s="4" t="s">
        <v>850</v>
      </c>
      <c r="C27" s="6" t="s">
        <v>759</v>
      </c>
      <c r="D27" s="15" t="s">
        <v>659</v>
      </c>
      <c r="E27" s="6" t="s">
        <v>898</v>
      </c>
      <c r="F27" s="35" t="str">
        <f aca="false">IFERROR(AVERAGEIF(응답입력!$ER$7:$ER$56,"&lt;9"),"")</f>
        <v/>
      </c>
      <c r="G27" s="35" t="str">
        <f aca="false">IFERROR(AVERAGEIF(응답입력!$ES$7:$ES$56,"&lt;9"),"")</f>
        <v/>
      </c>
      <c r="H27" s="35" t="str">
        <f aca="false">IFERROR(AVERAGEIF(응답입력!$ET$7:$ET$56,"&lt;9"),"")</f>
        <v/>
      </c>
      <c r="I27" s="35" t="str">
        <f aca="false">IFERROR(AVERAGEIF(응답입력!$EU$7:$EU$56,"&lt;9"),"")</f>
        <v/>
      </c>
      <c r="J27" s="35" t="str">
        <f aca="false">IFERROR(AVERAGEIF(응답입력!$EV$7:$EV$56,"&lt;9"),"")</f>
        <v/>
      </c>
      <c r="K27" s="35" t="str">
        <f aca="false">IFERROR(AVERAGEIF(응답입력!$EW$7:$EW$56,"&lt;9"),"")</f>
        <v/>
      </c>
      <c r="L27" s="41" t="str">
        <f aca="false">IFERROR(AVERAGE(F27:K27),"")</f>
        <v/>
      </c>
      <c r="M27" s="27" t="n">
        <f aca="false">COUNTIF(응답입력!$ER$7:$ER$56,"&lt;9")+COUNTIF(응답입력!$ES$7:$ES$56,"&lt;9")+COUNTIF(응답입력!$ET$7:$ET$56,"&lt;9")+COUNTIF(응답입력!$EU$7:$EU$56,"&lt;9")+COUNTIF(응답입력!$EV$7:$EV$56,"&lt;9")+COUNTIF(응답입력!$EW$7:$EW$56,"&lt;9")</f>
        <v>0</v>
      </c>
      <c r="N27" s="27" t="str">
        <f aca="false">IF(L27="","",INDEX($F$4:$K$4,MATCH(MIN(F27:K27),F27:K27,0)))</f>
        <v/>
      </c>
    </row>
    <row r="28" customFormat="false" ht="15" hidden="false" customHeight="false" outlineLevel="0" collapsed="false">
      <c r="A28" s="4" t="s">
        <v>786</v>
      </c>
      <c r="B28" s="4" t="s">
        <v>851</v>
      </c>
      <c r="C28" s="6" t="s">
        <v>759</v>
      </c>
      <c r="D28" s="15" t="s">
        <v>659</v>
      </c>
      <c r="E28" s="6" t="s">
        <v>898</v>
      </c>
      <c r="F28" s="35" t="str">
        <f aca="false">IFERROR(AVERAGEIF(응답입력!$EX$7:$EX$56,"&lt;9"),"")</f>
        <v/>
      </c>
      <c r="G28" s="35" t="str">
        <f aca="false">IFERROR(AVERAGEIF(응답입력!$EY$7:$EY$56,"&lt;9"),"")</f>
        <v/>
      </c>
      <c r="H28" s="35" t="str">
        <f aca="false">IFERROR(AVERAGEIF(응답입력!$EZ$7:$EZ$56,"&lt;9"),"")</f>
        <v/>
      </c>
      <c r="I28" s="35" t="str">
        <f aca="false">IFERROR(AVERAGEIF(응답입력!$FA$7:$FA$56,"&lt;9"),"")</f>
        <v/>
      </c>
      <c r="J28" s="35" t="str">
        <f aca="false">IFERROR(AVERAGEIF(응답입력!$FB$7:$FB$56,"&lt;9"),"")</f>
        <v/>
      </c>
      <c r="K28" s="35" t="str">
        <f aca="false">IFERROR(AVERAGEIF(응답입력!$FC$7:$FC$56,"&lt;9"),"")</f>
        <v/>
      </c>
      <c r="L28" s="41" t="str">
        <f aca="false">IFERROR(AVERAGE(F28:K28),"")</f>
        <v/>
      </c>
      <c r="M28" s="27" t="n">
        <f aca="false">COUNTIF(응답입력!$EX$7:$EX$56,"&lt;9")+COUNTIF(응답입력!$EY$7:$EY$56,"&lt;9")+COUNTIF(응답입력!$EZ$7:$EZ$56,"&lt;9")+COUNTIF(응답입력!$FA$7:$FA$56,"&lt;9")+COUNTIF(응답입력!$FB$7:$FB$56,"&lt;9")+COUNTIF(응답입력!$FC$7:$FC$56,"&lt;9")</f>
        <v>0</v>
      </c>
      <c r="N28" s="27" t="str">
        <f aca="false">IF(L28="","",INDEX($F$4:$K$4,MATCH(MIN(F28:K28),F28:K28,0)))</f>
        <v/>
      </c>
    </row>
    <row r="29" customFormat="false" ht="15" hidden="false" customHeight="false" outlineLevel="0" collapsed="false">
      <c r="A29" s="4" t="s">
        <v>790</v>
      </c>
      <c r="B29" s="4" t="s">
        <v>852</v>
      </c>
      <c r="C29" s="6" t="s">
        <v>759</v>
      </c>
      <c r="D29" s="15" t="s">
        <v>659</v>
      </c>
      <c r="E29" s="6" t="s">
        <v>914</v>
      </c>
      <c r="F29" s="35" t="str">
        <f aca="false">IFERROR(AVERAGEIF(응답입력!$FD$7:$FD$56,"&lt;9"),"")</f>
        <v/>
      </c>
      <c r="G29" s="35" t="str">
        <f aca="false">IFERROR(AVERAGEIF(응답입력!$FE$7:$FE$56,"&lt;9"),"")</f>
        <v/>
      </c>
      <c r="H29" s="35" t="str">
        <f aca="false">IFERROR(AVERAGEIF(응답입력!$FF$7:$FF$56,"&lt;9"),"")</f>
        <v/>
      </c>
      <c r="I29" s="35" t="str">
        <f aca="false">IFERROR(AVERAGEIF(응답입력!$FG$7:$FG$56,"&lt;9"),"")</f>
        <v/>
      </c>
      <c r="J29" s="35" t="str">
        <f aca="false">IFERROR(AVERAGEIF(응답입력!$FH$7:$FH$56,"&lt;9"),"")</f>
        <v/>
      </c>
      <c r="K29" s="35" t="str">
        <f aca="false">IFERROR(AVERAGEIF(응답입력!$FI$7:$FI$56,"&lt;9"),"")</f>
        <v/>
      </c>
      <c r="L29" s="41" t="str">
        <f aca="false">IFERROR(AVERAGE(F29:K29),"")</f>
        <v/>
      </c>
      <c r="M29" s="27" t="n">
        <f aca="false">COUNTIF(응답입력!$FD$7:$FD$56,"&lt;9")+COUNTIF(응답입력!$FE$7:$FE$56,"&lt;9")+COUNTIF(응답입력!$FF$7:$FF$56,"&lt;9")+COUNTIF(응답입력!$FG$7:$FG$56,"&lt;9")+COUNTIF(응답입력!$FH$7:$FH$56,"&lt;9")+COUNTIF(응답입력!$FI$7:$FI$56,"&lt;9")</f>
        <v>0</v>
      </c>
      <c r="N29" s="27" t="str">
        <f aca="false">IF(L29="","",INDEX($F$4:$K$4,MATCH(MIN(F29:K29),F29:K29,0)))</f>
        <v/>
      </c>
    </row>
    <row r="30" customFormat="false" ht="15" hidden="false" customHeight="false" outlineLevel="0" collapsed="false">
      <c r="A30" s="4" t="s">
        <v>794</v>
      </c>
      <c r="B30" s="4" t="s">
        <v>853</v>
      </c>
      <c r="C30" s="6" t="s">
        <v>759</v>
      </c>
      <c r="D30" s="15" t="s">
        <v>659</v>
      </c>
      <c r="E30" s="6" t="s">
        <v>914</v>
      </c>
      <c r="F30" s="35" t="str">
        <f aca="false">IFERROR(AVERAGEIF(응답입력!$FJ$7:$FJ$56,"&lt;9"),"")</f>
        <v/>
      </c>
      <c r="G30" s="35" t="str">
        <f aca="false">IFERROR(AVERAGEIF(응답입력!$FK$7:$FK$56,"&lt;9"),"")</f>
        <v/>
      </c>
      <c r="H30" s="35" t="str">
        <f aca="false">IFERROR(AVERAGEIF(응답입력!$FL$7:$FL$56,"&lt;9"),"")</f>
        <v/>
      </c>
      <c r="I30" s="35" t="str">
        <f aca="false">IFERROR(AVERAGEIF(응답입력!$FM$7:$FM$56,"&lt;9"),"")</f>
        <v/>
      </c>
      <c r="J30" s="35" t="str">
        <f aca="false">IFERROR(AVERAGEIF(응답입력!$FN$7:$FN$56,"&lt;9"),"")</f>
        <v/>
      </c>
      <c r="K30" s="35" t="str">
        <f aca="false">IFERROR(AVERAGEIF(응답입력!$FO$7:$FO$56,"&lt;9"),"")</f>
        <v/>
      </c>
      <c r="L30" s="41" t="str">
        <f aca="false">IFERROR(AVERAGE(F30:K30),"")</f>
        <v/>
      </c>
      <c r="M30" s="27" t="n">
        <f aca="false">COUNTIF(응답입력!$FJ$7:$FJ$56,"&lt;9")+COUNTIF(응답입력!$FK$7:$FK$56,"&lt;9")+COUNTIF(응답입력!$FL$7:$FL$56,"&lt;9")+COUNTIF(응답입력!$FM$7:$FM$56,"&lt;9")+COUNTIF(응답입력!$FN$7:$FN$56,"&lt;9")+COUNTIF(응답입력!$FO$7:$FO$56,"&lt;9")</f>
        <v>0</v>
      </c>
      <c r="N30" s="27" t="str">
        <f aca="false">IF(L30="","",INDEX($F$4:$K$4,MATCH(MIN(F30:K30),F30:K30,0)))</f>
        <v/>
      </c>
    </row>
    <row r="31" customFormat="false" ht="15" hidden="false" customHeight="false" outlineLevel="0" collapsed="false">
      <c r="A31" s="4" t="s">
        <v>449</v>
      </c>
      <c r="B31" s="4" t="s">
        <v>854</v>
      </c>
      <c r="C31" s="6" t="s">
        <v>797</v>
      </c>
      <c r="D31" s="15" t="s">
        <v>659</v>
      </c>
      <c r="E31" s="6" t="s">
        <v>940</v>
      </c>
      <c r="F31" s="35" t="str">
        <f aca="false">IFERROR(AVERAGEIF(응답입력!$FP$7:$FP$56,"&lt;9"),"")</f>
        <v/>
      </c>
      <c r="G31" s="35" t="str">
        <f aca="false">IFERROR(AVERAGEIF(응답입력!$FQ$7:$FQ$56,"&lt;9"),"")</f>
        <v/>
      </c>
      <c r="H31" s="35" t="str">
        <f aca="false">IFERROR(AVERAGEIF(응답입력!$FR$7:$FR$56,"&lt;9"),"")</f>
        <v/>
      </c>
      <c r="I31" s="35" t="str">
        <f aca="false">IFERROR(AVERAGEIF(응답입력!$FS$7:$FS$56,"&lt;9"),"")</f>
        <v/>
      </c>
      <c r="J31" s="35" t="str">
        <f aca="false">IFERROR(AVERAGEIF(응답입력!$FT$7:$FT$56,"&lt;9"),"")</f>
        <v/>
      </c>
      <c r="K31" s="42" t="s">
        <v>988</v>
      </c>
      <c r="L31" s="41" t="str">
        <f aca="false">IFERROR(AVERAGE(F31:K31),"")</f>
        <v/>
      </c>
      <c r="M31" s="27" t="n">
        <f aca="false">COUNTIF(응답입력!$FP$7:$FP$56,"&lt;9")+COUNTIF(응답입력!$FQ$7:$FQ$56,"&lt;9")+COUNTIF(응답입력!$FR$7:$FR$56,"&lt;9")+COUNTIF(응답입력!$FS$7:$FS$56,"&lt;9")+COUNTIF(응답입력!$FT$7:$FT$56,"&lt;9")</f>
        <v>0</v>
      </c>
      <c r="N31" s="27" t="str">
        <f aca="false">IF(L31="","",INDEX($F$4:$K$4,MATCH(MIN(F31:K31),F31:K31,0)))</f>
        <v/>
      </c>
    </row>
    <row r="32" customFormat="false" ht="15" hidden="false" customHeight="false" outlineLevel="0" collapsed="false">
      <c r="A32" s="4" t="s">
        <v>453</v>
      </c>
      <c r="B32" s="4" t="s">
        <v>855</v>
      </c>
      <c r="C32" s="6" t="s">
        <v>797</v>
      </c>
      <c r="D32" s="15" t="s">
        <v>659</v>
      </c>
      <c r="E32" s="6" t="s">
        <v>1070</v>
      </c>
      <c r="F32" s="35" t="str">
        <f aca="false">IFERROR(AVERAGEIF(응답입력!$FU$7:$FU$56,"&lt;9"),"")</f>
        <v/>
      </c>
      <c r="G32" s="35" t="str">
        <f aca="false">IFERROR(AVERAGEIF(응답입력!$FV$7:$FV$56,"&lt;9"),"")</f>
        <v/>
      </c>
      <c r="H32" s="35" t="str">
        <f aca="false">IFERROR(AVERAGEIF(응답입력!$FW$7:$FW$56,"&lt;9"),"")</f>
        <v/>
      </c>
      <c r="I32" s="35" t="str">
        <f aca="false">IFERROR(AVERAGEIF(응답입력!$FX$7:$FX$56,"&lt;9"),"")</f>
        <v/>
      </c>
      <c r="J32" s="35" t="str">
        <f aca="false">IFERROR(AVERAGEIF(응답입력!$FY$7:$FY$56,"&lt;9"),"")</f>
        <v/>
      </c>
      <c r="K32" s="42" t="s">
        <v>988</v>
      </c>
      <c r="L32" s="41" t="str">
        <f aca="false">IFERROR(AVERAGE(F32:K32),"")</f>
        <v/>
      </c>
      <c r="M32" s="27" t="n">
        <f aca="false">COUNTIF(응답입력!$FU$7:$FU$56,"&lt;9")+COUNTIF(응답입력!$FV$7:$FV$56,"&lt;9")+COUNTIF(응답입력!$FW$7:$FW$56,"&lt;9")+COUNTIF(응답입력!$FX$7:$FX$56,"&lt;9")+COUNTIF(응답입력!$FY$7:$FY$56,"&lt;9")</f>
        <v>0</v>
      </c>
      <c r="N32" s="27" t="str">
        <f aca="false">IF(L32="","",INDEX($F$4:$K$4,MATCH(MIN(F32:K32),F32:K32,0)))</f>
        <v/>
      </c>
    </row>
    <row r="33" customFormat="false" ht="15" hidden="false" customHeight="false" outlineLevel="0" collapsed="false">
      <c r="A33" s="4" t="s">
        <v>462</v>
      </c>
      <c r="B33" s="4" t="s">
        <v>856</v>
      </c>
      <c r="C33" s="6" t="s">
        <v>797</v>
      </c>
      <c r="D33" s="15" t="s">
        <v>714</v>
      </c>
      <c r="E33" s="6" t="s">
        <v>1072</v>
      </c>
      <c r="F33" s="35" t="str">
        <f aca="false">IFERROR(AVERAGEIF(응답입력!$FZ$7:$FZ$56,"&lt;9"),"")</f>
        <v/>
      </c>
      <c r="G33" s="35" t="str">
        <f aca="false">IFERROR(AVERAGEIF(응답입력!$GA$7:$GA$56,"&lt;9"),"")</f>
        <v/>
      </c>
      <c r="H33" s="35" t="str">
        <f aca="false">IFERROR(AVERAGEIF(응답입력!$GB$7:$GB$56,"&lt;9"),"")</f>
        <v/>
      </c>
      <c r="I33" s="35" t="str">
        <f aca="false">IFERROR(AVERAGEIF(응답입력!$GC$7:$GC$56,"&lt;9"),"")</f>
        <v/>
      </c>
      <c r="J33" s="35" t="str">
        <f aca="false">IFERROR(AVERAGEIF(응답입력!$GD$7:$GD$56,"&lt;9"),"")</f>
        <v/>
      </c>
      <c r="K33" s="42" t="s">
        <v>988</v>
      </c>
      <c r="L33" s="41" t="str">
        <f aca="false">IFERROR(AVERAGE(F33:K33),"")</f>
        <v/>
      </c>
      <c r="M33" s="27" t="n">
        <f aca="false">COUNTIF(응답입력!$FZ$7:$FZ$56,"&lt;9")+COUNTIF(응답입력!$GA$7:$GA$56,"&lt;9")+COUNTIF(응답입력!$GB$7:$GB$56,"&lt;9")+COUNTIF(응답입력!$GC$7:$GC$56,"&lt;9")+COUNTIF(응답입력!$GD$7:$GD$56,"&lt;9")</f>
        <v>0</v>
      </c>
      <c r="N33" s="27" t="str">
        <f aca="false">IF(L33="","",INDEX($F$4:$K$4,MATCH(MIN(F33:K33),F33:K33,0)))</f>
        <v/>
      </c>
    </row>
    <row r="34" customFormat="false" ht="15" hidden="false" customHeight="false" outlineLevel="0" collapsed="false">
      <c r="A34" s="4" t="s">
        <v>815</v>
      </c>
      <c r="B34" s="4" t="s">
        <v>857</v>
      </c>
      <c r="C34" s="6" t="s">
        <v>797</v>
      </c>
      <c r="D34" s="15" t="s">
        <v>659</v>
      </c>
      <c r="E34" s="6" t="s">
        <v>927</v>
      </c>
      <c r="F34" s="35" t="str">
        <f aca="false">IFERROR(AVERAGEIF(응답입력!$GE$7:$GE$56,"&lt;9"),"")</f>
        <v/>
      </c>
      <c r="G34" s="35" t="str">
        <f aca="false">IFERROR(AVERAGEIF(응답입력!$GF$7:$GF$56,"&lt;9"),"")</f>
        <v/>
      </c>
      <c r="H34" s="35" t="str">
        <f aca="false">IFERROR(AVERAGEIF(응답입력!$GG$7:$GG$56,"&lt;9"),"")</f>
        <v/>
      </c>
      <c r="I34" s="35" t="str">
        <f aca="false">IFERROR(AVERAGEIF(응답입력!$GH$7:$GH$56,"&lt;9"),"")</f>
        <v/>
      </c>
      <c r="J34" s="35" t="str">
        <f aca="false">IFERROR(AVERAGEIF(응답입력!$GI$7:$GI$56,"&lt;9"),"")</f>
        <v/>
      </c>
      <c r="K34" s="42" t="s">
        <v>988</v>
      </c>
      <c r="L34" s="41" t="str">
        <f aca="false">IFERROR(AVERAGE(F34:K34),"")</f>
        <v/>
      </c>
      <c r="M34" s="27" t="n">
        <f aca="false">COUNTIF(응답입력!$GE$7:$GE$56,"&lt;9")+COUNTIF(응답입력!$GF$7:$GF$56,"&lt;9")+COUNTIF(응답입력!$GG$7:$GG$56,"&lt;9")+COUNTIF(응답입력!$GH$7:$GH$56,"&lt;9")+COUNTIF(응답입력!$GI$7:$GI$56,"&lt;9")</f>
        <v>0</v>
      </c>
      <c r="N34" s="27" t="str">
        <f aca="false">IF(L34="","",INDEX($F$4:$K$4,MATCH(MIN(F34:K34),F34:K34,0)))</f>
        <v/>
      </c>
    </row>
    <row r="35" customFormat="false" ht="15" hidden="false" customHeight="false" outlineLevel="0" collapsed="false">
      <c r="A35" s="4" t="s">
        <v>457</v>
      </c>
      <c r="B35" s="4" t="s">
        <v>858</v>
      </c>
      <c r="C35" s="6" t="s">
        <v>797</v>
      </c>
      <c r="D35" s="15" t="s">
        <v>659</v>
      </c>
      <c r="E35" s="6" t="s">
        <v>927</v>
      </c>
      <c r="F35" s="35" t="str">
        <f aca="false">IFERROR(AVERAGEIF(응답입력!$GJ$7:$GJ$56,"&lt;9"),"")</f>
        <v/>
      </c>
      <c r="G35" s="35" t="str">
        <f aca="false">IFERROR(AVERAGEIF(응답입력!$GK$7:$GK$56,"&lt;9"),"")</f>
        <v/>
      </c>
      <c r="H35" s="35" t="str">
        <f aca="false">IFERROR(AVERAGEIF(응답입력!$GL$7:$GL$56,"&lt;9"),"")</f>
        <v/>
      </c>
      <c r="I35" s="35" t="str">
        <f aca="false">IFERROR(AVERAGEIF(응답입력!$GM$7:$GM$56,"&lt;9"),"")</f>
        <v/>
      </c>
      <c r="J35" s="35" t="str">
        <f aca="false">IFERROR(AVERAGEIF(응답입력!$GN$7:$GN$56,"&lt;9"),"")</f>
        <v/>
      </c>
      <c r="K35" s="42" t="s">
        <v>988</v>
      </c>
      <c r="L35" s="41" t="str">
        <f aca="false">IFERROR(AVERAGE(F35:K35),"")</f>
        <v/>
      </c>
      <c r="M35" s="27" t="n">
        <f aca="false">COUNTIF(응답입력!$GJ$7:$GJ$56,"&lt;9")+COUNTIF(응답입력!$GK$7:$GK$56,"&lt;9")+COUNTIF(응답입력!$GL$7:$GL$56,"&lt;9")+COUNTIF(응답입력!$GM$7:$GM$56,"&lt;9")+COUNTIF(응답입력!$GN$7:$GN$56,"&lt;9")</f>
        <v>0</v>
      </c>
      <c r="N35" s="27" t="str">
        <f aca="false">IF(L35="","",INDEX($F$4:$K$4,MATCH(MIN(F35:K35),F35:K35,0)))</f>
        <v/>
      </c>
    </row>
    <row r="37" customFormat="false" ht="26.85" hidden="false" customHeight="false" outlineLevel="0" collapsed="false">
      <c r="A37" s="10" t="s">
        <v>1817</v>
      </c>
    </row>
    <row r="38" customFormat="false" ht="15" hidden="false" customHeight="false" outlineLevel="0" collapsed="false">
      <c r="B38" s="6" t="s">
        <v>75</v>
      </c>
      <c r="C38" s="41" t="str">
        <f aca="false">IFERROR(AVERAGE(F5:F35),"")</f>
        <v/>
      </c>
    </row>
    <row r="39" customFormat="false" ht="15" hidden="false" customHeight="false" outlineLevel="0" collapsed="false">
      <c r="B39" s="6" t="s">
        <v>81</v>
      </c>
      <c r="C39" s="41" t="str">
        <f aca="false">IFERROR(AVERAGE(G5:G35),"")</f>
        <v/>
      </c>
    </row>
    <row r="40" customFormat="false" ht="15" hidden="false" customHeight="false" outlineLevel="0" collapsed="false">
      <c r="B40" s="6" t="s">
        <v>85</v>
      </c>
      <c r="C40" s="41" t="str">
        <f aca="false">IFERROR(AVERAGE(H5:H35),"")</f>
        <v/>
      </c>
    </row>
    <row r="41" customFormat="false" ht="15" hidden="false" customHeight="false" outlineLevel="0" collapsed="false">
      <c r="B41" s="6" t="s">
        <v>90</v>
      </c>
      <c r="C41" s="41" t="str">
        <f aca="false">IFERROR(AVERAGE(I5:I35),"")</f>
        <v/>
      </c>
    </row>
    <row r="42" customFormat="false" ht="15" hidden="false" customHeight="false" outlineLevel="0" collapsed="false">
      <c r="B42" s="6" t="s">
        <v>95</v>
      </c>
      <c r="C42" s="41" t="str">
        <f aca="false">IFERROR(AVERAGE(J5:J35),"")</f>
        <v/>
      </c>
    </row>
    <row r="43" customFormat="false" ht="15" hidden="false" customHeight="false" outlineLevel="0" collapsed="false">
      <c r="B43" s="6" t="s">
        <v>100</v>
      </c>
      <c r="C43" s="41" t="str">
        <f aca="false">IFERROR(AVERAGE(K5:K35),"")</f>
        <v/>
      </c>
    </row>
    <row r="45" customFormat="false" ht="26.85" hidden="false" customHeight="false" outlineLevel="0" collapsed="false">
      <c r="A45" s="10" t="s">
        <v>1818</v>
      </c>
    </row>
    <row r="46" customFormat="false" ht="15" hidden="false" customHeight="false" outlineLevel="0" collapsed="false">
      <c r="B46" s="6" t="s">
        <v>654</v>
      </c>
      <c r="C46" s="41" t="str">
        <f aca="false">IFERROR(AVERAGEIF($C$5:$C$35,B46,$L$5:$L$35),"")</f>
        <v/>
      </c>
    </row>
    <row r="47" customFormat="false" ht="15" hidden="false" customHeight="false" outlineLevel="0" collapsed="false">
      <c r="B47" s="6" t="s">
        <v>685</v>
      </c>
      <c r="C47" s="41" t="str">
        <f aca="false">IFERROR(AVERAGEIF($C$5:$C$35,B47,$L$5:$L$35),"")</f>
        <v/>
      </c>
    </row>
    <row r="48" customFormat="false" ht="15" hidden="false" customHeight="false" outlineLevel="0" collapsed="false">
      <c r="B48" s="6" t="s">
        <v>720</v>
      </c>
      <c r="C48" s="41" t="str">
        <f aca="false">IFERROR(AVERAGEIF($C$5:$C$35,B48,$L$5:$L$35),"")</f>
        <v/>
      </c>
    </row>
    <row r="49" customFormat="false" ht="15" hidden="false" customHeight="false" outlineLevel="0" collapsed="false">
      <c r="B49" s="6" t="s">
        <v>759</v>
      </c>
      <c r="C49" s="41" t="str">
        <f aca="false">IFERROR(AVERAGEIF($C$5:$C$35,B49,$L$5:$L$35),"")</f>
        <v/>
      </c>
    </row>
    <row r="50" customFormat="false" ht="15" hidden="false" customHeight="false" outlineLevel="0" collapsed="false">
      <c r="B50" s="6" t="s">
        <v>797</v>
      </c>
      <c r="C50" s="41" t="str">
        <f aca="false">IFERROR(AVERAGEIF($C$5:$C$35,B50,$L$5:$L$35),"")</f>
        <v/>
      </c>
    </row>
    <row r="52" customFormat="false" ht="39.55" hidden="false" customHeight="false" outlineLevel="0" collapsed="false">
      <c r="A52" s="10" t="s">
        <v>1819</v>
      </c>
    </row>
    <row r="53" customFormat="false" ht="15" hidden="false" customHeight="false" outlineLevel="0" collapsed="false">
      <c r="B53" s="4" t="s">
        <v>659</v>
      </c>
      <c r="C53" s="41" t="str">
        <f aca="false">IFERROR(AVERAGEIF($D$5:$D$35,B53,$L$5:$L$35),"")</f>
        <v/>
      </c>
    </row>
    <row r="54" customFormat="false" ht="15" hidden="false" customHeight="false" outlineLevel="0" collapsed="false">
      <c r="B54" s="4" t="s">
        <v>707</v>
      </c>
      <c r="C54" s="41" t="str">
        <f aca="false">IFERROR(AVERAGEIF($D$5:$D$35,B54,$L$5:$L$35),"")</f>
        <v/>
      </c>
    </row>
    <row r="55" customFormat="false" ht="15" hidden="false" customHeight="false" outlineLevel="0" collapsed="false">
      <c r="B55" s="4" t="s">
        <v>714</v>
      </c>
      <c r="C55" s="41" t="str">
        <f aca="false">IFERROR(AVERAGEIF($D$5:$D$35,B55,$L$5:$L$35),"")</f>
        <v/>
      </c>
    </row>
    <row r="57" customFormat="false" ht="39.55" hidden="false" customHeight="false" outlineLevel="0" collapsed="false">
      <c r="A57" s="10" t="s">
        <v>1820</v>
      </c>
    </row>
    <row r="58" customFormat="false" ht="15" hidden="false" customHeight="false" outlineLevel="0" collapsed="false">
      <c r="B58" s="6" t="s">
        <v>1070</v>
      </c>
      <c r="C58" s="41" t="str">
        <f aca="false">IFERROR(AVERAGEIF($E$5:$E$35,B58,$L$5:$L$35),"")</f>
        <v/>
      </c>
    </row>
    <row r="59" customFormat="false" ht="15" hidden="false" customHeight="false" outlineLevel="0" collapsed="false">
      <c r="B59" s="6" t="s">
        <v>876</v>
      </c>
      <c r="C59" s="41" t="str">
        <f aca="false">IFERROR(AVERAGEIF($E$5:$E$35,B59,$L$5:$L$35),"")</f>
        <v/>
      </c>
    </row>
    <row r="60" customFormat="false" ht="15" hidden="false" customHeight="false" outlineLevel="0" collapsed="false">
      <c r="B60" s="6" t="s">
        <v>1072</v>
      </c>
      <c r="C60" s="41" t="str">
        <f aca="false">IFERROR(AVERAGEIF($E$5:$E$35,B60,$L$5:$L$35),"")</f>
        <v/>
      </c>
    </row>
    <row r="61" customFormat="false" ht="15" hidden="false" customHeight="false" outlineLevel="0" collapsed="false">
      <c r="B61" s="6" t="s">
        <v>1073</v>
      </c>
      <c r="C61" s="41" t="str">
        <f aca="false">IFERROR(AVERAGEIF($E$5:$E$35,B61,$L$5:$L$35),"")</f>
        <v/>
      </c>
    </row>
    <row r="62" customFormat="false" ht="15" hidden="false" customHeight="false" outlineLevel="0" collapsed="false">
      <c r="B62" s="6" t="s">
        <v>898</v>
      </c>
      <c r="C62" s="41" t="str">
        <f aca="false">IFERROR(AVERAGEIF($E$5:$E$35,B62,$L$5:$L$35),"")</f>
        <v/>
      </c>
    </row>
    <row r="63" customFormat="false" ht="15" hidden="false" customHeight="false" outlineLevel="0" collapsed="false">
      <c r="B63" s="6" t="s">
        <v>1074</v>
      </c>
      <c r="C63" s="41" t="str">
        <f aca="false">IFERROR(AVERAGEIF($E$5:$E$35,B63,$L$5:$L$35),"")</f>
        <v/>
      </c>
    </row>
    <row r="64" customFormat="false" ht="15" hidden="false" customHeight="false" outlineLevel="0" collapsed="false">
      <c r="B64" s="6" t="s">
        <v>914</v>
      </c>
      <c r="C64" s="41" t="str">
        <f aca="false">IFERROR(AVERAGEIF($E$5:$E$35,B64,$L$5:$L$35),"")</f>
        <v/>
      </c>
    </row>
    <row r="65" customFormat="false" ht="15" hidden="false" customHeight="false" outlineLevel="0" collapsed="false">
      <c r="B65" s="6" t="s">
        <v>922</v>
      </c>
      <c r="C65" s="41" t="str">
        <f aca="false">IFERROR(AVERAGEIF($E$5:$E$35,B65,$L$5:$L$35),"")</f>
        <v/>
      </c>
    </row>
    <row r="66" customFormat="false" ht="15" hidden="false" customHeight="false" outlineLevel="0" collapsed="false">
      <c r="B66" s="6" t="s">
        <v>927</v>
      </c>
      <c r="C66" s="41" t="str">
        <f aca="false">IFERROR(AVERAGEIF($E$5:$E$35,B66,$L$5:$L$35),"")</f>
        <v/>
      </c>
    </row>
    <row r="67" customFormat="false" ht="15" hidden="false" customHeight="false" outlineLevel="0" collapsed="false">
      <c r="B67" s="6" t="s">
        <v>940</v>
      </c>
      <c r="C67" s="41" t="str">
        <f aca="false">IFERROR(AVERAGEIF($E$5:$E$35,B67,$L$5:$L$35),"")</f>
        <v/>
      </c>
    </row>
    <row r="69" customFormat="false" ht="15" hidden="false" customHeight="false" outlineLevel="0" collapsed="false">
      <c r="B69" s="10" t="s">
        <v>1821</v>
      </c>
      <c r="C69" s="41" t="str">
        <f aca="false">IFERROR(AVERAGE(L5:L35),"")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3" min="3" style="0" width="80"/>
    <col collapsed="false" customWidth="true" hidden="false" outlineLevel="0" max="7" min="4" style="0" width="14"/>
  </cols>
  <sheetData>
    <row r="1" customFormat="false" ht="19.4" hidden="false" customHeight="false" outlineLevel="0" collapsed="false">
      <c r="A1" s="7" t="s">
        <v>1822</v>
      </c>
    </row>
    <row r="2" customFormat="false" ht="15" hidden="false" customHeight="false" outlineLevel="0" collapsed="false">
      <c r="A2" s="2" t="s">
        <v>1823</v>
      </c>
    </row>
    <row r="3" customFormat="false" ht="15" hidden="false" customHeight="false" outlineLevel="0" collapsed="false">
      <c r="A3" s="9" t="s">
        <v>1824</v>
      </c>
      <c r="B3" s="9" t="s">
        <v>1825</v>
      </c>
      <c r="C3" s="9" t="s">
        <v>1826</v>
      </c>
    </row>
    <row r="4" customFormat="false" ht="15" hidden="false" customHeight="false" outlineLevel="0" collapsed="false">
      <c r="A4" s="6" t="s">
        <v>1827</v>
      </c>
      <c r="B4" s="20" t="n">
        <v>0.78</v>
      </c>
      <c r="C4" s="6" t="s">
        <v>1828</v>
      </c>
    </row>
    <row r="5" customFormat="false" ht="15" hidden="false" customHeight="false" outlineLevel="0" collapsed="false">
      <c r="A5" s="4" t="s">
        <v>1829</v>
      </c>
      <c r="B5" s="20" t="n">
        <v>0.8</v>
      </c>
      <c r="C5" s="6" t="s">
        <v>1830</v>
      </c>
    </row>
    <row r="6" customFormat="false" ht="15" hidden="false" customHeight="false" outlineLevel="0" collapsed="false">
      <c r="A6" s="4" t="s">
        <v>1831</v>
      </c>
      <c r="B6" s="20" t="n">
        <v>0.2</v>
      </c>
      <c r="C6" s="4" t="s">
        <v>1832</v>
      </c>
    </row>
    <row r="7" customFormat="false" ht="15" hidden="false" customHeight="false" outlineLevel="0" collapsed="false">
      <c r="A7" s="4" t="s">
        <v>1833</v>
      </c>
      <c r="B7" s="20" t="n">
        <v>0.7</v>
      </c>
      <c r="C7" s="6" t="s">
        <v>1834</v>
      </c>
    </row>
    <row r="8" customFormat="false" ht="15" hidden="false" customHeight="false" outlineLevel="0" collapsed="false">
      <c r="A8" s="6" t="s">
        <v>1835</v>
      </c>
      <c r="B8" s="20" t="n">
        <v>0.3</v>
      </c>
      <c r="C8" s="6" t="s">
        <v>1836</v>
      </c>
    </row>
    <row r="9" customFormat="false" ht="15" hidden="false" customHeight="false" outlineLevel="0" collapsed="false">
      <c r="A9" s="6" t="s">
        <v>1837</v>
      </c>
      <c r="B9" s="20" t="n">
        <v>0.85</v>
      </c>
      <c r="C9" s="4" t="s">
        <v>1838</v>
      </c>
    </row>
    <row r="11" customFormat="false" ht="15" hidden="false" customHeight="false" outlineLevel="0" collapsed="false">
      <c r="A11" s="9" t="s">
        <v>1839</v>
      </c>
      <c r="B11" s="9" t="s">
        <v>1840</v>
      </c>
      <c r="C11" s="9" t="s">
        <v>1841</v>
      </c>
      <c r="D11" s="9" t="s">
        <v>1842</v>
      </c>
    </row>
    <row r="12" customFormat="false" ht="15" hidden="false" customHeight="false" outlineLevel="0" collapsed="false">
      <c r="A12" s="6" t="s">
        <v>1843</v>
      </c>
      <c r="B12" s="27" t="n">
        <f aca="false">COUNTA(문항!A5:A183)</f>
        <v>179</v>
      </c>
      <c r="C12" s="43" t="n">
        <v>179</v>
      </c>
      <c r="D12" s="23" t="str">
        <f aca="false">IF(B12=C12,"OK","확인")</f>
        <v>OK</v>
      </c>
    </row>
    <row r="13" customFormat="false" ht="15" hidden="false" customHeight="false" outlineLevel="0" collapsed="false">
      <c r="A13" s="6" t="s">
        <v>1844</v>
      </c>
      <c r="B13" s="27" t="n">
        <f aca="false">COUNTIF(문항!B5:B183,"C 연결")</f>
        <v>163</v>
      </c>
      <c r="C13" s="43" t="n">
        <v>163</v>
      </c>
      <c r="D13" s="23" t="str">
        <f aca="false">IF(B13=C13,"OK","확인")</f>
        <v>OK</v>
      </c>
    </row>
    <row r="14" customFormat="false" ht="15" hidden="false" customHeight="false" outlineLevel="0" collapsed="false">
      <c r="A14" s="6" t="s">
        <v>1845</v>
      </c>
      <c r="B14" s="27" t="n">
        <f aca="false">COUNTIF(문항!G5:G183,"정합성")</f>
        <v>31</v>
      </c>
      <c r="C14" s="43" t="n">
        <v>31</v>
      </c>
      <c r="D14" s="23" t="str">
        <f aca="false">IF(B14=C14,"OK","확인")</f>
        <v>OK</v>
      </c>
    </row>
    <row r="15" customFormat="false" ht="15" hidden="false" customHeight="false" outlineLevel="0" collapsed="false">
      <c r="A15" s="6" t="s">
        <v>1846</v>
      </c>
      <c r="B15" s="27" t="n">
        <f aca="false">COUNTIF(문항!G5:G183,"추적성")</f>
        <v>31</v>
      </c>
      <c r="C15" s="43" t="n">
        <v>31</v>
      </c>
      <c r="D15" s="23" t="str">
        <f aca="false">IF(B15=C15,"OK","확인")</f>
        <v>OK</v>
      </c>
    </row>
    <row r="16" customFormat="false" ht="15" hidden="false" customHeight="false" outlineLevel="0" collapsed="false">
      <c r="A16" s="6" t="s">
        <v>1847</v>
      </c>
      <c r="B16" s="27" t="n">
        <f aca="false">COUNTIF(문항!G5:G183,"증빙성")</f>
        <v>31</v>
      </c>
      <c r="C16" s="43" t="n">
        <v>31</v>
      </c>
      <c r="D16" s="23" t="str">
        <f aca="false">IF(B16=C16,"OK","확인")</f>
        <v>OK</v>
      </c>
    </row>
    <row r="17" customFormat="false" ht="15" hidden="false" customHeight="false" outlineLevel="0" collapsed="false">
      <c r="A17" s="6" t="s">
        <v>1848</v>
      </c>
      <c r="B17" s="27" t="n">
        <f aca="false">COUNTIF(문항!G5:G183,"책임성")</f>
        <v>31</v>
      </c>
      <c r="C17" s="43" t="n">
        <v>31</v>
      </c>
      <c r="D17" s="23" t="str">
        <f aca="false">IF(B17=C17,"OK","확인")</f>
        <v>OK</v>
      </c>
    </row>
    <row r="18" customFormat="false" ht="15" hidden="false" customHeight="false" outlineLevel="0" collapsed="false">
      <c r="A18" s="6" t="s">
        <v>1849</v>
      </c>
      <c r="B18" s="27" t="n">
        <f aca="false">COUNTIF(문항!G5:G183,"최신성")</f>
        <v>31</v>
      </c>
      <c r="C18" s="43" t="n">
        <v>31</v>
      </c>
      <c r="D18" s="23" t="str">
        <f aca="false">IF(B18=C18,"OK","확인")</f>
        <v>OK</v>
      </c>
    </row>
    <row r="19" customFormat="false" ht="15" hidden="false" customHeight="false" outlineLevel="0" collapsed="false">
      <c r="A19" s="6" t="s">
        <v>1850</v>
      </c>
      <c r="B19" s="27" t="n">
        <f aca="false">COUNTIF(문항!G5:G183,"환류폐쇄성")</f>
        <v>8</v>
      </c>
      <c r="C19" s="43" t="n">
        <v>8</v>
      </c>
      <c r="D19" s="23" t="str">
        <f aca="false">IF(B19=C19,"OK","확인")</f>
        <v>OK</v>
      </c>
    </row>
    <row r="20" customFormat="false" ht="15" hidden="false" customHeight="false" outlineLevel="0" collapsed="false">
      <c r="A20" s="6" t="s">
        <v>1851</v>
      </c>
      <c r="B20" s="27" t="n">
        <f aca="false">COUNTIF(연결!U5:U35,"OK")</f>
        <v>31</v>
      </c>
      <c r="C20" s="43" t="n">
        <v>31</v>
      </c>
      <c r="D20" s="23" t="str">
        <f aca="false">IF(B20=C20,"OK","확인")</f>
        <v>OK</v>
      </c>
    </row>
    <row r="21" customFormat="false" ht="15" hidden="false" customHeight="false" outlineLevel="0" collapsed="false">
      <c r="A21" s="6" t="s">
        <v>1852</v>
      </c>
      <c r="B21" s="27" t="n">
        <f aca="false">적용매트릭스!H36</f>
        <v>163</v>
      </c>
      <c r="C21" s="43" t="n">
        <v>163</v>
      </c>
      <c r="D21" s="23" t="str">
        <f aca="false">IF(B21=C21,"OK","확인")</f>
        <v>OK</v>
      </c>
    </row>
    <row r="22" customFormat="false" ht="15" hidden="false" customHeight="false" outlineLevel="0" collapsed="false">
      <c r="A22" s="6" t="s">
        <v>1853</v>
      </c>
      <c r="B22" s="27" t="n">
        <f aca="false">COUNTIF(연결!H5:H35,"E1")</f>
        <v>26</v>
      </c>
      <c r="C22" s="43" t="n">
        <v>26</v>
      </c>
      <c r="D22" s="23" t="str">
        <f aca="false">IF(B22=C22,"OK","확인")</f>
        <v>OK</v>
      </c>
    </row>
    <row r="23" customFormat="false" ht="15" hidden="false" customHeight="false" outlineLevel="0" collapsed="false">
      <c r="A23" s="6" t="s">
        <v>1854</v>
      </c>
      <c r="B23" s="27" t="n">
        <f aca="false">COUNTIF(연결!H5:H35,"E2")</f>
        <v>2</v>
      </c>
      <c r="C23" s="43" t="n">
        <v>2</v>
      </c>
      <c r="D23" s="23" t="str">
        <f aca="false">IF(B23=C23,"OK","확인")</f>
        <v>OK</v>
      </c>
    </row>
    <row r="24" customFormat="false" ht="15" hidden="false" customHeight="false" outlineLevel="0" collapsed="false">
      <c r="A24" s="6" t="s">
        <v>1855</v>
      </c>
      <c r="B24" s="27" t="n">
        <f aca="false">COUNTIF(연결!H5:H35,"E3")</f>
        <v>3</v>
      </c>
      <c r="C24" s="43" t="n">
        <v>3</v>
      </c>
      <c r="D24" s="23" t="str">
        <f aca="false">IF(B24=C24,"OK","확인")</f>
        <v>OK</v>
      </c>
    </row>
    <row r="25" customFormat="false" ht="15" hidden="false" customHeight="false" outlineLevel="0" collapsed="false">
      <c r="A25" s="6" t="s">
        <v>1856</v>
      </c>
      <c r="B25" s="27" t="n">
        <f aca="false">COUNTIF(연결!J5:J35,"Y")</f>
        <v>8</v>
      </c>
      <c r="C25" s="43" t="n">
        <v>8</v>
      </c>
      <c r="D25" s="23" t="str">
        <f aca="false">IF(B25=C25,"OK","확인")</f>
        <v>OK</v>
      </c>
    </row>
    <row r="26" customFormat="false" ht="15" hidden="false" customHeight="false" outlineLevel="0" collapsed="false">
      <c r="A26" s="6" t="s">
        <v>1857</v>
      </c>
      <c r="B26" s="27" t="n">
        <f aca="false">COUNTIF(연결!I5:I35,"집단")</f>
        <v>2</v>
      </c>
      <c r="C26" s="43" t="n">
        <v>2</v>
      </c>
      <c r="D26" s="23" t="str">
        <f aca="false">IF(B26=C26,"OK","확인")</f>
        <v>OK</v>
      </c>
    </row>
    <row r="27" customFormat="false" ht="15" hidden="false" customHeight="false" outlineLevel="0" collapsed="false">
      <c r="A27" s="6" t="s">
        <v>1858</v>
      </c>
      <c r="B27" s="27" t="n">
        <f aca="false">COUNTIF(관계동사!J5:J15,"&gt;0")</f>
        <v>10</v>
      </c>
      <c r="C27" s="43" t="n">
        <v>10</v>
      </c>
      <c r="D27" s="23" t="str">
        <f aca="false">IF(B27=C27,"OK","확인")</f>
        <v>OK</v>
      </c>
    </row>
    <row r="28" customFormat="false" ht="15" hidden="false" customHeight="false" outlineLevel="0" collapsed="false">
      <c r="A28" s="6" t="s">
        <v>1859</v>
      </c>
      <c r="B28" s="27" t="n">
        <f aca="false">COUNTA(객체!A5:A26)</f>
        <v>22</v>
      </c>
      <c r="C28" s="43" t="n">
        <v>22</v>
      </c>
      <c r="D28" s="23" t="str">
        <f aca="false">IF(B28=C28,"OK","확인")</f>
        <v>OK</v>
      </c>
    </row>
    <row r="29" customFormat="false" ht="15" hidden="false" customHeight="false" outlineLevel="0" collapsed="false">
      <c r="A29" s="6" t="s">
        <v>1860</v>
      </c>
      <c r="B29" s="27" t="n">
        <f aca="false">COUNTA(인용근거!A5:A76)</f>
        <v>72</v>
      </c>
      <c r="C29" s="43" t="n">
        <v>72</v>
      </c>
      <c r="D29" s="23" t="str">
        <f aca="false">IF(B29=C29,"OK","확인")</f>
        <v>OK</v>
      </c>
    </row>
    <row r="30" customFormat="false" ht="15" hidden="false" customHeight="false" outlineLevel="0" collapsed="false">
      <c r="A30" s="6" t="s">
        <v>1861</v>
      </c>
      <c r="B30" s="27" t="n">
        <f aca="false">COUNTIF(인용근거!H5:H76,"일치*")</f>
        <v>72</v>
      </c>
      <c r="C30" s="43" t="n">
        <v>72</v>
      </c>
      <c r="D30" s="23" t="str">
        <f aca="false">IF(B30=C30,"OK","확인")</f>
        <v>OK</v>
      </c>
    </row>
    <row r="31" customFormat="false" ht="15" hidden="false" customHeight="false" outlineLevel="0" collapsed="false">
      <c r="A31" s="6" t="s">
        <v>1862</v>
      </c>
      <c r="B31" s="27" t="n">
        <f aca="false">COUNTA(학술근거!A5:A16)</f>
        <v>12</v>
      </c>
      <c r="C31" s="43" t="n">
        <v>12</v>
      </c>
      <c r="D31" s="23" t="str">
        <f aca="false">IF(B31=C31,"OK","확인")</f>
        <v>OK</v>
      </c>
    </row>
    <row r="33" customFormat="false" ht="26.85" hidden="false" customHeight="false" outlineLevel="0" collapsed="false">
      <c r="A33" s="5" t="s">
        <v>1863</v>
      </c>
    </row>
    <row r="34" customFormat="false" ht="15" hidden="false" customHeight="false" outlineLevel="0" collapsed="false">
      <c r="A34" s="6" t="s">
        <v>1864</v>
      </c>
      <c r="B34" s="27" t="n">
        <f aca="false">COUNTIF(학술근거!L5:L16,"Y")</f>
        <v>0</v>
      </c>
    </row>
    <row r="35" customFormat="false" ht="15" hidden="false" customHeight="false" outlineLevel="0" collapsed="false">
      <c r="A35" s="6" t="s">
        <v>1865</v>
      </c>
      <c r="B35" s="27" t="n">
        <f aca="false">12-B34</f>
        <v>12</v>
      </c>
      <c r="C35" s="6" t="s">
        <v>1866</v>
      </c>
    </row>
    <row r="37" customFormat="false" ht="15" hidden="false" customHeight="false" outlineLevel="0" collapsed="false">
      <c r="A37" s="5" t="s">
        <v>1867</v>
      </c>
    </row>
    <row r="38" customFormat="false" ht="15" hidden="false" customHeight="false" outlineLevel="0" collapsed="false">
      <c r="A38" s="6" t="s">
        <v>1868</v>
      </c>
      <c r="B38" s="27" t="n">
        <f aca="false">COUNTIF(문항!T5:T183,"채택")</f>
        <v>0</v>
      </c>
    </row>
    <row r="39" customFormat="false" ht="15" hidden="false" customHeight="false" outlineLevel="0" collapsed="false">
      <c r="A39" s="6" t="s">
        <v>1869</v>
      </c>
      <c r="B39" s="27" t="n">
        <f aca="false">COUNTIF(문항!T5:T183,"수정·토론")</f>
        <v>0</v>
      </c>
    </row>
    <row r="40" customFormat="false" ht="15" hidden="false" customHeight="false" outlineLevel="0" collapsed="false">
      <c r="A40" s="6" t="s">
        <v>1870</v>
      </c>
      <c r="B40" s="27" t="n">
        <f aca="false">179-B38-B39</f>
        <v>179</v>
      </c>
    </row>
    <row r="42" customFormat="false" ht="15" hidden="false" customHeight="false" outlineLevel="0" collapsed="false">
      <c r="A42" s="9" t="s">
        <v>1871</v>
      </c>
      <c r="B42" s="9" t="s">
        <v>1825</v>
      </c>
      <c r="C42" s="9" t="s">
        <v>1872</v>
      </c>
      <c r="D42" s="9" t="s">
        <v>1842</v>
      </c>
    </row>
    <row r="43" customFormat="false" ht="15" hidden="false" customHeight="false" outlineLevel="0" collapsed="false">
      <c r="A43" s="6" t="s">
        <v>1873</v>
      </c>
      <c r="B43" s="35" t="str">
        <f aca="false">IFERROR(CORREL(응답입력!$GO$7:$GO$56,응답입력!$GV$7:$GV$56),"자료 부족")</f>
        <v>자료 부족</v>
      </c>
      <c r="C43" s="6" t="s">
        <v>1874</v>
      </c>
      <c r="D43" s="23" t="str">
        <f aca="false">IF(ISNUMBER(B43),IF(B43&lt;0,"OK","확인"),"")</f>
        <v/>
      </c>
    </row>
    <row r="44" customFormat="false" ht="15" hidden="false" customHeight="false" outlineLevel="0" collapsed="false">
      <c r="A44" s="6" t="s">
        <v>1875</v>
      </c>
      <c r="B44" s="35" t="str">
        <f aca="false">IFERROR(CORREL(응답입력!$GP$7:$GP$56,응답입력!$GW$7:$GW$56),"자료 부족")</f>
        <v>자료 부족</v>
      </c>
      <c r="C44" s="6" t="s">
        <v>1874</v>
      </c>
      <c r="D44" s="23" t="str">
        <f aca="false">IF(ISNUMBER(B44),IF(B44&lt;0,"OK","확인"),"")</f>
        <v/>
      </c>
    </row>
    <row r="45" customFormat="false" ht="15" hidden="false" customHeight="false" outlineLevel="0" collapsed="false">
      <c r="A45" s="6" t="s">
        <v>1876</v>
      </c>
      <c r="B45" s="35" t="str">
        <f aca="false">IFERROR(CORREL(응답입력!$GS$7:$GS$56,응답입력!$GX$7:$GX$56),"자료 부족")</f>
        <v>자료 부족</v>
      </c>
      <c r="C45" s="6" t="s">
        <v>1874</v>
      </c>
      <c r="D45" s="23" t="str">
        <f aca="false">IF(ISNUMBER(B45),IF(B45&lt;0,"OK","확인"),"")</f>
        <v/>
      </c>
    </row>
    <row r="46" customFormat="false" ht="15" hidden="false" customHeight="false" outlineLevel="0" collapsed="false">
      <c r="A46" s="6" t="s">
        <v>1877</v>
      </c>
      <c r="B46" s="35" t="str">
        <f aca="false">IFERROR(CORREL(응답입력!$GT$7:$GT$56,응답입력!$GY$7:$GY$56),"자료 부족")</f>
        <v>자료 부족</v>
      </c>
      <c r="C46" s="6" t="s">
        <v>1874</v>
      </c>
      <c r="D46" s="23" t="str">
        <f aca="false">IF(ISNUMBER(B46),IF(B46&lt;0,"OK","확인"),"")</f>
        <v/>
      </c>
    </row>
    <row r="47" customFormat="false" ht="15" hidden="false" customHeight="false" outlineLevel="0" collapsed="false">
      <c r="A47" s="6" t="s">
        <v>1878</v>
      </c>
      <c r="B47" s="35" t="str">
        <f aca="false">IFERROR(CORREL(차원점수!B6:B55,응답입력!$GO$7:$GO$56),"자료 부족")</f>
        <v>자료 부족</v>
      </c>
      <c r="C47" s="6" t="s">
        <v>1879</v>
      </c>
      <c r="D47" s="23" t="str">
        <f aca="false">IF(ISNUMBER(B47),IF(B47&gt;0,"OK","확인"),"")</f>
        <v/>
      </c>
    </row>
    <row r="48" customFormat="false" ht="15" hidden="false" customHeight="false" outlineLevel="0" collapsed="false">
      <c r="A48" s="6" t="s">
        <v>1880</v>
      </c>
      <c r="B48" s="35" t="str">
        <f aca="false">IFERROR(CORREL(차원점수!C6:C55,응답입력!$GP$7:$GP$56),"자료 부족")</f>
        <v>자료 부족</v>
      </c>
      <c r="C48" s="6" t="s">
        <v>1879</v>
      </c>
      <c r="D48" s="23" t="str">
        <f aca="false">IF(ISNUMBER(B48),IF(B48&gt;0,"OK","확인"),"")</f>
        <v/>
      </c>
    </row>
    <row r="49" customFormat="false" ht="15" hidden="false" customHeight="false" outlineLevel="0" collapsed="false">
      <c r="A49" s="6" t="s">
        <v>1881</v>
      </c>
      <c r="B49" s="35" t="str">
        <f aca="false">IFERROR(CORREL(차원점수!D6:D55,응답입력!$GQ$7:$GQ$56),"자료 부족")</f>
        <v>자료 부족</v>
      </c>
      <c r="C49" s="6" t="s">
        <v>1879</v>
      </c>
      <c r="D49" s="23" t="str">
        <f aca="false">IF(ISNUMBER(B49),IF(B49&gt;0,"OK","확인"),"")</f>
        <v/>
      </c>
    </row>
    <row r="50" customFormat="false" ht="15" hidden="false" customHeight="false" outlineLevel="0" collapsed="false">
      <c r="A50" s="6" t="s">
        <v>1882</v>
      </c>
      <c r="B50" s="35" t="str">
        <f aca="false">IFERROR(CORREL(차원점수!E6:E55,응답입력!$GR$7:$GR$56),"자료 부족")</f>
        <v>자료 부족</v>
      </c>
      <c r="C50" s="6" t="s">
        <v>1879</v>
      </c>
      <c r="D50" s="23" t="str">
        <f aca="false">IF(ISNUMBER(B50),IF(B50&gt;0,"OK","확인"),"")</f>
        <v/>
      </c>
    </row>
    <row r="51" customFormat="false" ht="15" hidden="false" customHeight="false" outlineLevel="0" collapsed="false">
      <c r="A51" s="6" t="s">
        <v>1883</v>
      </c>
      <c r="B51" s="35" t="str">
        <f aca="false">IFERROR(CORREL(차원점수!F6:F55,응답입력!$GS$7:$GS$56),"자료 부족")</f>
        <v>자료 부족</v>
      </c>
      <c r="C51" s="6" t="s">
        <v>1879</v>
      </c>
      <c r="D51" s="23" t="str">
        <f aca="false">IF(ISNUMBER(B51),IF(B51&gt;0,"OK","확인"),"")</f>
        <v/>
      </c>
    </row>
    <row r="52" customFormat="false" ht="15" hidden="false" customHeight="false" outlineLevel="0" collapsed="false">
      <c r="A52" s="6" t="s">
        <v>1884</v>
      </c>
      <c r="B52" s="35" t="str">
        <f aca="false">IFERROR(CORREL(차원점수!G6:G55,응답입력!$GT$7:$GT$56),"자료 부족")</f>
        <v>자료 부족</v>
      </c>
      <c r="C52" s="6" t="s">
        <v>1879</v>
      </c>
      <c r="D52" s="23" t="str">
        <f aca="false">IF(ISNUMBER(B52),IF(B52&gt;0,"OK","확인"),"")</f>
        <v/>
      </c>
    </row>
    <row r="53" customFormat="false" ht="15" hidden="false" customHeight="false" outlineLevel="0" collapsed="false">
      <c r="A53" s="6" t="s">
        <v>1885</v>
      </c>
      <c r="B53" s="35" t="str">
        <f aca="false">IFERROR(CORREL(차원점수!H6:H55,응답입력!$HA$7:$HA$56),"자료 부족")</f>
        <v>자료 부족</v>
      </c>
      <c r="C53" s="6" t="s">
        <v>1879</v>
      </c>
      <c r="D53" s="23" t="str">
        <f aca="false">IF(ISNUMBER(B53),IF(B53&gt;0,"OK","확인"),"")</f>
        <v/>
      </c>
    </row>
    <row r="54" customFormat="false" ht="15" hidden="false" customHeight="false" outlineLevel="0" collapsed="false">
      <c r="A54" s="6" t="s">
        <v>1886</v>
      </c>
      <c r="B54" s="35" t="str">
        <f aca="false">IFERROR(CORREL(차원점수!H6:H55,응답입력!$GU$7:$GU$56),"자료 부족")</f>
        <v>자료 부족</v>
      </c>
      <c r="C54" s="6" t="s">
        <v>1879</v>
      </c>
      <c r="D54" s="23" t="str">
        <f aca="false">IF(ISNUMBER(B54),IF(B54&gt;0,"OK","확인"),"")</f>
        <v/>
      </c>
    </row>
    <row r="56" customFormat="false" ht="15" hidden="false" customHeight="false" outlineLevel="0" collapsed="false">
      <c r="A56" s="5" t="s">
        <v>1887</v>
      </c>
    </row>
    <row r="57" customFormat="false" ht="15" hidden="false" customHeight="false" outlineLevel="0" collapsed="false">
      <c r="A57" s="27"/>
      <c r="B57" s="9" t="s">
        <v>75</v>
      </c>
      <c r="C57" s="9" t="s">
        <v>81</v>
      </c>
      <c r="D57" s="9" t="s">
        <v>85</v>
      </c>
      <c r="E57" s="9" t="s">
        <v>90</v>
      </c>
      <c r="F57" s="9" t="s">
        <v>95</v>
      </c>
      <c r="G57" s="9" t="s">
        <v>100</v>
      </c>
    </row>
    <row r="58" customFormat="false" ht="15" hidden="false" customHeight="false" outlineLevel="0" collapsed="false">
      <c r="A58" s="10" t="s">
        <v>75</v>
      </c>
      <c r="B58" s="35" t="str">
        <f aca="false">IFERROR(CORREL(차원점수!B6:B55,차원점수!B6:B55),"")</f>
        <v/>
      </c>
      <c r="C58" s="35" t="str">
        <f aca="false">IFERROR(CORREL(차원점수!B6:B55,차원점수!C6:C55),"")</f>
        <v/>
      </c>
      <c r="D58" s="35" t="str">
        <f aca="false">IFERROR(CORREL(차원점수!B6:B55,차원점수!D6:D55),"")</f>
        <v/>
      </c>
      <c r="E58" s="35" t="str">
        <f aca="false">IFERROR(CORREL(차원점수!B6:B55,차원점수!E6:E55),"")</f>
        <v/>
      </c>
      <c r="F58" s="35" t="str">
        <f aca="false">IFERROR(CORREL(차원점수!B6:B55,차원점수!F6:F55),"")</f>
        <v/>
      </c>
      <c r="G58" s="35" t="str">
        <f aca="false">IFERROR(CORREL(차원점수!B6:B55,차원점수!G6:G55),"")</f>
        <v/>
      </c>
    </row>
    <row r="59" customFormat="false" ht="15" hidden="false" customHeight="false" outlineLevel="0" collapsed="false">
      <c r="A59" s="10" t="s">
        <v>81</v>
      </c>
      <c r="B59" s="35" t="str">
        <f aca="false">IFERROR(CORREL(차원점수!C6:C55,차원점수!B6:B55),"")</f>
        <v/>
      </c>
      <c r="C59" s="35" t="str">
        <f aca="false">IFERROR(CORREL(차원점수!C6:C55,차원점수!C6:C55),"")</f>
        <v/>
      </c>
      <c r="D59" s="35" t="str">
        <f aca="false">IFERROR(CORREL(차원점수!C6:C55,차원점수!D6:D55),"")</f>
        <v/>
      </c>
      <c r="E59" s="35" t="str">
        <f aca="false">IFERROR(CORREL(차원점수!C6:C55,차원점수!E6:E55),"")</f>
        <v/>
      </c>
      <c r="F59" s="35" t="str">
        <f aca="false">IFERROR(CORREL(차원점수!C6:C55,차원점수!F6:F55),"")</f>
        <v/>
      </c>
      <c r="G59" s="35" t="str">
        <f aca="false">IFERROR(CORREL(차원점수!C6:C55,차원점수!G6:G55),"")</f>
        <v/>
      </c>
    </row>
    <row r="60" customFormat="false" ht="15" hidden="false" customHeight="false" outlineLevel="0" collapsed="false">
      <c r="A60" s="10" t="s">
        <v>85</v>
      </c>
      <c r="B60" s="35" t="str">
        <f aca="false">IFERROR(CORREL(차원점수!D6:D55,차원점수!B6:B55),"")</f>
        <v/>
      </c>
      <c r="C60" s="35" t="str">
        <f aca="false">IFERROR(CORREL(차원점수!D6:D55,차원점수!C6:C55),"")</f>
        <v/>
      </c>
      <c r="D60" s="35" t="str">
        <f aca="false">IFERROR(CORREL(차원점수!D6:D55,차원점수!D6:D55),"")</f>
        <v/>
      </c>
      <c r="E60" s="35" t="str">
        <f aca="false">IFERROR(CORREL(차원점수!D6:D55,차원점수!E6:E55),"")</f>
        <v/>
      </c>
      <c r="F60" s="35" t="str">
        <f aca="false">IFERROR(CORREL(차원점수!D6:D55,차원점수!F6:F55),"")</f>
        <v/>
      </c>
      <c r="G60" s="35" t="str">
        <f aca="false">IFERROR(CORREL(차원점수!D6:D55,차원점수!G6:G55),"")</f>
        <v/>
      </c>
    </row>
    <row r="61" customFormat="false" ht="15" hidden="false" customHeight="false" outlineLevel="0" collapsed="false">
      <c r="A61" s="10" t="s">
        <v>90</v>
      </c>
      <c r="B61" s="35" t="str">
        <f aca="false">IFERROR(CORREL(차원점수!E6:E55,차원점수!B6:B55),"")</f>
        <v/>
      </c>
      <c r="C61" s="35" t="str">
        <f aca="false">IFERROR(CORREL(차원점수!E6:E55,차원점수!C6:C55),"")</f>
        <v/>
      </c>
      <c r="D61" s="35" t="str">
        <f aca="false">IFERROR(CORREL(차원점수!E6:E55,차원점수!D6:D55),"")</f>
        <v/>
      </c>
      <c r="E61" s="35" t="str">
        <f aca="false">IFERROR(CORREL(차원점수!E6:E55,차원점수!E6:E55),"")</f>
        <v/>
      </c>
      <c r="F61" s="35" t="str">
        <f aca="false">IFERROR(CORREL(차원점수!E6:E55,차원점수!F6:F55),"")</f>
        <v/>
      </c>
      <c r="G61" s="35" t="str">
        <f aca="false">IFERROR(CORREL(차원점수!E6:E55,차원점수!G6:G55),"")</f>
        <v/>
      </c>
    </row>
    <row r="62" customFormat="false" ht="15" hidden="false" customHeight="false" outlineLevel="0" collapsed="false">
      <c r="A62" s="10" t="s">
        <v>95</v>
      </c>
      <c r="B62" s="35" t="str">
        <f aca="false">IFERROR(CORREL(차원점수!F6:F55,차원점수!B6:B55),"")</f>
        <v/>
      </c>
      <c r="C62" s="35" t="str">
        <f aca="false">IFERROR(CORREL(차원점수!F6:F55,차원점수!C6:C55),"")</f>
        <v/>
      </c>
      <c r="D62" s="35" t="str">
        <f aca="false">IFERROR(CORREL(차원점수!F6:F55,차원점수!D6:D55),"")</f>
        <v/>
      </c>
      <c r="E62" s="35" t="str">
        <f aca="false">IFERROR(CORREL(차원점수!F6:F55,차원점수!E6:E55),"")</f>
        <v/>
      </c>
      <c r="F62" s="35" t="str">
        <f aca="false">IFERROR(CORREL(차원점수!F6:F55,차원점수!F6:F55),"")</f>
        <v/>
      </c>
      <c r="G62" s="35" t="str">
        <f aca="false">IFERROR(CORREL(차원점수!F6:F55,차원점수!G6:G55),"")</f>
        <v/>
      </c>
    </row>
    <row r="63" customFormat="false" ht="15" hidden="false" customHeight="false" outlineLevel="0" collapsed="false">
      <c r="A63" s="10" t="s">
        <v>100</v>
      </c>
      <c r="B63" s="35" t="str">
        <f aca="false">IFERROR(CORREL(차원점수!G6:G55,차원점수!B6:B55),"")</f>
        <v/>
      </c>
      <c r="C63" s="35" t="str">
        <f aca="false">IFERROR(CORREL(차원점수!G6:G55,차원점수!C6:C55),"")</f>
        <v/>
      </c>
      <c r="D63" s="35" t="str">
        <f aca="false">IFERROR(CORREL(차원점수!G6:G55,차원점수!D6:D55),"")</f>
        <v/>
      </c>
      <c r="E63" s="35" t="str">
        <f aca="false">IFERROR(CORREL(차원점수!G6:G55,차원점수!E6:E55),"")</f>
        <v/>
      </c>
      <c r="F63" s="35" t="str">
        <f aca="false">IFERROR(CORREL(차원점수!G6:G55,차원점수!F6:F55),"")</f>
        <v/>
      </c>
      <c r="G63" s="35" t="str">
        <f aca="false">IFERROR(CORREL(차원점수!G6:G55,차원점수!G6:G55),"")</f>
        <v/>
      </c>
    </row>
    <row r="65" customFormat="false" ht="15" hidden="false" customHeight="false" outlineLevel="0" collapsed="false">
      <c r="A65" s="6" t="s">
        <v>1888</v>
      </c>
      <c r="B65" s="35" t="n">
        <f aca="false">IFERROR(MAX(C58,D58,E58,F58,G58,D59,E59,F59,G59,E60,F60,G60,F61,G61,G62),"자료 부족")</f>
        <v>0</v>
      </c>
      <c r="C65" s="4" t="s">
        <v>1889</v>
      </c>
      <c r="D65" s="23" t="str">
        <f aca="false">IF(ISNUMBER(B65),IF(B65&lt;$B$9,"OK","확인(차원 통합 검토)"),"")</f>
        <v>OK</v>
      </c>
    </row>
    <row r="67" customFormat="false" ht="49.5" hidden="false" customHeight="true" outlineLevel="0" collapsed="false">
      <c r="A67" s="31" t="s">
        <v>1890</v>
      </c>
      <c r="B67" s="31"/>
      <c r="C67" s="31"/>
      <c r="D67" s="31"/>
    </row>
    <row r="69" customFormat="false" ht="15" hidden="false" customHeight="false" outlineLevel="0" collapsed="false">
      <c r="A69" s="9" t="s">
        <v>1891</v>
      </c>
      <c r="B69" s="9" t="s">
        <v>1892</v>
      </c>
      <c r="C69" s="9" t="s">
        <v>1893</v>
      </c>
    </row>
    <row r="70" customFormat="false" ht="36" hidden="false" customHeight="true" outlineLevel="0" collapsed="false">
      <c r="A70" s="4" t="s">
        <v>1894</v>
      </c>
      <c r="B70" s="4" t="s">
        <v>1895</v>
      </c>
      <c r="C70" s="6" t="s">
        <v>1896</v>
      </c>
    </row>
    <row r="71" customFormat="false" ht="36" hidden="false" customHeight="true" outlineLevel="0" collapsed="false">
      <c r="A71" s="4" t="s">
        <v>1897</v>
      </c>
      <c r="B71" s="6" t="s">
        <v>1898</v>
      </c>
      <c r="C71" s="6" t="s">
        <v>1899</v>
      </c>
    </row>
    <row r="72" customFormat="false" ht="36" hidden="false" customHeight="true" outlineLevel="0" collapsed="false">
      <c r="A72" s="4" t="s">
        <v>1900</v>
      </c>
      <c r="B72" s="6" t="s">
        <v>1901</v>
      </c>
      <c r="C72" s="6" t="s">
        <v>1902</v>
      </c>
    </row>
    <row r="73" customFormat="false" ht="36" hidden="false" customHeight="true" outlineLevel="0" collapsed="false">
      <c r="A73" s="4" t="s">
        <v>1903</v>
      </c>
      <c r="B73" s="4" t="s">
        <v>1904</v>
      </c>
      <c r="C73" s="4" t="s">
        <v>1905</v>
      </c>
    </row>
    <row r="74" customFormat="false" ht="36" hidden="false" customHeight="true" outlineLevel="0" collapsed="false">
      <c r="A74" s="4" t="s">
        <v>1906</v>
      </c>
      <c r="B74" s="4" t="s">
        <v>1907</v>
      </c>
      <c r="C74" s="6" t="s">
        <v>1908</v>
      </c>
    </row>
    <row r="75" customFormat="false" ht="36" hidden="false" customHeight="true" outlineLevel="0" collapsed="false">
      <c r="A75" s="4" t="s">
        <v>1909</v>
      </c>
      <c r="B75" s="6" t="s">
        <v>1910</v>
      </c>
      <c r="C75" s="6" t="s">
        <v>1911</v>
      </c>
    </row>
    <row r="76" customFormat="false" ht="36" hidden="false" customHeight="true" outlineLevel="0" collapsed="false">
      <c r="A76" s="4" t="s">
        <v>1912</v>
      </c>
      <c r="B76" s="6" t="s">
        <v>1913</v>
      </c>
      <c r="C76" s="6" t="s">
        <v>1914</v>
      </c>
    </row>
    <row r="77" customFormat="false" ht="36" hidden="false" customHeight="true" outlineLevel="0" collapsed="false">
      <c r="A77" s="4" t="s">
        <v>1915</v>
      </c>
      <c r="B77" s="6" t="s">
        <v>1916</v>
      </c>
      <c r="C77" s="6" t="s">
        <v>1917</v>
      </c>
    </row>
    <row r="78" customFormat="false" ht="36" hidden="false" customHeight="true" outlineLevel="0" collapsed="false">
      <c r="A78" s="4" t="s">
        <v>1918</v>
      </c>
      <c r="B78" s="6" t="s">
        <v>1919</v>
      </c>
      <c r="C78" s="6" t="s">
        <v>1920</v>
      </c>
    </row>
  </sheetData>
  <mergeCells count="1">
    <mergeCell ref="A67:D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2026-10-09T02:13:02Z</dcterms:created>
  <dc:creator>openpyxl</dc:creator>
  <dc:description/>
  <dc:language>en-US</dc:language>
  <cp:lastModifiedBy/>
  <dcterms:modified xsi:type="dcterms:W3CDTF">2026-10-09T02:13:03Z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